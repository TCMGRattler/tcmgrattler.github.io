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fileSharing readOnlyRecommended="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63354A05ED30D6/Twin Member Guest/2026 MG Files/"/>
    </mc:Choice>
  </mc:AlternateContent>
  <xr:revisionPtr revIDLastSave="1814" documentId="8_{A8A98135-7E78-4F37-B139-FCD344E18E45}" xr6:coauthVersionLast="47" xr6:coauthVersionMax="47" xr10:uidLastSave="{F15BD8FF-3AA2-4910-894D-0330C5FBB92E}"/>
  <bookViews>
    <workbookView xWindow="-110" yWindow="-110" windowWidth="25820" windowHeight="15500" activeTab="7" xr2:uid="{1981DDCF-18AF-40F5-B1FF-2CFB9FFE4374}"/>
  </bookViews>
  <sheets>
    <sheet name="Calcutta" sheetId="1" r:id="rId1"/>
    <sheet name="Team Sheet" sheetId="14" state="hidden" r:id="rId2"/>
    <sheet name="Master Player List" sheetId="15" r:id="rId3"/>
    <sheet name="Payout Calc" sheetId="18" r:id="rId4"/>
    <sheet name="Quota Calc v1" sheetId="17" state="hidden" r:id="rId5"/>
    <sheet name="Formatting" sheetId="19" r:id="rId6"/>
    <sheet name="Sheet1" sheetId="20" r:id="rId7"/>
    <sheet name="JS_Output" sheetId="33" r:id="rId8"/>
  </sheets>
  <definedNames>
    <definedName name="_xlnm._FilterDatabase" localSheetId="5" hidden="1">Formatting!$B$1:$F$162</definedName>
    <definedName name="_xlnm._FilterDatabase" localSheetId="2" hidden="1">'Master Player List'!$A$2:$J$2</definedName>
    <definedName name="_xlnm._FilterDatabase" localSheetId="4" hidden="1">'Quota Calc v1'!$N$18:$P$18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W92" i="20"/>
  <c r="W91" i="20"/>
  <c r="W90" i="20"/>
  <c r="W89" i="20"/>
  <c r="W88" i="20"/>
  <c r="W87" i="20"/>
  <c r="W86" i="20"/>
  <c r="W85" i="20"/>
  <c r="W84" i="20"/>
  <c r="W83" i="20"/>
  <c r="W82" i="20"/>
  <c r="I82" i="20"/>
  <c r="H82" i="20"/>
  <c r="G82" i="20"/>
  <c r="F82" i="20"/>
  <c r="D82" i="20"/>
  <c r="C82" i="20"/>
  <c r="B82" i="20"/>
  <c r="A82" i="20"/>
  <c r="W81" i="20"/>
  <c r="I81" i="20"/>
  <c r="H81" i="20"/>
  <c r="G81" i="20"/>
  <c r="F81" i="20"/>
  <c r="D81" i="20"/>
  <c r="C81" i="20"/>
  <c r="B81" i="20"/>
  <c r="A81" i="20"/>
  <c r="W80" i="20"/>
  <c r="I80" i="20"/>
  <c r="H80" i="20"/>
  <c r="G80" i="20"/>
  <c r="F80" i="20"/>
  <c r="D80" i="20"/>
  <c r="C80" i="20"/>
  <c r="B80" i="20"/>
  <c r="A80" i="20"/>
  <c r="W79" i="20"/>
  <c r="I79" i="20"/>
  <c r="H79" i="20"/>
  <c r="G79" i="20"/>
  <c r="F79" i="20"/>
  <c r="D79" i="20"/>
  <c r="C79" i="20"/>
  <c r="B79" i="20"/>
  <c r="A79" i="20"/>
  <c r="W78" i="20"/>
  <c r="I78" i="20"/>
  <c r="H78" i="20"/>
  <c r="G78" i="20"/>
  <c r="F78" i="20"/>
  <c r="D78" i="20"/>
  <c r="C78" i="20"/>
  <c r="B78" i="20"/>
  <c r="A78" i="20"/>
  <c r="W77" i="20"/>
  <c r="I77" i="20"/>
  <c r="H77" i="20"/>
  <c r="G77" i="20"/>
  <c r="F77" i="20"/>
  <c r="D77" i="20"/>
  <c r="C77" i="20"/>
  <c r="B77" i="20"/>
  <c r="A77" i="20"/>
  <c r="W76" i="20"/>
  <c r="I76" i="20"/>
  <c r="H76" i="20"/>
  <c r="G76" i="20"/>
  <c r="F76" i="20"/>
  <c r="D76" i="20"/>
  <c r="C76" i="20"/>
  <c r="B76" i="20"/>
  <c r="A76" i="20"/>
  <c r="W75" i="20"/>
  <c r="I75" i="20"/>
  <c r="H75" i="20"/>
  <c r="G75" i="20"/>
  <c r="F75" i="20"/>
  <c r="D75" i="20"/>
  <c r="C75" i="20"/>
  <c r="B75" i="20"/>
  <c r="A75" i="20"/>
  <c r="W74" i="20"/>
  <c r="I74" i="20"/>
  <c r="H74" i="20"/>
  <c r="G74" i="20"/>
  <c r="F74" i="20"/>
  <c r="D74" i="20"/>
  <c r="C74" i="20"/>
  <c r="B74" i="20"/>
  <c r="A74" i="20"/>
  <c r="W73" i="20"/>
  <c r="I73" i="20"/>
  <c r="H73" i="20"/>
  <c r="G73" i="20"/>
  <c r="F73" i="20"/>
  <c r="D73" i="20"/>
  <c r="C73" i="20"/>
  <c r="B73" i="20"/>
  <c r="A73" i="20"/>
  <c r="W72" i="20"/>
  <c r="I72" i="20"/>
  <c r="H72" i="20"/>
  <c r="G72" i="20"/>
  <c r="F72" i="20"/>
  <c r="D72" i="20"/>
  <c r="C72" i="20"/>
  <c r="B72" i="20"/>
  <c r="A72" i="20"/>
  <c r="W71" i="20"/>
  <c r="I71" i="20"/>
  <c r="H71" i="20"/>
  <c r="G71" i="20"/>
  <c r="F71" i="20"/>
  <c r="D71" i="20"/>
  <c r="C71" i="20"/>
  <c r="B71" i="20"/>
  <c r="A71" i="20"/>
  <c r="W70" i="20"/>
  <c r="I70" i="20"/>
  <c r="H70" i="20"/>
  <c r="G70" i="20"/>
  <c r="F70" i="20"/>
  <c r="D70" i="20"/>
  <c r="C70" i="20"/>
  <c r="B70" i="20"/>
  <c r="A70" i="20"/>
  <c r="W69" i="20"/>
  <c r="I69" i="20"/>
  <c r="H69" i="20"/>
  <c r="G69" i="20"/>
  <c r="F69" i="20"/>
  <c r="D69" i="20"/>
  <c r="C69" i="20"/>
  <c r="B69" i="20"/>
  <c r="A69" i="20"/>
  <c r="W68" i="20"/>
  <c r="I68" i="20"/>
  <c r="H68" i="20"/>
  <c r="G68" i="20"/>
  <c r="F68" i="20"/>
  <c r="D68" i="20"/>
  <c r="C68" i="20"/>
  <c r="B68" i="20"/>
  <c r="A68" i="20"/>
  <c r="W67" i="20"/>
  <c r="I67" i="20"/>
  <c r="H67" i="20"/>
  <c r="G67" i="20"/>
  <c r="F67" i="20"/>
  <c r="D67" i="20"/>
  <c r="C67" i="20"/>
  <c r="B67" i="20"/>
  <c r="A67" i="20"/>
  <c r="W66" i="20"/>
  <c r="I66" i="20"/>
  <c r="H66" i="20"/>
  <c r="G66" i="20"/>
  <c r="F66" i="20"/>
  <c r="D66" i="20"/>
  <c r="C66" i="20"/>
  <c r="B66" i="20"/>
  <c r="A66" i="20"/>
  <c r="W65" i="20"/>
  <c r="I65" i="20"/>
  <c r="H65" i="20"/>
  <c r="G65" i="20"/>
  <c r="F65" i="20"/>
  <c r="D65" i="20"/>
  <c r="C65" i="20"/>
  <c r="B65" i="20"/>
  <c r="A65" i="20"/>
  <c r="W64" i="20"/>
  <c r="I64" i="20"/>
  <c r="H64" i="20"/>
  <c r="G64" i="20"/>
  <c r="F64" i="20"/>
  <c r="D64" i="20"/>
  <c r="C64" i="20"/>
  <c r="B64" i="20"/>
  <c r="A64" i="20"/>
  <c r="W63" i="20"/>
  <c r="I63" i="20"/>
  <c r="H63" i="20"/>
  <c r="G63" i="20"/>
  <c r="F63" i="20"/>
  <c r="D63" i="20"/>
  <c r="C63" i="20"/>
  <c r="B63" i="20"/>
  <c r="A63" i="20"/>
  <c r="W62" i="20"/>
  <c r="I62" i="20"/>
  <c r="H62" i="20"/>
  <c r="G62" i="20"/>
  <c r="F62" i="20"/>
  <c r="D62" i="20"/>
  <c r="C62" i="20"/>
  <c r="B62" i="20"/>
  <c r="A62" i="20"/>
  <c r="W61" i="20"/>
  <c r="I61" i="20"/>
  <c r="H61" i="20"/>
  <c r="G61" i="20"/>
  <c r="F61" i="20"/>
  <c r="D61" i="20"/>
  <c r="C61" i="20"/>
  <c r="B61" i="20"/>
  <c r="A61" i="20"/>
  <c r="W60" i="20"/>
  <c r="I60" i="20"/>
  <c r="H60" i="20"/>
  <c r="G60" i="20"/>
  <c r="F60" i="20"/>
  <c r="D60" i="20"/>
  <c r="C60" i="20"/>
  <c r="B60" i="20"/>
  <c r="A60" i="20"/>
  <c r="W59" i="20"/>
  <c r="I59" i="20"/>
  <c r="H59" i="20"/>
  <c r="G59" i="20"/>
  <c r="F59" i="20"/>
  <c r="D59" i="20"/>
  <c r="C59" i="20"/>
  <c r="B59" i="20"/>
  <c r="A59" i="20"/>
  <c r="W58" i="20"/>
  <c r="I58" i="20"/>
  <c r="H58" i="20"/>
  <c r="G58" i="20"/>
  <c r="F58" i="20"/>
  <c r="D58" i="20"/>
  <c r="C58" i="20"/>
  <c r="B58" i="20"/>
  <c r="A58" i="20"/>
  <c r="W57" i="20"/>
  <c r="I57" i="20"/>
  <c r="H57" i="20"/>
  <c r="G57" i="20"/>
  <c r="F57" i="20"/>
  <c r="D57" i="20"/>
  <c r="C57" i="20"/>
  <c r="B57" i="20"/>
  <c r="A57" i="20"/>
  <c r="W56" i="20"/>
  <c r="I56" i="20"/>
  <c r="H56" i="20"/>
  <c r="G56" i="20"/>
  <c r="F56" i="20"/>
  <c r="D56" i="20"/>
  <c r="C56" i="20"/>
  <c r="B56" i="20"/>
  <c r="A56" i="20"/>
  <c r="W55" i="20"/>
  <c r="I55" i="20"/>
  <c r="H55" i="20"/>
  <c r="G55" i="20"/>
  <c r="F55" i="20"/>
  <c r="D55" i="20"/>
  <c r="C55" i="20"/>
  <c r="B55" i="20"/>
  <c r="A55" i="20"/>
  <c r="W54" i="20"/>
  <c r="I54" i="20"/>
  <c r="H54" i="20"/>
  <c r="G54" i="20"/>
  <c r="F54" i="20"/>
  <c r="D54" i="20"/>
  <c r="C54" i="20"/>
  <c r="B54" i="20"/>
  <c r="A54" i="20"/>
  <c r="W53" i="20"/>
  <c r="I53" i="20"/>
  <c r="H53" i="20"/>
  <c r="G53" i="20"/>
  <c r="F53" i="20"/>
  <c r="D53" i="20"/>
  <c r="C53" i="20"/>
  <c r="B53" i="20"/>
  <c r="A53" i="20"/>
  <c r="W52" i="20"/>
  <c r="I52" i="20"/>
  <c r="H52" i="20"/>
  <c r="G52" i="20"/>
  <c r="F52" i="20"/>
  <c r="D52" i="20"/>
  <c r="C52" i="20"/>
  <c r="B52" i="20"/>
  <c r="A52" i="20"/>
  <c r="W51" i="20"/>
  <c r="I51" i="20"/>
  <c r="H51" i="20"/>
  <c r="G51" i="20"/>
  <c r="F51" i="20"/>
  <c r="D51" i="20"/>
  <c r="C51" i="20"/>
  <c r="B51" i="20"/>
  <c r="A51" i="20"/>
  <c r="W50" i="20"/>
  <c r="I50" i="20"/>
  <c r="H50" i="20"/>
  <c r="G50" i="20"/>
  <c r="F50" i="20"/>
  <c r="D50" i="20"/>
  <c r="C50" i="20"/>
  <c r="B50" i="20"/>
  <c r="A50" i="20"/>
  <c r="W49" i="20"/>
  <c r="I49" i="20"/>
  <c r="H49" i="20"/>
  <c r="G49" i="20"/>
  <c r="F49" i="20"/>
  <c r="D49" i="20"/>
  <c r="C49" i="20"/>
  <c r="B49" i="20"/>
  <c r="A49" i="20"/>
  <c r="W48" i="20"/>
  <c r="I48" i="20"/>
  <c r="H48" i="20"/>
  <c r="G48" i="20"/>
  <c r="F48" i="20"/>
  <c r="D48" i="20"/>
  <c r="C48" i="20"/>
  <c r="B48" i="20"/>
  <c r="A48" i="20"/>
  <c r="W47" i="20"/>
  <c r="I47" i="20"/>
  <c r="H47" i="20"/>
  <c r="G47" i="20"/>
  <c r="F47" i="20"/>
  <c r="D47" i="20"/>
  <c r="C47" i="20"/>
  <c r="B47" i="20"/>
  <c r="A47" i="20"/>
  <c r="W46" i="20"/>
  <c r="I46" i="20"/>
  <c r="H46" i="20"/>
  <c r="G46" i="20"/>
  <c r="F46" i="20"/>
  <c r="D46" i="20"/>
  <c r="C46" i="20"/>
  <c r="B46" i="20"/>
  <c r="A46" i="20"/>
  <c r="W45" i="20"/>
  <c r="I45" i="20"/>
  <c r="H45" i="20"/>
  <c r="G45" i="20"/>
  <c r="F45" i="20"/>
  <c r="D45" i="20"/>
  <c r="C45" i="20"/>
  <c r="B45" i="20"/>
  <c r="A45" i="20"/>
  <c r="W44" i="20"/>
  <c r="I44" i="20"/>
  <c r="H44" i="20"/>
  <c r="G44" i="20"/>
  <c r="F44" i="20"/>
  <c r="D44" i="20"/>
  <c r="C44" i="20"/>
  <c r="B44" i="20"/>
  <c r="A44" i="20"/>
  <c r="W43" i="20"/>
  <c r="I43" i="20"/>
  <c r="H43" i="20"/>
  <c r="G43" i="20"/>
  <c r="F43" i="20"/>
  <c r="D43" i="20"/>
  <c r="C43" i="20"/>
  <c r="B43" i="20"/>
  <c r="A43" i="20"/>
  <c r="W42" i="20"/>
  <c r="I42" i="20"/>
  <c r="H42" i="20"/>
  <c r="G42" i="20"/>
  <c r="F42" i="20"/>
  <c r="D42" i="20"/>
  <c r="C42" i="20"/>
  <c r="B42" i="20"/>
  <c r="A42" i="20"/>
  <c r="W41" i="20"/>
  <c r="I41" i="20"/>
  <c r="H41" i="20"/>
  <c r="G41" i="20"/>
  <c r="F41" i="20"/>
  <c r="D41" i="20"/>
  <c r="C41" i="20"/>
  <c r="B41" i="20"/>
  <c r="A41" i="20"/>
  <c r="W40" i="20"/>
  <c r="I40" i="20"/>
  <c r="H40" i="20"/>
  <c r="G40" i="20"/>
  <c r="F40" i="20"/>
  <c r="D40" i="20"/>
  <c r="C40" i="20"/>
  <c r="B40" i="20"/>
  <c r="A40" i="20"/>
  <c r="W39" i="20"/>
  <c r="I39" i="20"/>
  <c r="H39" i="20"/>
  <c r="G39" i="20"/>
  <c r="F39" i="20"/>
  <c r="D39" i="20"/>
  <c r="C39" i="20"/>
  <c r="B39" i="20"/>
  <c r="A39" i="20"/>
  <c r="W38" i="20"/>
  <c r="I38" i="20"/>
  <c r="H38" i="20"/>
  <c r="G38" i="20"/>
  <c r="F38" i="20"/>
  <c r="D38" i="20"/>
  <c r="C38" i="20"/>
  <c r="B38" i="20"/>
  <c r="A38" i="20"/>
  <c r="W37" i="20"/>
  <c r="I37" i="20"/>
  <c r="H37" i="20"/>
  <c r="G37" i="20"/>
  <c r="F37" i="20"/>
  <c r="D37" i="20"/>
  <c r="C37" i="20"/>
  <c r="B37" i="20"/>
  <c r="A37" i="20"/>
  <c r="W36" i="20"/>
  <c r="I36" i="20"/>
  <c r="H36" i="20"/>
  <c r="G36" i="20"/>
  <c r="F36" i="20"/>
  <c r="D36" i="20"/>
  <c r="C36" i="20"/>
  <c r="B36" i="20"/>
  <c r="A36" i="20"/>
  <c r="W35" i="20"/>
  <c r="I35" i="20"/>
  <c r="H35" i="20"/>
  <c r="G35" i="20"/>
  <c r="F35" i="20"/>
  <c r="D35" i="20"/>
  <c r="C35" i="20"/>
  <c r="B35" i="20"/>
  <c r="A35" i="20"/>
  <c r="W34" i="20"/>
  <c r="I34" i="20"/>
  <c r="H34" i="20"/>
  <c r="G34" i="20"/>
  <c r="F34" i="20"/>
  <c r="D34" i="20"/>
  <c r="C34" i="20"/>
  <c r="B34" i="20"/>
  <c r="A34" i="20"/>
  <c r="W33" i="20"/>
  <c r="I33" i="20"/>
  <c r="H33" i="20"/>
  <c r="G33" i="20"/>
  <c r="F33" i="20"/>
  <c r="D33" i="20"/>
  <c r="C33" i="20"/>
  <c r="B33" i="20"/>
  <c r="A33" i="20"/>
  <c r="W32" i="20"/>
  <c r="O32" i="20"/>
  <c r="I32" i="20"/>
  <c r="H32" i="20"/>
  <c r="G32" i="20"/>
  <c r="F32" i="20"/>
  <c r="D32" i="20"/>
  <c r="C32" i="20"/>
  <c r="B32" i="20"/>
  <c r="A32" i="20"/>
  <c r="W31" i="20"/>
  <c r="O31" i="20"/>
  <c r="I31" i="20"/>
  <c r="H31" i="20"/>
  <c r="G31" i="20"/>
  <c r="F31" i="20"/>
  <c r="D31" i="20"/>
  <c r="C31" i="20"/>
  <c r="B31" i="20"/>
  <c r="A31" i="20"/>
  <c r="W30" i="20"/>
  <c r="O30" i="20"/>
  <c r="I30" i="20"/>
  <c r="H30" i="20"/>
  <c r="G30" i="20"/>
  <c r="F30" i="20"/>
  <c r="D30" i="20"/>
  <c r="C30" i="20"/>
  <c r="B30" i="20"/>
  <c r="A30" i="20"/>
  <c r="W29" i="20"/>
  <c r="O29" i="20"/>
  <c r="I29" i="20"/>
  <c r="H29" i="20"/>
  <c r="G29" i="20"/>
  <c r="F29" i="20"/>
  <c r="D29" i="20"/>
  <c r="C29" i="20"/>
  <c r="B29" i="20"/>
  <c r="A29" i="20"/>
  <c r="W28" i="20"/>
  <c r="O28" i="20"/>
  <c r="I28" i="20"/>
  <c r="H28" i="20"/>
  <c r="G28" i="20"/>
  <c r="F28" i="20"/>
  <c r="D28" i="20"/>
  <c r="C28" i="20"/>
  <c r="B28" i="20"/>
  <c r="A28" i="20"/>
  <c r="W27" i="20"/>
  <c r="O27" i="20"/>
  <c r="I27" i="20"/>
  <c r="H27" i="20"/>
  <c r="G27" i="20"/>
  <c r="F27" i="20"/>
  <c r="D27" i="20"/>
  <c r="C27" i="20"/>
  <c r="B27" i="20"/>
  <c r="A27" i="20"/>
  <c r="W26" i="20"/>
  <c r="O26" i="20"/>
  <c r="I26" i="20"/>
  <c r="H26" i="20"/>
  <c r="G26" i="20"/>
  <c r="F26" i="20"/>
  <c r="D26" i="20"/>
  <c r="C26" i="20"/>
  <c r="B26" i="20"/>
  <c r="A26" i="20"/>
  <c r="W25" i="20"/>
  <c r="O25" i="20"/>
  <c r="I25" i="20"/>
  <c r="H25" i="20"/>
  <c r="G25" i="20"/>
  <c r="F25" i="20"/>
  <c r="D25" i="20"/>
  <c r="C25" i="20"/>
  <c r="B25" i="20"/>
  <c r="A25" i="20"/>
  <c r="W24" i="20"/>
  <c r="O24" i="20"/>
  <c r="I24" i="20"/>
  <c r="H24" i="20"/>
  <c r="G24" i="20"/>
  <c r="F24" i="20"/>
  <c r="D24" i="20"/>
  <c r="C24" i="20"/>
  <c r="B24" i="20"/>
  <c r="A24" i="20"/>
  <c r="W23" i="20"/>
  <c r="O23" i="20"/>
  <c r="I23" i="20"/>
  <c r="H23" i="20"/>
  <c r="G23" i="20"/>
  <c r="F23" i="20"/>
  <c r="D23" i="20"/>
  <c r="C23" i="20"/>
  <c r="B23" i="20"/>
  <c r="A23" i="20"/>
  <c r="W22" i="20"/>
  <c r="O22" i="20"/>
  <c r="I22" i="20"/>
  <c r="H22" i="20"/>
  <c r="G22" i="20"/>
  <c r="F22" i="20"/>
  <c r="D22" i="20"/>
  <c r="C22" i="20"/>
  <c r="B22" i="20"/>
  <c r="A22" i="20"/>
  <c r="W21" i="20"/>
  <c r="O21" i="20"/>
  <c r="I21" i="20"/>
  <c r="H21" i="20"/>
  <c r="G21" i="20"/>
  <c r="F21" i="20"/>
  <c r="D21" i="20"/>
  <c r="C21" i="20"/>
  <c r="B21" i="20"/>
  <c r="A21" i="20"/>
  <c r="W20" i="20"/>
  <c r="O20" i="20"/>
  <c r="I20" i="20"/>
  <c r="H20" i="20"/>
  <c r="G20" i="20"/>
  <c r="F20" i="20"/>
  <c r="D20" i="20"/>
  <c r="C20" i="20"/>
  <c r="B20" i="20"/>
  <c r="A20" i="20"/>
  <c r="W19" i="20"/>
  <c r="O19" i="20"/>
  <c r="I19" i="20"/>
  <c r="H19" i="20"/>
  <c r="G19" i="20"/>
  <c r="F19" i="20"/>
  <c r="D19" i="20"/>
  <c r="C19" i="20"/>
  <c r="B19" i="20"/>
  <c r="A19" i="20"/>
  <c r="W18" i="20"/>
  <c r="O18" i="20"/>
  <c r="I18" i="20"/>
  <c r="H18" i="20"/>
  <c r="G18" i="20"/>
  <c r="F18" i="20"/>
  <c r="D18" i="20"/>
  <c r="C18" i="20"/>
  <c r="B18" i="20"/>
  <c r="A18" i="20"/>
  <c r="W17" i="20"/>
  <c r="O17" i="20"/>
  <c r="I17" i="20"/>
  <c r="H17" i="20"/>
  <c r="G17" i="20"/>
  <c r="F17" i="20"/>
  <c r="D17" i="20"/>
  <c r="C17" i="20"/>
  <c r="B17" i="20"/>
  <c r="A17" i="20"/>
  <c r="W16" i="20"/>
  <c r="O16" i="20"/>
  <c r="I16" i="20"/>
  <c r="H16" i="20"/>
  <c r="G16" i="20"/>
  <c r="F16" i="20"/>
  <c r="D16" i="20"/>
  <c r="C16" i="20"/>
  <c r="B16" i="20"/>
  <c r="A16" i="20"/>
  <c r="W15" i="20"/>
  <c r="O15" i="20"/>
  <c r="I15" i="20"/>
  <c r="H15" i="20"/>
  <c r="G15" i="20"/>
  <c r="F15" i="20"/>
  <c r="D15" i="20"/>
  <c r="C15" i="20"/>
  <c r="B15" i="20"/>
  <c r="A15" i="20"/>
  <c r="W14" i="20"/>
  <c r="O14" i="20"/>
  <c r="I14" i="20"/>
  <c r="H14" i="20"/>
  <c r="G14" i="20"/>
  <c r="F14" i="20"/>
  <c r="D14" i="20"/>
  <c r="C14" i="20"/>
  <c r="B14" i="20"/>
  <c r="A14" i="20"/>
  <c r="W13" i="20"/>
  <c r="O13" i="20"/>
  <c r="I13" i="20"/>
  <c r="H13" i="20"/>
  <c r="G13" i="20"/>
  <c r="F13" i="20"/>
  <c r="D13" i="20"/>
  <c r="C13" i="20"/>
  <c r="B13" i="20"/>
  <c r="A13" i="20"/>
  <c r="W12" i="20"/>
  <c r="O12" i="20"/>
  <c r="I12" i="20"/>
  <c r="H12" i="20"/>
  <c r="G12" i="20"/>
  <c r="F12" i="20"/>
  <c r="D12" i="20"/>
  <c r="C12" i="20"/>
  <c r="B12" i="20"/>
  <c r="A12" i="20"/>
  <c r="W11" i="20"/>
  <c r="O11" i="20"/>
  <c r="I11" i="20"/>
  <c r="H11" i="20"/>
  <c r="G11" i="20"/>
  <c r="F11" i="20"/>
  <c r="D11" i="20"/>
  <c r="C11" i="20"/>
  <c r="B11" i="20"/>
  <c r="A11" i="20"/>
  <c r="W10" i="20"/>
  <c r="O10" i="20"/>
  <c r="I10" i="20"/>
  <c r="H10" i="20"/>
  <c r="G10" i="20"/>
  <c r="F10" i="20"/>
  <c r="D10" i="20"/>
  <c r="C10" i="20"/>
  <c r="B10" i="20"/>
  <c r="A10" i="20"/>
  <c r="W9" i="20"/>
  <c r="O9" i="20"/>
  <c r="I9" i="20"/>
  <c r="H9" i="20"/>
  <c r="G9" i="20"/>
  <c r="F9" i="20"/>
  <c r="D9" i="20"/>
  <c r="C9" i="20"/>
  <c r="B9" i="20"/>
  <c r="A9" i="20"/>
  <c r="W8" i="20"/>
  <c r="O8" i="20"/>
  <c r="I8" i="20"/>
  <c r="H8" i="20"/>
  <c r="G8" i="20"/>
  <c r="F8" i="20"/>
  <c r="D8" i="20"/>
  <c r="C8" i="20"/>
  <c r="B8" i="20"/>
  <c r="A8" i="20"/>
  <c r="W7" i="20"/>
  <c r="I7" i="20"/>
  <c r="H7" i="20"/>
  <c r="G7" i="20"/>
  <c r="F7" i="20"/>
  <c r="D7" i="20"/>
  <c r="C7" i="20"/>
  <c r="B7" i="20"/>
  <c r="A7" i="20"/>
  <c r="W6" i="20"/>
  <c r="O6" i="20"/>
  <c r="I6" i="20"/>
  <c r="H6" i="20"/>
  <c r="G6" i="20"/>
  <c r="F6" i="20"/>
  <c r="D6" i="20"/>
  <c r="C6" i="20"/>
  <c r="B6" i="20"/>
  <c r="A6" i="20"/>
  <c r="W5" i="20"/>
  <c r="O5" i="20"/>
  <c r="I5" i="20"/>
  <c r="H5" i="20"/>
  <c r="G5" i="20"/>
  <c r="F5" i="20"/>
  <c r="D5" i="20"/>
  <c r="C5" i="20"/>
  <c r="B5" i="20"/>
  <c r="A5" i="20"/>
  <c r="W4" i="20"/>
  <c r="O4" i="20"/>
  <c r="I4" i="20"/>
  <c r="H4" i="20"/>
  <c r="G4" i="20"/>
  <c r="F4" i="20"/>
  <c r="D4" i="20"/>
  <c r="C4" i="20"/>
  <c r="B4" i="20"/>
  <c r="A4" i="20"/>
  <c r="W3" i="20"/>
  <c r="O3" i="20"/>
  <c r="I3" i="20"/>
  <c r="H3" i="20"/>
  <c r="G3" i="20"/>
  <c r="F3" i="20"/>
  <c r="D3" i="20"/>
  <c r="B3" i="20"/>
  <c r="A3" i="20"/>
  <c r="O7" i="20"/>
  <c r="C3" i="20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2" i="19"/>
  <c r="T115" i="1"/>
  <c r="X92" i="20" s="1"/>
  <c r="T114" i="1"/>
  <c r="X91" i="20" s="1"/>
  <c r="T113" i="1"/>
  <c r="X90" i="20" s="1"/>
  <c r="R115" i="1"/>
  <c r="X89" i="20" s="1"/>
  <c r="R114" i="1"/>
  <c r="X88" i="20" s="1"/>
  <c r="R113" i="1"/>
  <c r="X87" i="20" s="1"/>
  <c r="K115" i="1"/>
  <c r="P32" i="20" s="1"/>
  <c r="K114" i="1"/>
  <c r="P31" i="20" s="1"/>
  <c r="K113" i="1"/>
  <c r="P30" i="20" s="1"/>
  <c r="T104" i="1"/>
  <c r="X83" i="20" s="1"/>
  <c r="T103" i="1"/>
  <c r="X82" i="20" s="1"/>
  <c r="T102" i="1"/>
  <c r="X81" i="20" s="1"/>
  <c r="R104" i="1"/>
  <c r="X80" i="20" s="1"/>
  <c r="R103" i="1"/>
  <c r="X79" i="20" s="1"/>
  <c r="R102" i="1"/>
  <c r="X78" i="20" s="1"/>
  <c r="K104" i="1"/>
  <c r="P29" i="20" s="1"/>
  <c r="K103" i="1"/>
  <c r="P28" i="20" s="1"/>
  <c r="K102" i="1"/>
  <c r="P27" i="20" s="1"/>
  <c r="T93" i="1"/>
  <c r="X74" i="20" s="1"/>
  <c r="T92" i="1"/>
  <c r="X73" i="20" s="1"/>
  <c r="T91" i="1"/>
  <c r="X72" i="20" s="1"/>
  <c r="R93" i="1"/>
  <c r="X71" i="20" s="1"/>
  <c r="R92" i="1"/>
  <c r="X70" i="20" s="1"/>
  <c r="R91" i="1"/>
  <c r="X69" i="20" s="1"/>
  <c r="K93" i="1"/>
  <c r="P26" i="20" s="1"/>
  <c r="K92" i="1"/>
  <c r="P25" i="20" s="1"/>
  <c r="T82" i="1"/>
  <c r="X65" i="20" s="1"/>
  <c r="T80" i="1"/>
  <c r="X63" i="20" s="1"/>
  <c r="R82" i="1"/>
  <c r="X62" i="20" s="1"/>
  <c r="R81" i="1"/>
  <c r="X61" i="20" s="1"/>
  <c r="T71" i="1"/>
  <c r="X56" i="20" s="1"/>
  <c r="T70" i="1"/>
  <c r="X55" i="20" s="1"/>
  <c r="R71" i="1"/>
  <c r="X53" i="20" s="1"/>
  <c r="R69" i="1"/>
  <c r="X51" i="20" s="1"/>
  <c r="K70" i="1"/>
  <c r="P19" i="20" s="1"/>
  <c r="T60" i="1"/>
  <c r="X47" i="20" s="1"/>
  <c r="T59" i="1"/>
  <c r="X46" i="20" s="1"/>
  <c r="T58" i="1"/>
  <c r="X45" i="20" s="1"/>
  <c r="R60" i="1"/>
  <c r="X44" i="20" s="1"/>
  <c r="R59" i="1"/>
  <c r="X43" i="20" s="1"/>
  <c r="R58" i="1"/>
  <c r="X42" i="20" s="1"/>
  <c r="T49" i="1"/>
  <c r="X38" i="20" s="1"/>
  <c r="T48" i="1"/>
  <c r="X37" i="20" s="1"/>
  <c r="T47" i="1"/>
  <c r="X36" i="20" s="1"/>
  <c r="R49" i="1"/>
  <c r="X35" i="20" s="1"/>
  <c r="R48" i="1"/>
  <c r="X34" i="20" s="1"/>
  <c r="R47" i="1"/>
  <c r="X33" i="20" s="1"/>
  <c r="T38" i="1"/>
  <c r="X29" i="20" s="1"/>
  <c r="T37" i="1"/>
  <c r="X28" i="20" s="1"/>
  <c r="T36" i="1"/>
  <c r="X27" i="20" s="1"/>
  <c r="R38" i="1"/>
  <c r="X26" i="20" s="1"/>
  <c r="R37" i="1"/>
  <c r="X25" i="20" s="1"/>
  <c r="R36" i="1"/>
  <c r="X24" i="20" s="1"/>
  <c r="K38" i="1"/>
  <c r="P11" i="20" s="1"/>
  <c r="K36" i="1"/>
  <c r="P9" i="20" s="1"/>
  <c r="T27" i="1"/>
  <c r="X20" i="20" s="1"/>
  <c r="K67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4" i="15"/>
  <c r="K5" i="15"/>
  <c r="K6" i="15"/>
  <c r="K7" i="15"/>
  <c r="K8" i="15"/>
  <c r="K9" i="15"/>
  <c r="K10" i="15"/>
  <c r="K3" i="15"/>
  <c r="E11" i="15"/>
  <c r="C22" i="1" s="1"/>
  <c r="E12" i="15"/>
  <c r="C23" i="1" s="1"/>
  <c r="E13" i="15"/>
  <c r="C24" i="1" s="1"/>
  <c r="E14" i="15"/>
  <c r="C25" i="1" s="1"/>
  <c r="E15" i="15"/>
  <c r="C26" i="1" s="1"/>
  <c r="E16" i="15"/>
  <c r="E17" i="15"/>
  <c r="C28" i="1" s="1"/>
  <c r="E18" i="15"/>
  <c r="C29" i="1" s="1"/>
  <c r="E19" i="15"/>
  <c r="C33" i="1" s="1"/>
  <c r="E20" i="15"/>
  <c r="C34" i="1" s="1"/>
  <c r="E21" i="15"/>
  <c r="C35" i="1" s="1"/>
  <c r="E22" i="15"/>
  <c r="C36" i="1" s="1"/>
  <c r="E23" i="15"/>
  <c r="C37" i="1" s="1"/>
  <c r="E24" i="15"/>
  <c r="C38" i="1" s="1"/>
  <c r="E25" i="15"/>
  <c r="C39" i="1" s="1"/>
  <c r="E26" i="15"/>
  <c r="C40" i="1" s="1"/>
  <c r="E27" i="15"/>
  <c r="C44" i="1" s="1"/>
  <c r="E28" i="15"/>
  <c r="C45" i="1" s="1"/>
  <c r="E29" i="15"/>
  <c r="C46" i="1" s="1"/>
  <c r="E30" i="15"/>
  <c r="C47" i="1" s="1"/>
  <c r="E31" i="15"/>
  <c r="C48" i="1" s="1"/>
  <c r="E32" i="15"/>
  <c r="C49" i="1" s="1"/>
  <c r="E33" i="15"/>
  <c r="C50" i="1" s="1"/>
  <c r="E34" i="15"/>
  <c r="C51" i="1" s="1"/>
  <c r="E35" i="15"/>
  <c r="C55" i="1" s="1"/>
  <c r="E36" i="15"/>
  <c r="C56" i="1" s="1"/>
  <c r="E37" i="15"/>
  <c r="C57" i="1" s="1"/>
  <c r="E38" i="15"/>
  <c r="C58" i="1" s="1"/>
  <c r="E39" i="15"/>
  <c r="C59" i="1" s="1"/>
  <c r="E40" i="15"/>
  <c r="C60" i="1" s="1"/>
  <c r="E41" i="15"/>
  <c r="C61" i="1" s="1"/>
  <c r="E42" i="15"/>
  <c r="C62" i="1" s="1"/>
  <c r="E43" i="15"/>
  <c r="C66" i="1" s="1"/>
  <c r="E44" i="15"/>
  <c r="C67" i="1" s="1"/>
  <c r="E45" i="15"/>
  <c r="C68" i="1" s="1"/>
  <c r="E46" i="15"/>
  <c r="C69" i="1" s="1"/>
  <c r="E47" i="15"/>
  <c r="C70" i="1" s="1"/>
  <c r="E48" i="15"/>
  <c r="C71" i="1" s="1"/>
  <c r="E49" i="15"/>
  <c r="C72" i="1" s="1"/>
  <c r="E50" i="15"/>
  <c r="C73" i="1" s="1"/>
  <c r="E51" i="15"/>
  <c r="C77" i="1" s="1"/>
  <c r="E52" i="15"/>
  <c r="C78" i="1" s="1"/>
  <c r="E53" i="15"/>
  <c r="C79" i="1" s="1"/>
  <c r="E54" i="15"/>
  <c r="C80" i="1" s="1"/>
  <c r="E55" i="15"/>
  <c r="C81" i="1" s="1"/>
  <c r="E56" i="15"/>
  <c r="C82" i="1" s="1"/>
  <c r="E57" i="15"/>
  <c r="C83" i="1" s="1"/>
  <c r="E58" i="15"/>
  <c r="C84" i="1" s="1"/>
  <c r="E59" i="15"/>
  <c r="C88" i="1" s="1"/>
  <c r="E60" i="15"/>
  <c r="C89" i="1" s="1"/>
  <c r="E61" i="15"/>
  <c r="C90" i="1" s="1"/>
  <c r="E62" i="15"/>
  <c r="C91" i="1" s="1"/>
  <c r="E63" i="15"/>
  <c r="C92" i="1" s="1"/>
  <c r="E64" i="15"/>
  <c r="C93" i="1" s="1"/>
  <c r="E65" i="15"/>
  <c r="C94" i="1" s="1"/>
  <c r="E66" i="15"/>
  <c r="C95" i="1" s="1"/>
  <c r="E67" i="15"/>
  <c r="C99" i="1" s="1"/>
  <c r="E68" i="15"/>
  <c r="C100" i="1" s="1"/>
  <c r="E69" i="15"/>
  <c r="C101" i="1" s="1"/>
  <c r="E70" i="15"/>
  <c r="C102" i="1" s="1"/>
  <c r="E71" i="15"/>
  <c r="C103" i="1" s="1"/>
  <c r="E72" i="15"/>
  <c r="C104" i="1" s="1"/>
  <c r="E73" i="15"/>
  <c r="C105" i="1" s="1"/>
  <c r="E74" i="15"/>
  <c r="C106" i="1" s="1"/>
  <c r="E75" i="15"/>
  <c r="C110" i="1" s="1"/>
  <c r="E76" i="15"/>
  <c r="C111" i="1" s="1"/>
  <c r="E77" i="15"/>
  <c r="C112" i="1" s="1"/>
  <c r="E78" i="15"/>
  <c r="C113" i="1" s="1"/>
  <c r="E79" i="15"/>
  <c r="C114" i="1" s="1"/>
  <c r="E80" i="15"/>
  <c r="C115" i="1" s="1"/>
  <c r="E81" i="15"/>
  <c r="C116" i="1" s="1"/>
  <c r="E82" i="15"/>
  <c r="C117" i="1" s="1"/>
  <c r="H11" i="15"/>
  <c r="D22" i="1" s="1"/>
  <c r="H12" i="15"/>
  <c r="D23" i="1" s="1"/>
  <c r="H13" i="15"/>
  <c r="D24" i="1" s="1"/>
  <c r="H14" i="15"/>
  <c r="D25" i="1" s="1"/>
  <c r="H15" i="15"/>
  <c r="D26" i="1" s="1"/>
  <c r="H16" i="15"/>
  <c r="H17" i="15"/>
  <c r="D28" i="1" s="1"/>
  <c r="H18" i="15"/>
  <c r="D29" i="1" s="1"/>
  <c r="H19" i="15"/>
  <c r="D33" i="1" s="1"/>
  <c r="H20" i="15"/>
  <c r="D34" i="1" s="1"/>
  <c r="H21" i="15"/>
  <c r="D35" i="1" s="1"/>
  <c r="H22" i="15"/>
  <c r="D36" i="1" s="1"/>
  <c r="H23" i="15"/>
  <c r="D37" i="1" s="1"/>
  <c r="H24" i="15"/>
  <c r="D38" i="1" s="1"/>
  <c r="H25" i="15"/>
  <c r="D39" i="1" s="1"/>
  <c r="H26" i="15"/>
  <c r="D40" i="1" s="1"/>
  <c r="H27" i="15"/>
  <c r="D44" i="1" s="1"/>
  <c r="H28" i="15"/>
  <c r="D45" i="1" s="1"/>
  <c r="H29" i="15"/>
  <c r="D46" i="1" s="1"/>
  <c r="H30" i="15"/>
  <c r="D47" i="1" s="1"/>
  <c r="H31" i="15"/>
  <c r="D48" i="1" s="1"/>
  <c r="H32" i="15"/>
  <c r="D49" i="1" s="1"/>
  <c r="H33" i="15"/>
  <c r="D50" i="1" s="1"/>
  <c r="H34" i="15"/>
  <c r="D51" i="1" s="1"/>
  <c r="H35" i="15"/>
  <c r="D55" i="1" s="1"/>
  <c r="H36" i="15"/>
  <c r="D56" i="1" s="1"/>
  <c r="H37" i="15"/>
  <c r="D57" i="1" s="1"/>
  <c r="H38" i="15"/>
  <c r="D58" i="1" s="1"/>
  <c r="H39" i="15"/>
  <c r="D59" i="1" s="1"/>
  <c r="H40" i="15"/>
  <c r="D60" i="1" s="1"/>
  <c r="H41" i="15"/>
  <c r="D61" i="1" s="1"/>
  <c r="H42" i="15"/>
  <c r="D62" i="1" s="1"/>
  <c r="H43" i="15"/>
  <c r="D66" i="1" s="1"/>
  <c r="H44" i="15"/>
  <c r="D67" i="1" s="1"/>
  <c r="H45" i="15"/>
  <c r="D68" i="1" s="1"/>
  <c r="H46" i="15"/>
  <c r="D69" i="1" s="1"/>
  <c r="H47" i="15"/>
  <c r="D70" i="1" s="1"/>
  <c r="H48" i="15"/>
  <c r="D71" i="1" s="1"/>
  <c r="H49" i="15"/>
  <c r="D72" i="1" s="1"/>
  <c r="H50" i="15"/>
  <c r="D73" i="1" s="1"/>
  <c r="H51" i="15"/>
  <c r="D77" i="1" s="1"/>
  <c r="H52" i="15"/>
  <c r="D78" i="1" s="1"/>
  <c r="H53" i="15"/>
  <c r="D79" i="1" s="1"/>
  <c r="H54" i="15"/>
  <c r="D80" i="1" s="1"/>
  <c r="H55" i="15"/>
  <c r="D81" i="1" s="1"/>
  <c r="H56" i="15"/>
  <c r="D82" i="1" s="1"/>
  <c r="H57" i="15"/>
  <c r="D83" i="1" s="1"/>
  <c r="H58" i="15"/>
  <c r="D84" i="1" s="1"/>
  <c r="H59" i="15"/>
  <c r="D88" i="1" s="1"/>
  <c r="H60" i="15"/>
  <c r="D89" i="1" s="1"/>
  <c r="H61" i="15"/>
  <c r="D90" i="1" s="1"/>
  <c r="H62" i="15"/>
  <c r="D91" i="1" s="1"/>
  <c r="H63" i="15"/>
  <c r="D92" i="1" s="1"/>
  <c r="H64" i="15"/>
  <c r="D93" i="1" s="1"/>
  <c r="H65" i="15"/>
  <c r="D94" i="1" s="1"/>
  <c r="H66" i="15"/>
  <c r="D95" i="1" s="1"/>
  <c r="H67" i="15"/>
  <c r="D99" i="1" s="1"/>
  <c r="H68" i="15"/>
  <c r="D100" i="1" s="1"/>
  <c r="H69" i="15"/>
  <c r="D101" i="1" s="1"/>
  <c r="H70" i="15"/>
  <c r="D102" i="1" s="1"/>
  <c r="H71" i="15"/>
  <c r="D103" i="1" s="1"/>
  <c r="H72" i="15"/>
  <c r="D104" i="1" s="1"/>
  <c r="H73" i="15"/>
  <c r="D105" i="1" s="1"/>
  <c r="H74" i="15"/>
  <c r="D106" i="1" s="1"/>
  <c r="H75" i="15"/>
  <c r="D110" i="1" s="1"/>
  <c r="H76" i="15"/>
  <c r="D111" i="1" s="1"/>
  <c r="H77" i="15"/>
  <c r="D112" i="1" s="1"/>
  <c r="H78" i="15"/>
  <c r="D113" i="1" s="1"/>
  <c r="H79" i="15"/>
  <c r="D114" i="1" s="1"/>
  <c r="H80" i="15"/>
  <c r="D115" i="1" s="1"/>
  <c r="H81" i="15"/>
  <c r="D116" i="1" s="1"/>
  <c r="H82" i="15"/>
  <c r="D117" i="1" s="1"/>
  <c r="H4" i="15"/>
  <c r="D12" i="1" s="1"/>
  <c r="H5" i="15"/>
  <c r="D13" i="1" s="1"/>
  <c r="H6" i="15"/>
  <c r="D14" i="1" s="1"/>
  <c r="H7" i="15"/>
  <c r="D15" i="1" s="1"/>
  <c r="H8" i="15"/>
  <c r="D16" i="1" s="1"/>
  <c r="H9" i="15"/>
  <c r="D17" i="1" s="1"/>
  <c r="H10" i="15"/>
  <c r="D18" i="1" s="1"/>
  <c r="H3" i="15"/>
  <c r="D11" i="1" s="1"/>
  <c r="E4" i="15"/>
  <c r="C12" i="1" s="1"/>
  <c r="E5" i="15"/>
  <c r="C13" i="1" s="1"/>
  <c r="E6" i="15"/>
  <c r="C14" i="1" s="1"/>
  <c r="E7" i="15"/>
  <c r="C15" i="1" s="1"/>
  <c r="E8" i="15"/>
  <c r="C16" i="1" s="1"/>
  <c r="E9" i="15"/>
  <c r="C17" i="1" s="1"/>
  <c r="E10" i="15"/>
  <c r="C18" i="1" s="1"/>
  <c r="E3" i="15"/>
  <c r="C11" i="1" s="1"/>
  <c r="E118" i="1"/>
  <c r="E41" i="1"/>
  <c r="E30" i="1"/>
  <c r="E52" i="1"/>
  <c r="E63" i="1"/>
  <c r="E74" i="1"/>
  <c r="E85" i="1"/>
  <c r="E96" i="1"/>
  <c r="E107" i="1"/>
  <c r="N68" i="15" l="1"/>
  <c r="I3" i="15"/>
  <c r="J3" i="15" s="1"/>
  <c r="I4" i="15"/>
  <c r="J4" i="15" s="1"/>
  <c r="B12" i="1" s="1"/>
  <c r="I5" i="15"/>
  <c r="J5" i="15" s="1"/>
  <c r="B13" i="1" s="1"/>
  <c r="I6" i="15"/>
  <c r="J6" i="15" s="1"/>
  <c r="B14" i="1" s="1"/>
  <c r="I7" i="15"/>
  <c r="J7" i="15" s="1"/>
  <c r="B15" i="1" s="1"/>
  <c r="I8" i="15"/>
  <c r="J8" i="15" s="1"/>
  <c r="I9" i="15"/>
  <c r="J9" i="15" s="1"/>
  <c r="I10" i="15"/>
  <c r="J10" i="15" s="1"/>
  <c r="I11" i="15"/>
  <c r="J11" i="15" s="1"/>
  <c r="I12" i="15"/>
  <c r="J12" i="15" s="1"/>
  <c r="I13" i="15"/>
  <c r="J13" i="15" s="1"/>
  <c r="I14" i="15"/>
  <c r="J14" i="15" s="1"/>
  <c r="B25" i="1" s="1"/>
  <c r="I15" i="15"/>
  <c r="J15" i="15" s="1"/>
  <c r="I16" i="15"/>
  <c r="J16" i="15" s="1"/>
  <c r="I17" i="15"/>
  <c r="J17" i="15" s="1"/>
  <c r="I18" i="15"/>
  <c r="J18" i="15" s="1"/>
  <c r="I19" i="15"/>
  <c r="J19" i="15" s="1"/>
  <c r="I20" i="15"/>
  <c r="J20" i="15" s="1"/>
  <c r="I21" i="15"/>
  <c r="J21" i="15" s="1"/>
  <c r="I22" i="15"/>
  <c r="J22" i="15" s="1"/>
  <c r="I23" i="15"/>
  <c r="J23" i="15" s="1"/>
  <c r="I24" i="15"/>
  <c r="J24" i="15" s="1"/>
  <c r="I25" i="15"/>
  <c r="J25" i="15" s="1"/>
  <c r="I26" i="15"/>
  <c r="J26" i="15" s="1"/>
  <c r="I27" i="15"/>
  <c r="J27" i="15" s="1"/>
  <c r="I28" i="15"/>
  <c r="J28" i="15" s="1"/>
  <c r="I29" i="15"/>
  <c r="J29" i="15" s="1"/>
  <c r="I30" i="15"/>
  <c r="J30" i="15" s="1"/>
  <c r="I31" i="15"/>
  <c r="J31" i="15" s="1"/>
  <c r="I32" i="15"/>
  <c r="J32" i="15" s="1"/>
  <c r="I33" i="15"/>
  <c r="J33" i="15" s="1"/>
  <c r="I34" i="15"/>
  <c r="J34" i="15" s="1"/>
  <c r="I35" i="15"/>
  <c r="I36" i="15"/>
  <c r="J36" i="15" s="1"/>
  <c r="I37" i="15"/>
  <c r="J37" i="15" s="1"/>
  <c r="I38" i="15"/>
  <c r="J38" i="15" s="1"/>
  <c r="I39" i="15"/>
  <c r="J39" i="15" s="1"/>
  <c r="I40" i="15"/>
  <c r="J40" i="15" s="1"/>
  <c r="I41" i="15"/>
  <c r="J41" i="15" s="1"/>
  <c r="I42" i="15"/>
  <c r="J42" i="15" s="1"/>
  <c r="I43" i="15"/>
  <c r="J43" i="15" s="1"/>
  <c r="I44" i="15"/>
  <c r="J44" i="15" s="1"/>
  <c r="I45" i="15"/>
  <c r="J45" i="15" s="1"/>
  <c r="I46" i="15"/>
  <c r="J46" i="15" s="1"/>
  <c r="I47" i="15"/>
  <c r="J47" i="15" s="1"/>
  <c r="I48" i="15"/>
  <c r="J48" i="15" s="1"/>
  <c r="I49" i="15"/>
  <c r="J49" i="15" s="1"/>
  <c r="I50" i="15"/>
  <c r="J50" i="15" s="1"/>
  <c r="I51" i="15"/>
  <c r="J51" i="15" s="1"/>
  <c r="I52" i="15"/>
  <c r="J52" i="15" s="1"/>
  <c r="I53" i="15"/>
  <c r="J53" i="15" s="1"/>
  <c r="I54" i="15"/>
  <c r="J54" i="15" s="1"/>
  <c r="I55" i="15"/>
  <c r="J55" i="15" s="1"/>
  <c r="I56" i="15"/>
  <c r="J56" i="15" s="1"/>
  <c r="I57" i="15"/>
  <c r="J57" i="15" s="1"/>
  <c r="I58" i="15"/>
  <c r="J58" i="15" s="1"/>
  <c r="I59" i="15"/>
  <c r="J59" i="15" s="1"/>
  <c r="I60" i="15"/>
  <c r="J60" i="15" s="1"/>
  <c r="I61" i="15"/>
  <c r="J61" i="15" s="1"/>
  <c r="I62" i="15"/>
  <c r="J62" i="15" s="1"/>
  <c r="I63" i="15"/>
  <c r="J63" i="15" s="1"/>
  <c r="I64" i="15"/>
  <c r="J64" i="15" s="1"/>
  <c r="I65" i="15"/>
  <c r="J65" i="15" s="1"/>
  <c r="I66" i="15"/>
  <c r="J66" i="15" s="1"/>
  <c r="I67" i="15"/>
  <c r="J67" i="15" s="1"/>
  <c r="I68" i="15"/>
  <c r="J68" i="15" s="1"/>
  <c r="I69" i="15"/>
  <c r="J69" i="15" s="1"/>
  <c r="I70" i="15"/>
  <c r="J70" i="15" s="1"/>
  <c r="I71" i="15"/>
  <c r="J71" i="15" s="1"/>
  <c r="I72" i="15"/>
  <c r="J72" i="15" s="1"/>
  <c r="I73" i="15"/>
  <c r="J73" i="15" s="1"/>
  <c r="I74" i="15"/>
  <c r="J74" i="15" s="1"/>
  <c r="I75" i="15"/>
  <c r="J75" i="15" s="1"/>
  <c r="I76" i="15"/>
  <c r="J76" i="15" s="1"/>
  <c r="I77" i="15"/>
  <c r="J77" i="15" s="1"/>
  <c r="I78" i="15"/>
  <c r="J78" i="15" s="1"/>
  <c r="I79" i="15"/>
  <c r="J79" i="15" s="1"/>
  <c r="I80" i="15"/>
  <c r="J80" i="15" s="1"/>
  <c r="I81" i="15"/>
  <c r="J81" i="15" s="1"/>
  <c r="I82" i="15"/>
  <c r="J82" i="15" s="1"/>
  <c r="P103" i="1" l="1"/>
  <c r="X76" i="20" s="1"/>
  <c r="E68" i="20"/>
  <c r="B26" i="1"/>
  <c r="B18" i="1"/>
  <c r="B17" i="1"/>
  <c r="B16" i="1"/>
  <c r="B23" i="1"/>
  <c r="B11" i="1"/>
  <c r="B29" i="1"/>
  <c r="B24" i="1"/>
  <c r="B22" i="1"/>
  <c r="B28" i="1"/>
  <c r="B55" i="1"/>
  <c r="J35" i="15"/>
  <c r="B65" i="18" l="1"/>
  <c r="F65" i="18"/>
  <c r="J65" i="18"/>
  <c r="N65" i="18"/>
  <c r="R65" i="18"/>
  <c r="R32" i="18"/>
  <c r="N32" i="18"/>
  <c r="J32" i="18"/>
  <c r="F32" i="18"/>
  <c r="B32" i="18"/>
  <c r="B56" i="18"/>
  <c r="F56" i="18"/>
  <c r="J56" i="18"/>
  <c r="N56" i="18"/>
  <c r="R56" i="18"/>
  <c r="R23" i="18"/>
  <c r="N23" i="18"/>
  <c r="J23" i="18"/>
  <c r="F23" i="18"/>
  <c r="B23" i="18"/>
  <c r="B52" i="18"/>
  <c r="F52" i="18"/>
  <c r="J52" i="18"/>
  <c r="N52" i="18"/>
  <c r="R52" i="18"/>
  <c r="R19" i="18"/>
  <c r="N19" i="18"/>
  <c r="J19" i="18"/>
  <c r="F19" i="18"/>
  <c r="B19" i="18"/>
  <c r="R49" i="18"/>
  <c r="R50" i="18"/>
  <c r="N49" i="18"/>
  <c r="N50" i="18"/>
  <c r="J49" i="18"/>
  <c r="J50" i="18"/>
  <c r="F49" i="18"/>
  <c r="F50" i="18"/>
  <c r="B49" i="18"/>
  <c r="B50" i="18"/>
  <c r="R16" i="18"/>
  <c r="R17" i="18"/>
  <c r="N16" i="18"/>
  <c r="N17" i="18"/>
  <c r="J16" i="18"/>
  <c r="J17" i="18"/>
  <c r="F16" i="18"/>
  <c r="F17" i="18"/>
  <c r="B17" i="18"/>
  <c r="B16" i="18"/>
  <c r="M113" i="1"/>
  <c r="M114" i="1"/>
  <c r="M115" i="1"/>
  <c r="H113" i="1"/>
  <c r="H114" i="1"/>
  <c r="H115" i="1"/>
  <c r="H102" i="1"/>
  <c r="H103" i="1"/>
  <c r="H104" i="1"/>
  <c r="H91" i="1"/>
  <c r="H92" i="1"/>
  <c r="H93" i="1"/>
  <c r="H80" i="1"/>
  <c r="H81" i="1"/>
  <c r="H82" i="1"/>
  <c r="H69" i="1"/>
  <c r="H70" i="1"/>
  <c r="H71" i="1"/>
  <c r="H58" i="1"/>
  <c r="H59" i="1"/>
  <c r="H60" i="1"/>
  <c r="H47" i="1"/>
  <c r="H48" i="1"/>
  <c r="H49" i="1"/>
  <c r="H36" i="1"/>
  <c r="H37" i="1"/>
  <c r="H38" i="1"/>
  <c r="H25" i="1"/>
  <c r="H26" i="1"/>
  <c r="H27" i="1"/>
  <c r="H16" i="1"/>
  <c r="H15" i="1"/>
  <c r="H14" i="1"/>
  <c r="M102" i="1"/>
  <c r="M103" i="1"/>
  <c r="M104" i="1"/>
  <c r="M91" i="1"/>
  <c r="M92" i="1"/>
  <c r="M93" i="1"/>
  <c r="M80" i="1"/>
  <c r="M81" i="1"/>
  <c r="M82" i="1"/>
  <c r="M69" i="1"/>
  <c r="M70" i="1"/>
  <c r="M71" i="1"/>
  <c r="M58" i="1"/>
  <c r="M59" i="1"/>
  <c r="M60" i="1"/>
  <c r="M47" i="1"/>
  <c r="M48" i="1"/>
  <c r="M49" i="1"/>
  <c r="M38" i="1"/>
  <c r="M37" i="1"/>
  <c r="M36" i="1"/>
  <c r="C67" i="18"/>
  <c r="C68" i="18"/>
  <c r="C69" i="18"/>
  <c r="C70" i="18"/>
  <c r="C71" i="18"/>
  <c r="C72" i="18"/>
  <c r="C73" i="18"/>
  <c r="C74" i="18"/>
  <c r="G67" i="18"/>
  <c r="G68" i="18"/>
  <c r="G69" i="18"/>
  <c r="G70" i="18"/>
  <c r="G71" i="18"/>
  <c r="G72" i="18"/>
  <c r="G73" i="18"/>
  <c r="G74" i="18"/>
  <c r="K67" i="18"/>
  <c r="K68" i="18"/>
  <c r="K69" i="18"/>
  <c r="K70" i="18"/>
  <c r="K71" i="18"/>
  <c r="K72" i="18"/>
  <c r="K73" i="18"/>
  <c r="K74" i="18"/>
  <c r="O67" i="18"/>
  <c r="O68" i="18"/>
  <c r="O69" i="18"/>
  <c r="O70" i="18"/>
  <c r="O71" i="18"/>
  <c r="O72" i="18"/>
  <c r="O73" i="18"/>
  <c r="O74" i="18"/>
  <c r="S67" i="18"/>
  <c r="S68" i="18"/>
  <c r="S69" i="18"/>
  <c r="S70" i="18"/>
  <c r="S71" i="18"/>
  <c r="S72" i="18"/>
  <c r="S73" i="18"/>
  <c r="S74" i="18"/>
  <c r="S34" i="18"/>
  <c r="S35" i="18"/>
  <c r="S36" i="18"/>
  <c r="S37" i="18"/>
  <c r="S38" i="18"/>
  <c r="S39" i="18"/>
  <c r="S40" i="18"/>
  <c r="S41" i="18"/>
  <c r="O34" i="18"/>
  <c r="O35" i="18"/>
  <c r="O36" i="18"/>
  <c r="O37" i="18"/>
  <c r="O38" i="18"/>
  <c r="O39" i="18"/>
  <c r="O40" i="18"/>
  <c r="O41" i="18"/>
  <c r="K34" i="18"/>
  <c r="K35" i="18"/>
  <c r="K36" i="18"/>
  <c r="K37" i="18"/>
  <c r="K38" i="18"/>
  <c r="K39" i="18"/>
  <c r="K40" i="18"/>
  <c r="K41" i="18"/>
  <c r="G34" i="18"/>
  <c r="G35" i="18"/>
  <c r="G36" i="18"/>
  <c r="G37" i="18"/>
  <c r="G38" i="18"/>
  <c r="G39" i="18"/>
  <c r="G40" i="18"/>
  <c r="G41" i="18"/>
  <c r="C57" i="18"/>
  <c r="C58" i="18"/>
  <c r="C59" i="18"/>
  <c r="C60" i="18"/>
  <c r="G57" i="18"/>
  <c r="G58" i="18"/>
  <c r="G59" i="18"/>
  <c r="G60" i="18"/>
  <c r="K57" i="18"/>
  <c r="K58" i="18"/>
  <c r="K59" i="18"/>
  <c r="K60" i="18"/>
  <c r="O57" i="18"/>
  <c r="O58" i="18"/>
  <c r="O59" i="18"/>
  <c r="O60" i="18"/>
  <c r="S57" i="18"/>
  <c r="S58" i="18"/>
  <c r="S59" i="18"/>
  <c r="S60" i="18"/>
  <c r="S24" i="18"/>
  <c r="S25" i="18"/>
  <c r="S26" i="18"/>
  <c r="S27" i="18"/>
  <c r="O24" i="18"/>
  <c r="O25" i="18"/>
  <c r="O26" i="18"/>
  <c r="O27" i="18"/>
  <c r="K24" i="18"/>
  <c r="K25" i="18"/>
  <c r="K26" i="18"/>
  <c r="K27" i="18"/>
  <c r="G24" i="18"/>
  <c r="G25" i="18"/>
  <c r="G26" i="18"/>
  <c r="G27" i="18"/>
  <c r="C27" i="18"/>
  <c r="C26" i="18"/>
  <c r="C25" i="18"/>
  <c r="C24" i="18"/>
  <c r="C28" i="18" s="1"/>
  <c r="C41" i="18"/>
  <c r="C40" i="18"/>
  <c r="C39" i="18"/>
  <c r="C38" i="18"/>
  <c r="C37" i="18"/>
  <c r="C36" i="18"/>
  <c r="C35" i="18"/>
  <c r="C34" i="18"/>
  <c r="D51" i="18"/>
  <c r="H51" i="18"/>
  <c r="L51" i="18"/>
  <c r="P51" i="18"/>
  <c r="T51" i="18"/>
  <c r="T18" i="18"/>
  <c r="P18" i="18"/>
  <c r="L18" i="18"/>
  <c r="H18" i="18"/>
  <c r="D18" i="18"/>
  <c r="I110" i="1"/>
  <c r="T48" i="18" s="1"/>
  <c r="T52" i="18" s="1"/>
  <c r="I99" i="1"/>
  <c r="P48" i="18" s="1"/>
  <c r="I88" i="1"/>
  <c r="L48" i="18" s="1"/>
  <c r="I77" i="1"/>
  <c r="H48" i="18" s="1"/>
  <c r="I66" i="1"/>
  <c r="D48" i="18" s="1"/>
  <c r="I55" i="1"/>
  <c r="T15" i="18" s="1"/>
  <c r="I44" i="1"/>
  <c r="I33" i="1"/>
  <c r="L15" i="18" s="1"/>
  <c r="I22" i="1"/>
  <c r="H15" i="18" s="1"/>
  <c r="I11" i="1"/>
  <c r="D15" i="18" s="1"/>
  <c r="D16" i="18" s="1"/>
  <c r="N15" i="15"/>
  <c r="N4" i="15"/>
  <c r="N3" i="15"/>
  <c r="E3" i="20" s="1"/>
  <c r="B100" i="1"/>
  <c r="N25" i="15"/>
  <c r="T25" i="1" s="1"/>
  <c r="X18" i="20" s="1"/>
  <c r="N70" i="15"/>
  <c r="E70" i="20" s="1"/>
  <c r="N71" i="15"/>
  <c r="E71" i="20" s="1"/>
  <c r="N72" i="15"/>
  <c r="E72" i="20" s="1"/>
  <c r="N73" i="15"/>
  <c r="N74" i="15"/>
  <c r="N75" i="15"/>
  <c r="E75" i="20" s="1"/>
  <c r="N76" i="15"/>
  <c r="E76" i="20" s="1"/>
  <c r="N77" i="15"/>
  <c r="N78" i="15"/>
  <c r="E78" i="20" s="1"/>
  <c r="N79" i="15"/>
  <c r="N80" i="15"/>
  <c r="E80" i="20" s="1"/>
  <c r="N81" i="15"/>
  <c r="N82" i="15"/>
  <c r="E82" i="20" s="1"/>
  <c r="N67" i="15"/>
  <c r="E67" i="20" s="1"/>
  <c r="N48" i="15"/>
  <c r="K69" i="1" s="1"/>
  <c r="P18" i="20" s="1"/>
  <c r="N49" i="15"/>
  <c r="N50" i="15"/>
  <c r="E50" i="20" s="1"/>
  <c r="N51" i="15"/>
  <c r="N52" i="15"/>
  <c r="N53" i="15"/>
  <c r="E53" i="20" s="1"/>
  <c r="N54" i="15"/>
  <c r="K82" i="1" s="1"/>
  <c r="P23" i="20" s="1"/>
  <c r="N55" i="15"/>
  <c r="N56" i="15"/>
  <c r="N57" i="15"/>
  <c r="K80" i="1" s="1"/>
  <c r="P21" i="20" s="1"/>
  <c r="N58" i="15"/>
  <c r="E58" i="20" s="1"/>
  <c r="N59" i="15"/>
  <c r="E59" i="20" s="1"/>
  <c r="N60" i="15"/>
  <c r="N61" i="15"/>
  <c r="N62" i="15"/>
  <c r="K91" i="1" s="1"/>
  <c r="P24" i="20" s="1"/>
  <c r="N63" i="15"/>
  <c r="E63" i="20" s="1"/>
  <c r="N64" i="15"/>
  <c r="E64" i="20" s="1"/>
  <c r="N65" i="15"/>
  <c r="E65" i="20" s="1"/>
  <c r="N66" i="15"/>
  <c r="E66" i="20" s="1"/>
  <c r="N69" i="15"/>
  <c r="E69" i="20" s="1"/>
  <c r="N47" i="15"/>
  <c r="R70" i="1" s="1"/>
  <c r="X52" i="20" s="1"/>
  <c r="N26" i="15"/>
  <c r="E26" i="20" s="1"/>
  <c r="N27" i="15"/>
  <c r="E27" i="20" s="1"/>
  <c r="N28" i="15"/>
  <c r="E28" i="20" s="1"/>
  <c r="N29" i="15"/>
  <c r="N30" i="15"/>
  <c r="K47" i="1" s="1"/>
  <c r="P12" i="20" s="1"/>
  <c r="N31" i="15"/>
  <c r="N32" i="15"/>
  <c r="N33" i="15"/>
  <c r="N34" i="15"/>
  <c r="N35" i="15"/>
  <c r="N36" i="15"/>
  <c r="E36" i="20" s="1"/>
  <c r="N37" i="15"/>
  <c r="K58" i="1" s="1"/>
  <c r="P15" i="20" s="1"/>
  <c r="N38" i="15"/>
  <c r="E38" i="20" s="1"/>
  <c r="N39" i="15"/>
  <c r="N40" i="15"/>
  <c r="E40" i="20" s="1"/>
  <c r="N41" i="15"/>
  <c r="N42" i="15"/>
  <c r="E42" i="20" s="1"/>
  <c r="N43" i="15"/>
  <c r="N44" i="15"/>
  <c r="N45" i="15"/>
  <c r="N46" i="15"/>
  <c r="E46" i="20" s="1"/>
  <c r="N24" i="15"/>
  <c r="E24" i="20" s="1"/>
  <c r="N5" i="15"/>
  <c r="N6" i="15"/>
  <c r="N7" i="15"/>
  <c r="N8" i="15"/>
  <c r="E8" i="20" s="1"/>
  <c r="N9" i="15"/>
  <c r="E9" i="20" s="1"/>
  <c r="N10" i="15"/>
  <c r="N11" i="15"/>
  <c r="N12" i="15"/>
  <c r="E12" i="20" s="1"/>
  <c r="N13" i="15"/>
  <c r="N14" i="15"/>
  <c r="N16" i="15"/>
  <c r="N17" i="15"/>
  <c r="N18" i="15"/>
  <c r="T26" i="1" s="1"/>
  <c r="X19" i="20" s="1"/>
  <c r="N19" i="15"/>
  <c r="E19" i="20" s="1"/>
  <c r="N20" i="15"/>
  <c r="E20" i="20" s="1"/>
  <c r="N21" i="15"/>
  <c r="K37" i="1" s="1"/>
  <c r="P10" i="20" s="1"/>
  <c r="N22" i="15"/>
  <c r="E22" i="20" s="1"/>
  <c r="N23" i="15"/>
  <c r="E9" i="17"/>
  <c r="E10" i="17"/>
  <c r="B33" i="1"/>
  <c r="B34" i="1"/>
  <c r="B35" i="1"/>
  <c r="B36" i="1"/>
  <c r="B37" i="1"/>
  <c r="B38" i="1"/>
  <c r="B39" i="1"/>
  <c r="B40" i="1"/>
  <c r="B44" i="1"/>
  <c r="B45" i="1"/>
  <c r="B46" i="1"/>
  <c r="B47" i="1"/>
  <c r="B48" i="1"/>
  <c r="E38" i="17"/>
  <c r="E39" i="17"/>
  <c r="B56" i="1"/>
  <c r="B58" i="1"/>
  <c r="E45" i="17"/>
  <c r="E46" i="17"/>
  <c r="B70" i="1"/>
  <c r="B71" i="1"/>
  <c r="B77" i="1"/>
  <c r="B80" i="1"/>
  <c r="B83" i="1"/>
  <c r="B89" i="1"/>
  <c r="E71" i="17"/>
  <c r="B92" i="1"/>
  <c r="B93" i="1"/>
  <c r="B94" i="1"/>
  <c r="T5" i="15"/>
  <c r="T6" i="15" s="1"/>
  <c r="K3" i="18"/>
  <c r="I3" i="18"/>
  <c r="G3" i="18"/>
  <c r="M27" i="1"/>
  <c r="M16" i="1"/>
  <c r="M26" i="1"/>
  <c r="M15" i="1"/>
  <c r="M25" i="1"/>
  <c r="M14" i="1"/>
  <c r="E83" i="17"/>
  <c r="D83" i="17"/>
  <c r="C83" i="17"/>
  <c r="E57" i="17"/>
  <c r="D57" i="17"/>
  <c r="C57" i="17"/>
  <c r="D5" i="17"/>
  <c r="C5" i="17"/>
  <c r="C31" i="17"/>
  <c r="E11" i="17"/>
  <c r="E12" i="17"/>
  <c r="E14" i="17"/>
  <c r="E15" i="17"/>
  <c r="E16" i="17"/>
  <c r="E17" i="17"/>
  <c r="E19" i="17"/>
  <c r="E20" i="17"/>
  <c r="E21" i="17"/>
  <c r="E22" i="17"/>
  <c r="E23" i="17"/>
  <c r="E24" i="17"/>
  <c r="E25" i="17"/>
  <c r="P15" i="18"/>
  <c r="E87" i="17"/>
  <c r="E88" i="17"/>
  <c r="E89" i="17"/>
  <c r="E90" i="17"/>
  <c r="E91" i="17"/>
  <c r="E92" i="17"/>
  <c r="E93" i="17"/>
  <c r="E94" i="17"/>
  <c r="E95" i="17"/>
  <c r="E96" i="17"/>
  <c r="E98" i="17"/>
  <c r="E99" i="17"/>
  <c r="E103" i="17"/>
  <c r="E104" i="17"/>
  <c r="E58" i="17"/>
  <c r="E60" i="17"/>
  <c r="E61" i="17"/>
  <c r="E62" i="17"/>
  <c r="E64" i="17"/>
  <c r="E65" i="17"/>
  <c r="E67" i="17"/>
  <c r="E68" i="17"/>
  <c r="E69" i="17"/>
  <c r="E70" i="17"/>
  <c r="E72" i="17"/>
  <c r="E73" i="17"/>
  <c r="E74" i="17"/>
  <c r="E75" i="17"/>
  <c r="E76" i="17"/>
  <c r="E77" i="17"/>
  <c r="E78" i="17"/>
  <c r="E32" i="17"/>
  <c r="E33" i="17"/>
  <c r="E34" i="17"/>
  <c r="E35" i="17"/>
  <c r="E36" i="17"/>
  <c r="E37" i="17"/>
  <c r="E40" i="17"/>
  <c r="E41" i="17"/>
  <c r="E42" i="17"/>
  <c r="E44" i="17"/>
  <c r="E47" i="17"/>
  <c r="E48" i="17"/>
  <c r="E49" i="17"/>
  <c r="E50" i="17"/>
  <c r="E51" i="17"/>
  <c r="E52" i="17"/>
  <c r="E31" i="17"/>
  <c r="E26" i="17"/>
  <c r="D104" i="17"/>
  <c r="C104" i="17"/>
  <c r="D103" i="17"/>
  <c r="C103" i="17"/>
  <c r="D102" i="17"/>
  <c r="C102" i="17"/>
  <c r="D101" i="17"/>
  <c r="C101" i="17"/>
  <c r="D100" i="17"/>
  <c r="C100" i="17"/>
  <c r="D99" i="17"/>
  <c r="C99" i="17"/>
  <c r="D98" i="17"/>
  <c r="C98" i="17"/>
  <c r="D97" i="17"/>
  <c r="C97" i="17"/>
  <c r="D96" i="17"/>
  <c r="C96" i="17"/>
  <c r="D95" i="17"/>
  <c r="C95" i="17"/>
  <c r="D94" i="17"/>
  <c r="C94" i="17"/>
  <c r="D93" i="17"/>
  <c r="C93" i="17"/>
  <c r="D92" i="17"/>
  <c r="C92" i="17"/>
  <c r="D91" i="17"/>
  <c r="C91" i="17"/>
  <c r="D90" i="17"/>
  <c r="C90" i="17"/>
  <c r="D89" i="17"/>
  <c r="C89" i="17"/>
  <c r="D88" i="17"/>
  <c r="C88" i="17"/>
  <c r="D87" i="17"/>
  <c r="C87" i="17"/>
  <c r="D86" i="17"/>
  <c r="C86" i="17"/>
  <c r="D85" i="17"/>
  <c r="C85" i="17"/>
  <c r="D84" i="17"/>
  <c r="C84" i="17"/>
  <c r="D78" i="17"/>
  <c r="C78" i="17"/>
  <c r="D77" i="17"/>
  <c r="C77" i="17"/>
  <c r="D76" i="17"/>
  <c r="C76" i="17"/>
  <c r="D75" i="17"/>
  <c r="C75" i="17"/>
  <c r="D74" i="17"/>
  <c r="C74" i="17"/>
  <c r="D73" i="17"/>
  <c r="C73" i="17"/>
  <c r="D72" i="17"/>
  <c r="C72" i="17"/>
  <c r="D71" i="17"/>
  <c r="C71" i="17"/>
  <c r="D70" i="17"/>
  <c r="C70" i="17"/>
  <c r="D69" i="17"/>
  <c r="C69" i="17"/>
  <c r="D68" i="17"/>
  <c r="C68" i="17"/>
  <c r="D67" i="17"/>
  <c r="C67" i="17"/>
  <c r="D66" i="17"/>
  <c r="C66" i="17"/>
  <c r="D65" i="17"/>
  <c r="C65" i="17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31" i="17"/>
  <c r="D52" i="17"/>
  <c r="C52" i="17"/>
  <c r="D51" i="17"/>
  <c r="C51" i="17"/>
  <c r="D50" i="17"/>
  <c r="C50" i="17"/>
  <c r="D49" i="17"/>
  <c r="C49" i="17"/>
  <c r="D48" i="17"/>
  <c r="C48" i="17"/>
  <c r="D47" i="17"/>
  <c r="C47" i="17"/>
  <c r="D46" i="17"/>
  <c r="C46" i="17"/>
  <c r="D45" i="17"/>
  <c r="C45" i="17"/>
  <c r="D44" i="17"/>
  <c r="C44" i="17"/>
  <c r="D43" i="17"/>
  <c r="C43" i="17"/>
  <c r="D42" i="17"/>
  <c r="C42" i="17"/>
  <c r="D41" i="17"/>
  <c r="C41" i="17"/>
  <c r="D40" i="17"/>
  <c r="C40" i="17"/>
  <c r="D39" i="17"/>
  <c r="C39" i="17"/>
  <c r="D38" i="17"/>
  <c r="C38" i="17"/>
  <c r="D37" i="17"/>
  <c r="C37" i="17"/>
  <c r="D36" i="17"/>
  <c r="C36" i="17"/>
  <c r="D35" i="17"/>
  <c r="C35" i="17"/>
  <c r="D34" i="17"/>
  <c r="C34" i="17"/>
  <c r="D33" i="17"/>
  <c r="C33" i="17"/>
  <c r="D32" i="17"/>
  <c r="C32" i="17"/>
  <c r="D27" i="17"/>
  <c r="C27" i="17"/>
  <c r="D26" i="17"/>
  <c r="C26" i="17"/>
  <c r="D25" i="17"/>
  <c r="C25" i="17"/>
  <c r="D24" i="17"/>
  <c r="C24" i="17"/>
  <c r="D23" i="17"/>
  <c r="C23" i="17"/>
  <c r="D22" i="17"/>
  <c r="C22" i="17"/>
  <c r="D21" i="17"/>
  <c r="C21" i="17"/>
  <c r="D20" i="17"/>
  <c r="C20" i="17"/>
  <c r="D19" i="17"/>
  <c r="C19" i="17"/>
  <c r="D17" i="17"/>
  <c r="C17" i="17"/>
  <c r="D16" i="17"/>
  <c r="C16" i="17"/>
  <c r="D15" i="17"/>
  <c r="C15" i="17"/>
  <c r="D14" i="17"/>
  <c r="C14" i="17"/>
  <c r="D13" i="17"/>
  <c r="C13" i="17"/>
  <c r="D12" i="17"/>
  <c r="C12" i="17"/>
  <c r="D11" i="17"/>
  <c r="C11" i="17"/>
  <c r="D10" i="17"/>
  <c r="C10" i="17"/>
  <c r="D9" i="17"/>
  <c r="C9" i="17"/>
  <c r="D8" i="17"/>
  <c r="C8" i="17"/>
  <c r="D7" i="17"/>
  <c r="C7" i="17"/>
  <c r="D6" i="17"/>
  <c r="C6" i="17"/>
  <c r="D28" i="17"/>
  <c r="C28" i="17"/>
  <c r="E43" i="20" l="1"/>
  <c r="T69" i="1"/>
  <c r="X54" i="20" s="1"/>
  <c r="E51" i="20"/>
  <c r="K81" i="1"/>
  <c r="P22" i="20" s="1"/>
  <c r="E49" i="20"/>
  <c r="K71" i="1"/>
  <c r="P20" i="20" s="1"/>
  <c r="E52" i="20"/>
  <c r="R80" i="1"/>
  <c r="X60" i="20" s="1"/>
  <c r="E35" i="20"/>
  <c r="K60" i="1"/>
  <c r="P17" i="20" s="1"/>
  <c r="E15" i="20"/>
  <c r="P8" i="20"/>
  <c r="E56" i="20"/>
  <c r="T81" i="1"/>
  <c r="X64" i="20" s="1"/>
  <c r="E32" i="20"/>
  <c r="K49" i="1"/>
  <c r="P14" i="20" s="1"/>
  <c r="E31" i="20"/>
  <c r="K48" i="1"/>
  <c r="P13" i="20" s="1"/>
  <c r="E39" i="20"/>
  <c r="K59" i="1"/>
  <c r="P16" i="20" s="1"/>
  <c r="P49" i="1"/>
  <c r="X32" i="20" s="1"/>
  <c r="E29" i="20"/>
  <c r="P80" i="1"/>
  <c r="X57" i="20" s="1"/>
  <c r="E54" i="20"/>
  <c r="P102" i="1"/>
  <c r="X75" i="20" s="1"/>
  <c r="E74" i="20"/>
  <c r="E16" i="20"/>
  <c r="R26" i="1"/>
  <c r="X16" i="20" s="1"/>
  <c r="P81" i="1"/>
  <c r="X58" i="20" s="1"/>
  <c r="E55" i="20"/>
  <c r="R27" i="1"/>
  <c r="X17" i="20" s="1"/>
  <c r="E17" i="20"/>
  <c r="P71" i="1"/>
  <c r="X50" i="20" s="1"/>
  <c r="E47" i="20"/>
  <c r="N6" i="1"/>
  <c r="E44" i="20"/>
  <c r="P38" i="1"/>
  <c r="X23" i="20" s="1"/>
  <c r="E25" i="20"/>
  <c r="P69" i="1"/>
  <c r="X48" i="20" s="1"/>
  <c r="E45" i="20"/>
  <c r="P25" i="1"/>
  <c r="X12" i="20" s="1"/>
  <c r="E14" i="20"/>
  <c r="P26" i="1"/>
  <c r="X13" i="20" s="1"/>
  <c r="E11" i="20"/>
  <c r="K26" i="1"/>
  <c r="P7" i="20" s="1"/>
  <c r="E10" i="20"/>
  <c r="P58" i="1"/>
  <c r="X39" i="20" s="1"/>
  <c r="E37" i="20"/>
  <c r="P70" i="1"/>
  <c r="X49" i="20" s="1"/>
  <c r="E48" i="20"/>
  <c r="R25" i="1"/>
  <c r="X15" i="20" s="1"/>
  <c r="E18" i="20"/>
  <c r="P93" i="1"/>
  <c r="X68" i="20" s="1"/>
  <c r="E62" i="20"/>
  <c r="R15" i="1"/>
  <c r="X7" i="20" s="1"/>
  <c r="E4" i="20"/>
  <c r="K25" i="1"/>
  <c r="P6" i="20" s="1"/>
  <c r="P14" i="1"/>
  <c r="X3" i="20" s="1"/>
  <c r="E7" i="20"/>
  <c r="P60" i="1"/>
  <c r="X41" i="20" s="1"/>
  <c r="E34" i="20"/>
  <c r="P92" i="1"/>
  <c r="X67" i="20" s="1"/>
  <c r="E61" i="20"/>
  <c r="P113" i="1"/>
  <c r="X84" i="20" s="1"/>
  <c r="E81" i="20"/>
  <c r="P27" i="1"/>
  <c r="X14" i="20" s="1"/>
  <c r="E13" i="20"/>
  <c r="P36" i="1"/>
  <c r="X21" i="20" s="1"/>
  <c r="E23" i="20"/>
  <c r="K15" i="1"/>
  <c r="P4" i="20" s="1"/>
  <c r="E6" i="20"/>
  <c r="P91" i="1"/>
  <c r="X66" i="20" s="1"/>
  <c r="E60" i="20"/>
  <c r="P114" i="1"/>
  <c r="X85" i="20" s="1"/>
  <c r="E79" i="20"/>
  <c r="P59" i="1"/>
  <c r="X40" i="20" s="1"/>
  <c r="E41" i="20"/>
  <c r="P47" i="1"/>
  <c r="X30" i="20" s="1"/>
  <c r="E33" i="20"/>
  <c r="P37" i="1"/>
  <c r="X22" i="20" s="1"/>
  <c r="E21" i="20"/>
  <c r="P104" i="1"/>
  <c r="X77" i="20" s="1"/>
  <c r="E73" i="20"/>
  <c r="P16" i="1"/>
  <c r="X5" i="20" s="1"/>
  <c r="E5" i="20"/>
  <c r="P48" i="1"/>
  <c r="X31" i="20" s="1"/>
  <c r="E30" i="20"/>
  <c r="P82" i="1"/>
  <c r="X59" i="20" s="1"/>
  <c r="E57" i="20"/>
  <c r="P115" i="1"/>
  <c r="X86" i="20" s="1"/>
  <c r="E77" i="20"/>
  <c r="R14" i="1"/>
  <c r="X6" i="20" s="1"/>
  <c r="T15" i="1"/>
  <c r="X10" i="20" s="1"/>
  <c r="P15" i="1"/>
  <c r="X4" i="20" s="1"/>
  <c r="T14" i="1"/>
  <c r="X9" i="20" s="1"/>
  <c r="N4" i="1"/>
  <c r="K14" i="1"/>
  <c r="P3" i="20" s="1"/>
  <c r="N5" i="1"/>
  <c r="T16" i="1"/>
  <c r="X11" i="20" s="1"/>
  <c r="R16" i="1"/>
  <c r="X8" i="20" s="1"/>
  <c r="K16" i="1"/>
  <c r="P5" i="20" s="1"/>
  <c r="H52" i="18"/>
  <c r="H65" i="18" s="1"/>
  <c r="H66" i="18" s="1"/>
  <c r="E6" i="17"/>
  <c r="B57" i="1"/>
  <c r="B79" i="1"/>
  <c r="B101" i="1"/>
  <c r="B62" i="1"/>
  <c r="B84" i="1"/>
  <c r="B106" i="1"/>
  <c r="B114" i="1"/>
  <c r="B78" i="1"/>
  <c r="B61" i="1"/>
  <c r="B66" i="1"/>
  <c r="B88" i="1"/>
  <c r="B105" i="1"/>
  <c r="B110" i="1"/>
  <c r="B69" i="1"/>
  <c r="B91" i="1"/>
  <c r="B113" i="1"/>
  <c r="B60" i="1"/>
  <c r="B82" i="1"/>
  <c r="B104" i="1"/>
  <c r="B68" i="1"/>
  <c r="B90" i="1"/>
  <c r="B112" i="1"/>
  <c r="B51" i="1"/>
  <c r="B73" i="1"/>
  <c r="B95" i="1"/>
  <c r="B117" i="1"/>
  <c r="B59" i="1"/>
  <c r="B81" i="1"/>
  <c r="B103" i="1"/>
  <c r="B67" i="1"/>
  <c r="B111" i="1"/>
  <c r="B50" i="1"/>
  <c r="B72" i="1"/>
  <c r="B99" i="1"/>
  <c r="B116" i="1"/>
  <c r="B102" i="1"/>
  <c r="E7" i="17"/>
  <c r="B49" i="1"/>
  <c r="B115" i="1"/>
  <c r="P19" i="18"/>
  <c r="P32" i="18" s="1"/>
  <c r="P33" i="18" s="1"/>
  <c r="L49" i="18"/>
  <c r="T19" i="18"/>
  <c r="T32" i="18" s="1"/>
  <c r="T33" i="18" s="1"/>
  <c r="H19" i="18"/>
  <c r="H32" i="18" s="1"/>
  <c r="H33" i="18" s="1"/>
  <c r="P49" i="18"/>
  <c r="L19" i="18"/>
  <c r="L32" i="18" s="1"/>
  <c r="L33" i="18" s="1"/>
  <c r="K61" i="18"/>
  <c r="H49" i="18"/>
  <c r="D52" i="18"/>
  <c r="D65" i="18" s="1"/>
  <c r="D66" i="18" s="1"/>
  <c r="L52" i="18"/>
  <c r="L65" i="18" s="1"/>
  <c r="L66" i="18" s="1"/>
  <c r="G28" i="18"/>
  <c r="K42" i="18"/>
  <c r="K28" i="18"/>
  <c r="G42" i="18"/>
  <c r="D17" i="18"/>
  <c r="D3" i="18"/>
  <c r="D19" i="18"/>
  <c r="T65" i="18"/>
  <c r="T66" i="18" s="1"/>
  <c r="T56" i="18"/>
  <c r="H16" i="18"/>
  <c r="L16" i="18"/>
  <c r="P52" i="18"/>
  <c r="P16" i="18"/>
  <c r="S61" i="18"/>
  <c r="C61" i="18"/>
  <c r="T16" i="18"/>
  <c r="T49" i="18"/>
  <c r="P50" i="18"/>
  <c r="O28" i="18"/>
  <c r="D49" i="18"/>
  <c r="S28" i="18"/>
  <c r="G61" i="18"/>
  <c r="O61" i="18"/>
  <c r="O42" i="18"/>
  <c r="C42" i="18"/>
  <c r="D50" i="18"/>
  <c r="H50" i="18"/>
  <c r="L50" i="18"/>
  <c r="T50" i="18"/>
  <c r="T17" i="18"/>
  <c r="P17" i="18"/>
  <c r="L17" i="18"/>
  <c r="H17" i="18"/>
  <c r="S75" i="18"/>
  <c r="S42" i="18"/>
  <c r="O75" i="18"/>
  <c r="K75" i="18"/>
  <c r="G75" i="18"/>
  <c r="C75" i="18"/>
  <c r="E13" i="17"/>
  <c r="E59" i="17"/>
  <c r="E86" i="17"/>
  <c r="E84" i="17"/>
  <c r="E102" i="17"/>
  <c r="E100" i="17"/>
  <c r="E97" i="17"/>
  <c r="E101" i="17"/>
  <c r="E85" i="17"/>
  <c r="E63" i="17"/>
  <c r="E66" i="17"/>
  <c r="E43" i="17"/>
  <c r="E8" i="17"/>
  <c r="E5" i="17"/>
  <c r="H56" i="18" l="1"/>
  <c r="H60" i="18" s="1"/>
  <c r="H53" i="18"/>
  <c r="D27" i="1"/>
  <c r="C27" i="1"/>
  <c r="B27" i="1"/>
  <c r="E18" i="17"/>
  <c r="D18" i="17"/>
  <c r="C18" i="17"/>
  <c r="P35" i="18"/>
  <c r="P36" i="18"/>
  <c r="P37" i="18"/>
  <c r="P41" i="18"/>
  <c r="P38" i="18"/>
  <c r="P34" i="18"/>
  <c r="P39" i="18"/>
  <c r="P40" i="18"/>
  <c r="T34" i="18"/>
  <c r="T35" i="18"/>
  <c r="N59" i="1" s="1"/>
  <c r="T41" i="18"/>
  <c r="T36" i="18"/>
  <c r="T37" i="18"/>
  <c r="T38" i="18"/>
  <c r="T39" i="18"/>
  <c r="T40" i="18"/>
  <c r="L68" i="18"/>
  <c r="N92" i="1" s="1"/>
  <c r="L69" i="18"/>
  <c r="L70" i="18"/>
  <c r="L71" i="18"/>
  <c r="L72" i="18"/>
  <c r="L73" i="18"/>
  <c r="L74" i="18"/>
  <c r="L67" i="18"/>
  <c r="T60" i="18"/>
  <c r="T59" i="18"/>
  <c r="I115" i="1" s="1"/>
  <c r="N32" i="20" s="1"/>
  <c r="T58" i="18"/>
  <c r="T57" i="18"/>
  <c r="I113" i="1" s="1"/>
  <c r="N30" i="20" s="1"/>
  <c r="T68" i="18"/>
  <c r="T69" i="18"/>
  <c r="T70" i="18"/>
  <c r="T71" i="18"/>
  <c r="T72" i="18"/>
  <c r="T73" i="18"/>
  <c r="T74" i="18"/>
  <c r="T67" i="18"/>
  <c r="L35" i="18"/>
  <c r="L36" i="18"/>
  <c r="L37" i="18"/>
  <c r="L38" i="18"/>
  <c r="L39" i="18"/>
  <c r="L40" i="18"/>
  <c r="L41" i="18"/>
  <c r="L34" i="18"/>
  <c r="D68" i="18"/>
  <c r="D69" i="18"/>
  <c r="D74" i="18"/>
  <c r="D70" i="18"/>
  <c r="D71" i="18"/>
  <c r="D72" i="18"/>
  <c r="D73" i="18"/>
  <c r="D67" i="18"/>
  <c r="N69" i="1" s="1"/>
  <c r="H57" i="18"/>
  <c r="I80" i="1" s="1"/>
  <c r="N21" i="20" s="1"/>
  <c r="H68" i="18"/>
  <c r="H69" i="18"/>
  <c r="H70" i="18"/>
  <c r="H71" i="18"/>
  <c r="H72" i="18"/>
  <c r="H73" i="18"/>
  <c r="H74" i="18"/>
  <c r="H67" i="18"/>
  <c r="H35" i="18"/>
  <c r="H38" i="18"/>
  <c r="H36" i="18"/>
  <c r="H40" i="18"/>
  <c r="H37" i="18"/>
  <c r="H39" i="18"/>
  <c r="H34" i="18"/>
  <c r="L23" i="18"/>
  <c r="T20" i="18"/>
  <c r="T23" i="18"/>
  <c r="P23" i="18"/>
  <c r="D4" i="18"/>
  <c r="D56" i="18"/>
  <c r="I114" i="1"/>
  <c r="N31" i="20" s="1"/>
  <c r="L56" i="18"/>
  <c r="L53" i="18"/>
  <c r="D53" i="18"/>
  <c r="H23" i="18"/>
  <c r="D5" i="18"/>
  <c r="D23" i="18"/>
  <c r="D32" i="18"/>
  <c r="D33" i="18" s="1"/>
  <c r="T53" i="18"/>
  <c r="P65" i="18"/>
  <c r="P66" i="18" s="1"/>
  <c r="P56" i="18"/>
  <c r="D6" i="18"/>
  <c r="P53" i="18"/>
  <c r="P20" i="18"/>
  <c r="L20" i="18"/>
  <c r="H20" i="18"/>
  <c r="D20" i="18"/>
  <c r="V73" i="20" l="1"/>
  <c r="V70" i="20"/>
  <c r="V67" i="20"/>
  <c r="V40" i="20"/>
  <c r="V46" i="20"/>
  <c r="V43" i="20"/>
  <c r="V54" i="20"/>
  <c r="V48" i="20"/>
  <c r="V51" i="20"/>
  <c r="H59" i="18"/>
  <c r="I82" i="1" s="1"/>
  <c r="N23" i="20" s="1"/>
  <c r="H58" i="18"/>
  <c r="I81" i="1" s="1"/>
  <c r="N22" i="20" s="1"/>
  <c r="N81" i="1"/>
  <c r="N71" i="1"/>
  <c r="P27" i="18"/>
  <c r="P25" i="18"/>
  <c r="I48" i="1" s="1"/>
  <c r="N13" i="20" s="1"/>
  <c r="P26" i="18"/>
  <c r="I49" i="1" s="1"/>
  <c r="N14" i="20" s="1"/>
  <c r="P24" i="18"/>
  <c r="T27" i="18"/>
  <c r="T26" i="18"/>
  <c r="I60" i="1" s="1"/>
  <c r="N17" i="20" s="1"/>
  <c r="T25" i="18"/>
  <c r="I59" i="1" s="1"/>
  <c r="N16" i="20" s="1"/>
  <c r="T24" i="18"/>
  <c r="I58" i="1" s="1"/>
  <c r="N15" i="20" s="1"/>
  <c r="L58" i="18"/>
  <c r="I92" i="1" s="1"/>
  <c r="N25" i="20" s="1"/>
  <c r="L59" i="18"/>
  <c r="I93" i="1" s="1"/>
  <c r="N26" i="20" s="1"/>
  <c r="L60" i="18"/>
  <c r="L57" i="18"/>
  <c r="I91" i="1" s="1"/>
  <c r="N24" i="20" s="1"/>
  <c r="N115" i="1"/>
  <c r="L26" i="18"/>
  <c r="I38" i="1" s="1"/>
  <c r="N11" i="20" s="1"/>
  <c r="L25" i="18"/>
  <c r="I37" i="1" s="1"/>
  <c r="N10" i="20" s="1"/>
  <c r="L24" i="18"/>
  <c r="L27" i="18"/>
  <c r="D57" i="18"/>
  <c r="I69" i="1" s="1"/>
  <c r="N18" i="20" s="1"/>
  <c r="D60" i="18"/>
  <c r="D59" i="18"/>
  <c r="I71" i="1" s="1"/>
  <c r="N20" i="20" s="1"/>
  <c r="D58" i="18"/>
  <c r="I70" i="1" s="1"/>
  <c r="N19" i="20" s="1"/>
  <c r="N82" i="1"/>
  <c r="N80" i="1"/>
  <c r="P74" i="18"/>
  <c r="P72" i="18"/>
  <c r="P67" i="18"/>
  <c r="P73" i="18"/>
  <c r="P69" i="18"/>
  <c r="P68" i="18"/>
  <c r="P71" i="18"/>
  <c r="P70" i="18"/>
  <c r="P58" i="18"/>
  <c r="I103" i="1" s="1"/>
  <c r="N28" i="20" s="1"/>
  <c r="P60" i="18"/>
  <c r="P57" i="18"/>
  <c r="I102" i="1" s="1"/>
  <c r="N27" i="20" s="1"/>
  <c r="P59" i="18"/>
  <c r="I104" i="1" s="1"/>
  <c r="N29" i="20" s="1"/>
  <c r="P2" i="18"/>
  <c r="P6" i="18"/>
  <c r="P5" i="18"/>
  <c r="J6" i="1" s="1"/>
  <c r="D90" i="20" s="1"/>
  <c r="P4" i="18"/>
  <c r="J5" i="1" s="1"/>
  <c r="C90" i="20" s="1"/>
  <c r="P3" i="18"/>
  <c r="D38" i="18"/>
  <c r="H41" i="18"/>
  <c r="D37" i="18"/>
  <c r="D41" i="18"/>
  <c r="D40" i="18"/>
  <c r="D39" i="18"/>
  <c r="H24" i="18"/>
  <c r="I25" i="1" s="1"/>
  <c r="N6" i="20" s="1"/>
  <c r="H25" i="18"/>
  <c r="I26" i="1" s="1"/>
  <c r="N7" i="20" s="1"/>
  <c r="H26" i="18"/>
  <c r="I27" i="1" s="1"/>
  <c r="N8" i="20" s="1"/>
  <c r="H27" i="18"/>
  <c r="D36" i="18"/>
  <c r="D34" i="18"/>
  <c r="D35" i="18"/>
  <c r="D25" i="18"/>
  <c r="I15" i="1" s="1"/>
  <c r="N4" i="20" s="1"/>
  <c r="D27" i="18"/>
  <c r="D26" i="18"/>
  <c r="I16" i="1" s="1"/>
  <c r="N5" i="20" s="1"/>
  <c r="D24" i="18"/>
  <c r="N91" i="1"/>
  <c r="N70" i="1"/>
  <c r="N58" i="1"/>
  <c r="N113" i="1"/>
  <c r="N60" i="1"/>
  <c r="N93" i="1"/>
  <c r="N114" i="1"/>
  <c r="H75" i="18"/>
  <c r="H76" i="18" s="1"/>
  <c r="T61" i="18"/>
  <c r="T62" i="18" s="1"/>
  <c r="N37" i="1"/>
  <c r="N26" i="1"/>
  <c r="V61" i="20" l="1"/>
  <c r="V58" i="20"/>
  <c r="V64" i="20"/>
  <c r="V74" i="20"/>
  <c r="V68" i="20"/>
  <c r="V71" i="20"/>
  <c r="V87" i="20"/>
  <c r="V90" i="20"/>
  <c r="V84" i="20"/>
  <c r="V45" i="20"/>
  <c r="V42" i="20"/>
  <c r="V39" i="20"/>
  <c r="V88" i="20"/>
  <c r="V91" i="20"/>
  <c r="V85" i="20"/>
  <c r="V69" i="20"/>
  <c r="V66" i="20"/>
  <c r="V72" i="20"/>
  <c r="V41" i="20"/>
  <c r="V44" i="20"/>
  <c r="V47" i="20"/>
  <c r="V49" i="20"/>
  <c r="V52" i="20"/>
  <c r="V55" i="20"/>
  <c r="V53" i="20"/>
  <c r="V50" i="20"/>
  <c r="V56" i="20"/>
  <c r="V89" i="20"/>
  <c r="V92" i="20"/>
  <c r="V86" i="20"/>
  <c r="V57" i="20"/>
  <c r="V60" i="20"/>
  <c r="V63" i="20"/>
  <c r="V65" i="20"/>
  <c r="V62" i="20"/>
  <c r="V59" i="20"/>
  <c r="V19" i="20"/>
  <c r="V13" i="20"/>
  <c r="V16" i="20"/>
  <c r="V22" i="20"/>
  <c r="V25" i="20"/>
  <c r="V28" i="20"/>
  <c r="H61" i="18"/>
  <c r="H62" i="18" s="1"/>
  <c r="H77" i="18" s="1"/>
  <c r="T28" i="18"/>
  <c r="T29" i="18" s="1"/>
  <c r="N14" i="1"/>
  <c r="D61" i="18"/>
  <c r="D62" i="18" s="1"/>
  <c r="L61" i="18"/>
  <c r="L62" i="18" s="1"/>
  <c r="P61" i="18"/>
  <c r="P62" i="18" s="1"/>
  <c r="N104" i="1"/>
  <c r="N102" i="1"/>
  <c r="N103" i="1"/>
  <c r="N48" i="1"/>
  <c r="L75" i="18"/>
  <c r="L76" i="18" s="1"/>
  <c r="P75" i="18"/>
  <c r="P76" i="18" s="1"/>
  <c r="T75" i="18"/>
  <c r="T76" i="18" s="1"/>
  <c r="T77" i="18" s="1"/>
  <c r="T42" i="18"/>
  <c r="T43" i="18" s="1"/>
  <c r="J4" i="1"/>
  <c r="B90" i="20" s="1"/>
  <c r="P7" i="18"/>
  <c r="N47" i="1"/>
  <c r="N49" i="1"/>
  <c r="P28" i="18"/>
  <c r="P29" i="18" s="1"/>
  <c r="I47" i="1"/>
  <c r="N12" i="20" s="1"/>
  <c r="N36" i="1"/>
  <c r="N38" i="1"/>
  <c r="L28" i="18"/>
  <c r="L29" i="18" s="1"/>
  <c r="I36" i="1"/>
  <c r="N9" i="20" s="1"/>
  <c r="N25" i="1"/>
  <c r="N27" i="1"/>
  <c r="N16" i="1"/>
  <c r="N15" i="1"/>
  <c r="H42" i="18"/>
  <c r="H43" i="18" s="1"/>
  <c r="L42" i="18"/>
  <c r="L43" i="18" s="1"/>
  <c r="P42" i="18"/>
  <c r="P43" i="18" s="1"/>
  <c r="H28" i="18"/>
  <c r="H29" i="18" s="1"/>
  <c r="D28" i="18"/>
  <c r="D29" i="18" s="1"/>
  <c r="I14" i="1"/>
  <c r="N3" i="20" s="1"/>
  <c r="D42" i="18"/>
  <c r="D43" i="18" s="1"/>
  <c r="V38" i="20" l="1"/>
  <c r="V32" i="20"/>
  <c r="V35" i="20"/>
  <c r="V33" i="20"/>
  <c r="V36" i="20"/>
  <c r="V30" i="20"/>
  <c r="T44" i="18"/>
  <c r="V21" i="20"/>
  <c r="V24" i="20"/>
  <c r="V27" i="20"/>
  <c r="V7" i="20"/>
  <c r="V10" i="20"/>
  <c r="V4" i="20"/>
  <c r="V23" i="20"/>
  <c r="V26" i="20"/>
  <c r="V29" i="20"/>
  <c r="V20" i="20"/>
  <c r="V17" i="20"/>
  <c r="V14" i="20"/>
  <c r="V12" i="20"/>
  <c r="V15" i="20"/>
  <c r="V18" i="20"/>
  <c r="V81" i="20"/>
  <c r="V78" i="20"/>
  <c r="V75" i="20"/>
  <c r="V9" i="20"/>
  <c r="V3" i="20"/>
  <c r="V6" i="20"/>
  <c r="V8" i="20"/>
  <c r="V11" i="20"/>
  <c r="V5" i="20"/>
  <c r="V37" i="20"/>
  <c r="V34" i="20"/>
  <c r="V31" i="20"/>
  <c r="V82" i="20"/>
  <c r="V79" i="20"/>
  <c r="V76" i="20"/>
  <c r="V77" i="20"/>
  <c r="V83" i="20"/>
  <c r="V80" i="20"/>
  <c r="P44" i="18"/>
  <c r="P8" i="18"/>
  <c r="J3" i="1"/>
  <c r="A90" i="20" s="1"/>
  <c r="L44" i="18"/>
  <c r="H44" i="18"/>
  <c r="D44" i="18"/>
  <c r="P77" i="18"/>
  <c r="L77" i="18"/>
  <c r="D75" i="18"/>
  <c r="D76" i="18" s="1"/>
  <c r="D77" i="18" s="1"/>
  <c r="D9" i="1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5F31E7-4FE7-404C-BAAC-5140D7FABF49}" keepAlive="1" name="Query - tbleDayMoney" description="Connection to the 'tbleDayMoney' query in the workbook." type="5" refreshedVersion="0" background="1">
    <dbPr connection="Provider=Microsoft.Mashup.OleDb.1;Data Source=$Workbook$;Location=tbleDayMoney;Extended Properties=&quot;&quot;" command="SELECT * FROM [tbleDayMoney]"/>
  </connection>
  <connection id="2" xr16:uid="{03262C8F-2D26-4610-9D39-808F872D4365}" keepAlive="1" name="Query - tbleFlightWinners" description="Connection to the 'tbleFlightWinners' query in the workbook." type="5" refreshedVersion="0" background="1">
    <dbPr connection="Provider=Microsoft.Mashup.OleDb.1;Data Source=$Workbook$;Location=tbleFlightWinners;Extended Properties=&quot;&quot;" command="SELECT * FROM [tbleFlightWinners]"/>
  </connection>
  <connection id="3" xr16:uid="{39B004C1-3CE3-4B7E-B65E-CDC00355D1EE}" keepAlive="1" name="Query - tbleShootout" description="Connection to the 'tbleShootout' query in the workbook." type="5" refreshedVersion="0" background="1">
    <dbPr connection="Provider=Microsoft.Mashup.OleDb.1;Data Source=$Workbook$;Location=tbleShootout;Extended Properties=&quot;&quot;" command="SELECT * FROM [tbleShootout]"/>
  </connection>
  <connection id="4" xr16:uid="{6D9AC50E-A16A-4F7E-9C13-6C0E551FCA9C}" keepAlive="1" name="Query - tblTeams" description="Connection to the 'tblTeams' query in the workbook." type="5" refreshedVersion="0" background="1">
    <dbPr connection="Provider=Microsoft.Mashup.OleDb.1;Data Source=$Workbook$;Location=tblTeams;Extended Properties=&quot;&quot;" command="SELECT * FROM [tblTeams]"/>
  </connection>
  <connection id="5" xr16:uid="{5C3DBCE7-1F36-4DDF-B74A-B8F5E1F943D0}" keepAlive="1" name="Query - tblTeams (2)" description="Connection to the 'tblTeams (2)' query in the workbook." type="5" refreshedVersion="8" background="1" saveData="1">
    <dbPr connection="Provider=Microsoft.Mashup.OleDb.1;Data Source=$Workbook$;Location=&quot;tblTeams (2)&quot;;Extended Properties=&quot;&quot;" command="SELECT * FROM [tblTeams (2)]"/>
  </connection>
</connections>
</file>

<file path=xl/sharedStrings.xml><?xml version="1.0" encoding="utf-8"?>
<sst xmlns="http://schemas.openxmlformats.org/spreadsheetml/2006/main" count="3424" uniqueCount="1104">
  <si>
    <t>2025 Twin Creeks Member Guest Player Auction</t>
  </si>
  <si>
    <t>Shootout Bonus Pool</t>
  </si>
  <si>
    <t>Member</t>
  </si>
  <si>
    <t>Owner</t>
  </si>
  <si>
    <t>1st</t>
  </si>
  <si>
    <t xml:space="preserve">Brijalba, Rufus </t>
  </si>
  <si>
    <t>2nd</t>
  </si>
  <si>
    <t xml:space="preserve">Maples, Brent </t>
  </si>
  <si>
    <t>3rd</t>
  </si>
  <si>
    <t xml:space="preserve">Aghazadeh, Abdol </t>
  </si>
  <si>
    <t>Flight #1</t>
  </si>
  <si>
    <t>Team #</t>
  </si>
  <si>
    <t>Team HCP</t>
  </si>
  <si>
    <t>Guest</t>
  </si>
  <si>
    <t>Bid</t>
  </si>
  <si>
    <t>Member Owner</t>
  </si>
  <si>
    <t>Flight #1 Total</t>
  </si>
  <si>
    <t>Day Money</t>
  </si>
  <si>
    <t xml:space="preserve">Edwards, Patric </t>
  </si>
  <si>
    <t>Flight Winners</t>
  </si>
  <si>
    <t>Thursday</t>
  </si>
  <si>
    <t>Friday</t>
  </si>
  <si>
    <t>Saturday</t>
  </si>
  <si>
    <t xml:space="preserve">Harwood, Michael </t>
  </si>
  <si>
    <t xml:space="preserve">Paschke, Michael </t>
  </si>
  <si>
    <t xml:space="preserve">Godhania, Vikas </t>
  </si>
  <si>
    <t xml:space="preserve">Darter, Bret </t>
  </si>
  <si>
    <t xml:space="preserve">Vidrine, Scot </t>
  </si>
  <si>
    <t>Total</t>
  </si>
  <si>
    <t>Flight #2</t>
  </si>
  <si>
    <t xml:space="preserve">Brymer, Cory </t>
  </si>
  <si>
    <t>Flight #2 Total</t>
  </si>
  <si>
    <t xml:space="preserve">Bohnen, John </t>
  </si>
  <si>
    <t xml:space="preserve">Sherman, Michael </t>
  </si>
  <si>
    <t xml:space="preserve">Escobar, Rafael </t>
  </si>
  <si>
    <t xml:space="preserve">Bellomio, Ron </t>
  </si>
  <si>
    <t xml:space="preserve">Fulmer, Austen </t>
  </si>
  <si>
    <t xml:space="preserve">Purslow, Brock </t>
  </si>
  <si>
    <t xml:space="preserve">Peterson, Erik </t>
  </si>
  <si>
    <t xml:space="preserve">Wedgeworth, Cliff </t>
  </si>
  <si>
    <t xml:space="preserve">Drain, Zip </t>
  </si>
  <si>
    <t>Flight #3</t>
  </si>
  <si>
    <t>Flight #3 Total</t>
  </si>
  <si>
    <t xml:space="preserve">Scott, Jonathan </t>
  </si>
  <si>
    <t xml:space="preserve">Vaughn, Earl </t>
  </si>
  <si>
    <t xml:space="preserve">Hill, Justin </t>
  </si>
  <si>
    <t xml:space="preserve">Kromis, Daniel </t>
  </si>
  <si>
    <t>Flight #4</t>
  </si>
  <si>
    <t xml:space="preserve">Jones, Jason </t>
  </si>
  <si>
    <t>Flight #4 Total</t>
  </si>
  <si>
    <t xml:space="preserve">Dietz, Jeffrey </t>
  </si>
  <si>
    <t xml:space="preserve">Tionloc, Alex </t>
  </si>
  <si>
    <t xml:space="preserve">Redding, Scott </t>
  </si>
  <si>
    <t xml:space="preserve">Cress, Pj </t>
  </si>
  <si>
    <t>Flight #5</t>
  </si>
  <si>
    <t xml:space="preserve">Schnautz, David </t>
  </si>
  <si>
    <t>Flight #5 Total</t>
  </si>
  <si>
    <t xml:space="preserve">Parent, Brian </t>
  </si>
  <si>
    <t xml:space="preserve">Capone, Michael </t>
  </si>
  <si>
    <t xml:space="preserve">Butler, Gregory </t>
  </si>
  <si>
    <t xml:space="preserve">Turner, Trevor </t>
  </si>
  <si>
    <t xml:space="preserve">Spisak, Brian </t>
  </si>
  <si>
    <t xml:space="preserve">Scott, Paul </t>
  </si>
  <si>
    <t xml:space="preserve">Samsel, Steve </t>
  </si>
  <si>
    <t>Flight #6</t>
  </si>
  <si>
    <t>Combined HCP</t>
  </si>
  <si>
    <t xml:space="preserve">French, Arthur </t>
  </si>
  <si>
    <t>Flight #6 Total</t>
  </si>
  <si>
    <t xml:space="preserve">Crutcher, Ian </t>
  </si>
  <si>
    <t xml:space="preserve">Sawyer, Ryan </t>
  </si>
  <si>
    <t xml:space="preserve">Grantham, Mark </t>
  </si>
  <si>
    <t xml:space="preserve">Shulman, Brandon </t>
  </si>
  <si>
    <t xml:space="preserve">O'Farrell, Patrick </t>
  </si>
  <si>
    <t>Drain, Zip</t>
  </si>
  <si>
    <t xml:space="preserve">Lau, Jason </t>
  </si>
  <si>
    <t>Flight #7</t>
  </si>
  <si>
    <t xml:space="preserve">Rzepniewski, Jason </t>
  </si>
  <si>
    <t>Flight #7 Total</t>
  </si>
  <si>
    <t xml:space="preserve">Patel, Bhav </t>
  </si>
  <si>
    <t xml:space="preserve">Ryan, Mike </t>
  </si>
  <si>
    <t xml:space="preserve">Oster, Neil </t>
  </si>
  <si>
    <t xml:space="preserve">Toombs, Chris </t>
  </si>
  <si>
    <t>Flight #8</t>
  </si>
  <si>
    <t>Flight #8 Total</t>
  </si>
  <si>
    <t xml:space="preserve">Kandala, Ravi </t>
  </si>
  <si>
    <t xml:space="preserve">McDonald, David </t>
  </si>
  <si>
    <t xml:space="preserve">Korndorffer, Blake </t>
  </si>
  <si>
    <t xml:space="preserve">Weaver, Brian </t>
  </si>
  <si>
    <t>Flight #9</t>
  </si>
  <si>
    <t>Flight #9 Total</t>
  </si>
  <si>
    <t xml:space="preserve">Altamirano, Joe </t>
  </si>
  <si>
    <t xml:space="preserve">Kruchowsky, Tim </t>
  </si>
  <si>
    <t xml:space="preserve">Clements, Jake </t>
  </si>
  <si>
    <t xml:space="preserve">Barney, Jorge </t>
  </si>
  <si>
    <t>Flight #10</t>
  </si>
  <si>
    <t>Flight #10 Total</t>
  </si>
  <si>
    <t xml:space="preserve">Donohue, Robert </t>
  </si>
  <si>
    <t xml:space="preserve">Walters, Neil </t>
  </si>
  <si>
    <t xml:space="preserve">Patterson, Taylor </t>
  </si>
  <si>
    <t xml:space="preserve">Pfaffe, Kyle </t>
  </si>
  <si>
    <t xml:space="preserve">Member </t>
  </si>
  <si>
    <t>#</t>
  </si>
  <si>
    <r>
      <t>Player 1</t>
    </r>
    <r>
      <rPr>
        <sz val="10"/>
        <color rgb="FFFFFFFF"/>
        <rFont val="Arial"/>
        <family val="2"/>
      </rPr>
      <t xml:space="preserve"> </t>
    </r>
    <r>
      <rPr>
        <u/>
        <sz val="7.5"/>
        <color rgb="FFFFFFFF"/>
        <rFont val="Arial"/>
        <family val="2"/>
      </rPr>
      <t>hndcp</t>
    </r>
    <r>
      <rPr>
        <sz val="7.5"/>
        <color rgb="FFFFFFFF"/>
        <rFont val="Arial"/>
        <family val="2"/>
      </rPr>
      <t xml:space="preserve"> </t>
    </r>
  </si>
  <si>
    <r>
      <t>Player 2</t>
    </r>
    <r>
      <rPr>
        <sz val="10"/>
        <color rgb="FFFFFFFF"/>
        <rFont val="Arial"/>
        <family val="2"/>
      </rPr>
      <t xml:space="preserve"> </t>
    </r>
    <r>
      <rPr>
        <u/>
        <sz val="7.5"/>
        <color rgb="FFFFFFFF"/>
        <rFont val="Arial"/>
        <family val="2"/>
      </rPr>
      <t>hndcp</t>
    </r>
    <r>
      <rPr>
        <sz val="7.5"/>
        <color rgb="FFFFFFFF"/>
        <rFont val="Arial"/>
        <family val="2"/>
      </rPr>
      <t xml:space="preserve"> </t>
    </r>
  </si>
  <si>
    <t xml:space="preserve">Jerry Conwell ACP 2.5 </t>
  </si>
  <si>
    <t xml:space="preserve">Ken Duemig </t>
  </si>
  <si>
    <t xml:space="preserve">Chris Cannatti ACP 3.6 </t>
  </si>
  <si>
    <t>Kevin Spradling</t>
  </si>
  <si>
    <t xml:space="preserve">Bret Darter 5/31 0.6 </t>
  </si>
  <si>
    <t>Kyle Flinn</t>
  </si>
  <si>
    <t xml:space="preserve">Aaron Gouldie 1/31 11.0 </t>
  </si>
  <si>
    <t xml:space="preserve"> Adam Gouldie </t>
  </si>
  <si>
    <t xml:space="preserve">Tony Montaleone 4.6 </t>
  </si>
  <si>
    <t>Robert Lemon</t>
  </si>
  <si>
    <t xml:space="preserve">Juan Munoz 6.1 </t>
  </si>
  <si>
    <t>Bert Sanchez</t>
  </si>
  <si>
    <t xml:space="preserve">Brian Blumentrath ACP 3.5 </t>
  </si>
  <si>
    <t>Adam Gafken</t>
  </si>
  <si>
    <t xml:space="preserve">Valente Quintana  ACP 5.9 </t>
  </si>
  <si>
    <t>Antonio Asali</t>
  </si>
  <si>
    <t xml:space="preserve">Kyle Krueger </t>
  </si>
  <si>
    <t>Christopher Graham</t>
  </si>
  <si>
    <t xml:space="preserve">Blake Korndorffer 0.8 </t>
  </si>
  <si>
    <t xml:space="preserve"> Ryan Pavlu </t>
  </si>
  <si>
    <t xml:space="preserve">Tim Kellner 2.8 </t>
  </si>
  <si>
    <t>Michael Garcia</t>
  </si>
  <si>
    <t xml:space="preserve">Evan Ediger ACP </t>
  </si>
  <si>
    <t xml:space="preserve">Chris Berrean </t>
  </si>
  <si>
    <t xml:space="preserve">Mark Grantham </t>
  </si>
  <si>
    <t xml:space="preserve">Stuart Shaw </t>
  </si>
  <si>
    <t xml:space="preserve">Chris Toombs 1231 </t>
  </si>
  <si>
    <t xml:space="preserve">Dennis Toombs </t>
  </si>
  <si>
    <t xml:space="preserve">Tyler Nelson 5.2 </t>
  </si>
  <si>
    <t xml:space="preserve"> Bob Nelson </t>
  </si>
  <si>
    <t xml:space="preserve">David Barrera 8.2 </t>
  </si>
  <si>
    <t xml:space="preserve">John Hennessy </t>
  </si>
  <si>
    <t xml:space="preserve">Kevin Richgels 4/30 </t>
  </si>
  <si>
    <t xml:space="preserve"> Chad Brennan </t>
  </si>
  <si>
    <t xml:space="preserve">Matthew Herrick ACP 6.4 </t>
  </si>
  <si>
    <t>Scott Vidrine</t>
  </si>
  <si>
    <t xml:space="preserve">Ryan Gromfin 1.6 </t>
  </si>
  <si>
    <t xml:space="preserve"> Jeremy Moreno </t>
  </si>
  <si>
    <t xml:space="preserve">Jeff Opland 10.4 </t>
  </si>
  <si>
    <t xml:space="preserve"> Christopher Turner </t>
  </si>
  <si>
    <t xml:space="preserve">Carlos Gonzales 11.6 </t>
  </si>
  <si>
    <t xml:space="preserve"> Jason Padilla </t>
  </si>
  <si>
    <t xml:space="preserve">Jeffrey Dietz 4/30 5.7 </t>
  </si>
  <si>
    <t>Lee Lane</t>
  </si>
  <si>
    <t xml:space="preserve">Vikas Godhania 11.2 </t>
  </si>
  <si>
    <t>Scott Mosqueda</t>
  </si>
  <si>
    <t xml:space="preserve">Steven Johnson 8.8 </t>
  </si>
  <si>
    <t xml:space="preserve"> Nick Thaxson </t>
  </si>
  <si>
    <t xml:space="preserve">Thomas J Morton 9.1 </t>
  </si>
  <si>
    <t xml:space="preserve">Carson Hawley </t>
  </si>
  <si>
    <t xml:space="preserve">Neil Walters 14.6 </t>
  </si>
  <si>
    <t>Tom Ballard</t>
  </si>
  <si>
    <t xml:space="preserve">Timothy Nugent </t>
  </si>
  <si>
    <t>Peter Shock</t>
  </si>
  <si>
    <t xml:space="preserve">Robert Ballou 5.6 </t>
  </si>
  <si>
    <t>Tony Brodie</t>
  </si>
  <si>
    <t xml:space="preserve">David Schnautz 15.9 </t>
  </si>
  <si>
    <t xml:space="preserve">Kevin Pierson </t>
  </si>
  <si>
    <t xml:space="preserve">Brian Morris 3/31 1.7 </t>
  </si>
  <si>
    <t>Bryan Redmond</t>
  </si>
  <si>
    <t xml:space="preserve">Patrick Darby 1.2 </t>
  </si>
  <si>
    <t>Lance Allen</t>
  </si>
  <si>
    <t xml:space="preserve">Travis Clifton 14.1 </t>
  </si>
  <si>
    <t xml:space="preserve">Bryan Phillips </t>
  </si>
  <si>
    <t xml:space="preserve">Alex Tionloc 7.0 </t>
  </si>
  <si>
    <t>Anthony Tionloc</t>
  </si>
  <si>
    <t xml:space="preserve">Jake Newman </t>
  </si>
  <si>
    <t>Sharrod Delia</t>
  </si>
  <si>
    <t xml:space="preserve">Jason Lau 4.6 </t>
  </si>
  <si>
    <t>Joe Kester</t>
  </si>
  <si>
    <t xml:space="preserve">Garrett Smith 12.9 </t>
  </si>
  <si>
    <t xml:space="preserve">Sam Smith </t>
  </si>
  <si>
    <t xml:space="preserve">John Edwards ACP 8.4 </t>
  </si>
  <si>
    <t>Colin Stovall</t>
  </si>
  <si>
    <t xml:space="preserve">David McDonald 9.6 </t>
  </si>
  <si>
    <t xml:space="preserve">Drew Williams </t>
  </si>
  <si>
    <t xml:space="preserve">Michael Greaney 12.8 </t>
  </si>
  <si>
    <t xml:space="preserve">Jeff Lulashnyk </t>
  </si>
  <si>
    <t xml:space="preserve">Jarrod Byer 10.4 </t>
  </si>
  <si>
    <t>Matt Linder</t>
  </si>
  <si>
    <t xml:space="preserve">John Bohnen ACP 7.1 </t>
  </si>
  <si>
    <t>Tony Cobb</t>
  </si>
  <si>
    <t xml:space="preserve">Greg Duffey 1/31 15.0 </t>
  </si>
  <si>
    <t xml:space="preserve">Kelly O'Rourke </t>
  </si>
  <si>
    <t xml:space="preserve">Thomas Martens 7.4 </t>
  </si>
  <si>
    <t>Robert Brown</t>
  </si>
  <si>
    <t xml:space="preserve">Mike Ryan 13.6 </t>
  </si>
  <si>
    <t>Tim Kinsella</t>
  </si>
  <si>
    <t xml:space="preserve">Mark Buratto 2.5 </t>
  </si>
  <si>
    <t xml:space="preserve">Justin Ehlert </t>
  </si>
  <si>
    <t xml:space="preserve">Rafael Escobar ACP 3.8 </t>
  </si>
  <si>
    <t>Brandon Schulman</t>
  </si>
  <si>
    <t xml:space="preserve">Mike Harkins ACP 3.8 </t>
  </si>
  <si>
    <t xml:space="preserve">Sandy Perez </t>
  </si>
  <si>
    <t xml:space="preserve">Earl Vaughn ACP 3.1 </t>
  </si>
  <si>
    <t>Tomas Fernandez</t>
  </si>
  <si>
    <t xml:space="preserve">Aaron Burton 4.4 </t>
  </si>
  <si>
    <t>John Lyons</t>
  </si>
  <si>
    <t xml:space="preserve">Rick Holt 3.6 </t>
  </si>
  <si>
    <t>Dave Redmond</t>
  </si>
  <si>
    <t xml:space="preserve">Bryan Maki 3.4 </t>
  </si>
  <si>
    <t>Kelly Barna</t>
  </si>
  <si>
    <t xml:space="preserve">Ravi Kandala 8.2 </t>
  </si>
  <si>
    <t>Martin Taylor</t>
  </si>
  <si>
    <t xml:space="preserve">Bhavesh Patel 10.0 </t>
  </si>
  <si>
    <t>Ashish Khanna</t>
  </si>
  <si>
    <t xml:space="preserve">Eric Mischke 9.6 </t>
  </si>
  <si>
    <t xml:space="preserve">Randy Kress </t>
  </si>
  <si>
    <t xml:space="preserve">Daniel Kromis ACP 7.5 </t>
  </si>
  <si>
    <t xml:space="preserve">Darryl Binion </t>
  </si>
  <si>
    <t xml:space="preserve">Adrian Gonzalez 4.7 </t>
  </si>
  <si>
    <t>Bill Brawley</t>
  </si>
  <si>
    <t xml:space="preserve">Charlie Tsalamandris </t>
  </si>
  <si>
    <t>Darren Banks</t>
  </si>
  <si>
    <t>Brian Moreau</t>
  </si>
  <si>
    <t>Matt Greiner</t>
  </si>
  <si>
    <t xml:space="preserve">Brad Collier </t>
  </si>
  <si>
    <t>Jeff Haught</t>
  </si>
  <si>
    <t xml:space="preserve">Jason Jones ACP 6.5 </t>
  </si>
  <si>
    <t>Michael Qualls</t>
  </si>
  <si>
    <t xml:space="preserve">Trey Caldwell 3/31 2.7 </t>
  </si>
  <si>
    <t xml:space="preserve">Jon Roseberry </t>
  </si>
  <si>
    <t xml:space="preserve">Gregory D Butler 7.4 </t>
  </si>
  <si>
    <t xml:space="preserve"> Jonathan Butler </t>
  </si>
  <si>
    <t xml:space="preserve">John DuBay 17.9 </t>
  </si>
  <si>
    <t xml:space="preserve">Scott Chaloutka </t>
  </si>
  <si>
    <t xml:space="preserve">Ned Armstrong ACP 2.4 </t>
  </si>
  <si>
    <t>John Belfield</t>
  </si>
  <si>
    <t>Russ Savage</t>
  </si>
  <si>
    <t>Matt Stubblefield</t>
  </si>
  <si>
    <t xml:space="preserve">Justo Gonzalez 1/31 </t>
  </si>
  <si>
    <t>Richard Gumbel</t>
  </si>
  <si>
    <t xml:space="preserve">Brian Pack 1130 7.4 </t>
  </si>
  <si>
    <t>William Pack</t>
  </si>
  <si>
    <t xml:space="preserve">Steve Farrar </t>
  </si>
  <si>
    <t>Jeff Blose</t>
  </si>
  <si>
    <t xml:space="preserve">Nitin Jain 10.2 </t>
  </si>
  <si>
    <t>Scott Friggle</t>
  </si>
  <si>
    <t xml:space="preserve">Ryan Starks 13.1 </t>
  </si>
  <si>
    <t>Rob Allen</t>
  </si>
  <si>
    <t xml:space="preserve">John Houston 17.7 </t>
  </si>
  <si>
    <t>Rick Korinek</t>
  </si>
  <si>
    <t xml:space="preserve">Mitch Krauss </t>
  </si>
  <si>
    <t>Gary Pyott</t>
  </si>
  <si>
    <t xml:space="preserve">Dean J Buschick 5.6 </t>
  </si>
  <si>
    <t>Rob Bumpus</t>
  </si>
  <si>
    <t xml:space="preserve">Scott Bailey 2.6 </t>
  </si>
  <si>
    <t>Richard Wolfe</t>
  </si>
  <si>
    <t xml:space="preserve">Jeff Kaplar </t>
  </si>
  <si>
    <t>Brooks Morgan</t>
  </si>
  <si>
    <t xml:space="preserve">Michael Kerrigan_SR. 9.5 </t>
  </si>
  <si>
    <t xml:space="preserve">Ryan Kerrigan </t>
  </si>
  <si>
    <t xml:space="preserve">Abee Aghazadeh </t>
  </si>
  <si>
    <t xml:space="preserve"> Kaveh Khorzad </t>
  </si>
  <si>
    <t xml:space="preserve">Ryan Techmanski 11.2 </t>
  </si>
  <si>
    <t xml:space="preserve">Kyle Ribbing </t>
  </si>
  <si>
    <t xml:space="preserve">Brady Goodwin 17.8 </t>
  </si>
  <si>
    <t>Anthony Gallardo</t>
  </si>
  <si>
    <t xml:space="preserve">Joseph Schoenbaechler </t>
  </si>
  <si>
    <t xml:space="preserve"> Randy LaRose </t>
  </si>
  <si>
    <t xml:space="preserve">Jordan Novak </t>
  </si>
  <si>
    <t>Ryan Merz</t>
  </si>
  <si>
    <t xml:space="preserve">Glenn Keels 14.3 </t>
  </si>
  <si>
    <t xml:space="preserve">Daniel Bounds </t>
  </si>
  <si>
    <t xml:space="preserve">Scott Kuharski 9/31 </t>
  </si>
  <si>
    <t>Mickey Atkins</t>
  </si>
  <si>
    <t xml:space="preserve">Paul Scott 9.4 </t>
  </si>
  <si>
    <t>Charlie Harris</t>
  </si>
  <si>
    <t xml:space="preserve">Chris Bryant 9.4 </t>
  </si>
  <si>
    <t xml:space="preserve"> Mark Winter </t>
  </si>
  <si>
    <t xml:space="preserve">Dustin Weibel 17.1 </t>
  </si>
  <si>
    <t>Collin Kendrick</t>
  </si>
  <si>
    <t xml:space="preserve">William Stover </t>
  </si>
  <si>
    <t>Paul Donley</t>
  </si>
  <si>
    <t>Chad Henderson</t>
  </si>
  <si>
    <t>Kevin Galloway</t>
  </si>
  <si>
    <t>Mike Alahouzos</t>
  </si>
  <si>
    <t>Adrian Jacome</t>
  </si>
  <si>
    <t>Ryan Sawyer</t>
  </si>
  <si>
    <t>Chris Burnett</t>
  </si>
  <si>
    <t>Grant Hewlitt</t>
  </si>
  <si>
    <t>Mark Parsons</t>
  </si>
  <si>
    <t>Cory Brymer</t>
  </si>
  <si>
    <t>Shane Manas</t>
  </si>
  <si>
    <t>Chris Bratton</t>
  </si>
  <si>
    <t>Todd Beasley</t>
  </si>
  <si>
    <t>Gregory Dockery</t>
  </si>
  <si>
    <t>Dean Crump</t>
  </si>
  <si>
    <t>James Van Ryn</t>
  </si>
  <si>
    <t>David Lewinski</t>
  </si>
  <si>
    <t>Jeff Wilkinson</t>
  </si>
  <si>
    <t>TBD</t>
  </si>
  <si>
    <t>WAIT LIST FOR MEMBER GUEST SIGN UP</t>
  </si>
  <si>
    <t>Vivek Anand</t>
  </si>
  <si>
    <t>Dropped teams list (refund purposes)</t>
  </si>
  <si>
    <t>Sean Stopnik</t>
  </si>
  <si>
    <t>Tony Montaleone (Comp)</t>
  </si>
  <si>
    <t xml:space="preserve">Jeff Lambert </t>
  </si>
  <si>
    <t>Bob Ballou (Comp)</t>
  </si>
  <si>
    <t>Nick Erickson</t>
  </si>
  <si>
    <t>Inho Kim</t>
  </si>
  <si>
    <t>Jim Ledet</t>
  </si>
  <si>
    <t>Juan Munoz (Comp))</t>
  </si>
  <si>
    <t>Kevin Keck</t>
  </si>
  <si>
    <t>Kevin Felts</t>
  </si>
  <si>
    <t>Ken Schooler</t>
  </si>
  <si>
    <t>Cam Bisset</t>
  </si>
  <si>
    <t>Course Handicap</t>
  </si>
  <si>
    <t>Handicap Formatted</t>
  </si>
  <si>
    <t>Team Handicap</t>
  </si>
  <si>
    <t>Team Handicap Formatted</t>
  </si>
  <si>
    <t>Handicap Differential</t>
  </si>
  <si>
    <t>Flight</t>
  </si>
  <si>
    <t xml:space="preserve">Peck, Colin </t>
  </si>
  <si>
    <t xml:space="preserve">Montes, Daniel </t>
  </si>
  <si>
    <t xml:space="preserve">Diaz, Gerry </t>
  </si>
  <si>
    <t>Total Teams</t>
  </si>
  <si>
    <t xml:space="preserve">Lambert, Jeff </t>
  </si>
  <si>
    <t xml:space="preserve">White, Jason </t>
  </si>
  <si>
    <t>Teams per Flight (10 flights)</t>
  </si>
  <si>
    <t xml:space="preserve">Kim, Steven </t>
  </si>
  <si>
    <t xml:space="preserve">Kerrigan, Mike </t>
  </si>
  <si>
    <t xml:space="preserve">Buratto, Mark </t>
  </si>
  <si>
    <t xml:space="preserve">Caldwell, Trey </t>
  </si>
  <si>
    <t xml:space="preserve">Black, Gene </t>
  </si>
  <si>
    <t xml:space="preserve">Tilson, Scott </t>
  </si>
  <si>
    <t xml:space="preserve">Martin, Aaron </t>
  </si>
  <si>
    <t xml:space="preserve">Ferrell, Ryan </t>
  </si>
  <si>
    <t xml:space="preserve">Pacheco, Jeremy </t>
  </si>
  <si>
    <t xml:space="preserve">Gillmor, Rob </t>
  </si>
  <si>
    <t xml:space="preserve">Boles, John </t>
  </si>
  <si>
    <t xml:space="preserve">Cowden, Cole </t>
  </si>
  <si>
    <t xml:space="preserve">Jain, Nitin </t>
  </si>
  <si>
    <t xml:space="preserve">Friggle, Scott </t>
  </si>
  <si>
    <t xml:space="preserve">Thompson, Brad </t>
  </si>
  <si>
    <t xml:space="preserve">Esau, Nickolai </t>
  </si>
  <si>
    <t xml:space="preserve">Esau, Rex </t>
  </si>
  <si>
    <t xml:space="preserve">McGowan, Marshall </t>
  </si>
  <si>
    <t xml:space="preserve">Bobbitt, Jason </t>
  </si>
  <si>
    <t xml:space="preserve">Ramirez, David </t>
  </si>
  <si>
    <t xml:space="preserve">May, Jason </t>
  </si>
  <si>
    <t xml:space="preserve">Kellner, Timothy </t>
  </si>
  <si>
    <t xml:space="preserve">Flinn, Kyle </t>
  </si>
  <si>
    <t xml:space="preserve">Wilson, David </t>
  </si>
  <si>
    <t xml:space="preserve">Elvers, Nate </t>
  </si>
  <si>
    <t xml:space="preserve">Qualls, Michael </t>
  </si>
  <si>
    <t xml:space="preserve">Manas, Shane </t>
  </si>
  <si>
    <t xml:space="preserve">Ledet, Jim </t>
  </si>
  <si>
    <t xml:space="preserve">Doucet, Jamie </t>
  </si>
  <si>
    <t xml:space="preserve">Nugent, Tim </t>
  </si>
  <si>
    <t xml:space="preserve">Williams, Jeff </t>
  </si>
  <si>
    <t xml:space="preserve">Morris, Brian </t>
  </si>
  <si>
    <t xml:space="preserve">Hicks, Clay </t>
  </si>
  <si>
    <t xml:space="preserve">Redding, David </t>
  </si>
  <si>
    <t xml:space="preserve">Waclawsky, Paul </t>
  </si>
  <si>
    <t xml:space="preserve">Anderson, John </t>
  </si>
  <si>
    <t xml:space="preserve">Erickson, Nick </t>
  </si>
  <si>
    <t xml:space="preserve">Erickson, Michael </t>
  </si>
  <si>
    <t xml:space="preserve">Stopnik, Sean </t>
  </si>
  <si>
    <t xml:space="preserve">Marusco, Austin </t>
  </si>
  <si>
    <t xml:space="preserve">Joyce, Brendan </t>
  </si>
  <si>
    <t xml:space="preserve">Butler, Jonathan </t>
  </si>
  <si>
    <t xml:space="preserve">Lange, Mark </t>
  </si>
  <si>
    <t xml:space="preserve">Sherman, John </t>
  </si>
  <si>
    <t xml:space="preserve">Haarberg, Casey </t>
  </si>
  <si>
    <t xml:space="preserve">Munoz, Juan </t>
  </si>
  <si>
    <t xml:space="preserve">Sanchez, Bert </t>
  </si>
  <si>
    <t xml:space="preserve">Whiston, Patrick </t>
  </si>
  <si>
    <t xml:space="preserve">Reese, Brian </t>
  </si>
  <si>
    <t xml:space="preserve">Khorzad, Kaveh </t>
  </si>
  <si>
    <t xml:space="preserve">Burton, Aaron </t>
  </si>
  <si>
    <t xml:space="preserve">Krueger, Kyle </t>
  </si>
  <si>
    <t xml:space="preserve">Crutcher, Jonathan </t>
  </si>
  <si>
    <t xml:space="preserve">Schietinger, John </t>
  </si>
  <si>
    <t xml:space="preserve">Resnick, Dan </t>
  </si>
  <si>
    <t xml:space="preserve">Elder, Forrest </t>
  </si>
  <si>
    <t xml:space="preserve">Nicholson, Scott </t>
  </si>
  <si>
    <t xml:space="preserve">VanNoller, John </t>
  </si>
  <si>
    <t xml:space="preserve">Ballou, Bob </t>
  </si>
  <si>
    <t xml:space="preserve">Enberg, Erik </t>
  </si>
  <si>
    <t xml:space="preserve">March, James </t>
  </si>
  <si>
    <t xml:space="preserve">Conwell, Jerry </t>
  </si>
  <si>
    <t xml:space="preserve">Kendrick, Collin </t>
  </si>
  <si>
    <t xml:space="preserve">Clark, Andrew </t>
  </si>
  <si>
    <t xml:space="preserve">Mosqueda, Scott </t>
  </si>
  <si>
    <t xml:space="preserve">Lorts, Anthony </t>
  </si>
  <si>
    <t xml:space="preserve">Jackson, Eric </t>
  </si>
  <si>
    <t xml:space="preserve">Jackson, Paul </t>
  </si>
  <si>
    <t xml:space="preserve">Reddy, Shireesh </t>
  </si>
  <si>
    <t xml:space="preserve">Korndorffer, Brad </t>
  </si>
  <si>
    <t xml:space="preserve">Williams, Drew </t>
  </si>
  <si>
    <t xml:space="preserve">Schedler, Chris </t>
  </si>
  <si>
    <t xml:space="preserve">Barrs, Eric </t>
  </si>
  <si>
    <t xml:space="preserve">Kenney, Michael </t>
  </si>
  <si>
    <t xml:space="preserve">Simpson, Corey </t>
  </si>
  <si>
    <t xml:space="preserve">Manganaro, Tony </t>
  </si>
  <si>
    <t xml:space="preserve">Richgels, Kevin </t>
  </si>
  <si>
    <t xml:space="preserve">Rojas, Juan </t>
  </si>
  <si>
    <t xml:space="preserve">Cobb, Tony </t>
  </si>
  <si>
    <t xml:space="preserve">Clements, Roy </t>
  </si>
  <si>
    <t xml:space="preserve">Khanna, Ashish </t>
  </si>
  <si>
    <t xml:space="preserve">Barney, Robert </t>
  </si>
  <si>
    <t xml:space="preserve">Pierson, Kevin </t>
  </si>
  <si>
    <t xml:space="preserve">Shaw, Stuart </t>
  </si>
  <si>
    <t xml:space="preserve">Mathers, Jb </t>
  </si>
  <si>
    <t xml:space="preserve">Deangelis, Adam </t>
  </si>
  <si>
    <t xml:space="preserve">Carter, William </t>
  </si>
  <si>
    <t xml:space="preserve">Ballard, Tom </t>
  </si>
  <si>
    <t xml:space="preserve">Halbert, Trey </t>
  </si>
  <si>
    <t xml:space="preserve">Edwards, Mark </t>
  </si>
  <si>
    <t xml:space="preserve">Perkinson, Sebastian </t>
  </si>
  <si>
    <t xml:space="preserve">Nesbitt, David </t>
  </si>
  <si>
    <t xml:space="preserve">Parnell, Chris </t>
  </si>
  <si>
    <t xml:space="preserve">Wallace, Richard </t>
  </si>
  <si>
    <t xml:space="preserve">Holmes, Justin </t>
  </si>
  <si>
    <t>Grand Totals</t>
  </si>
  <si>
    <t>Percentages</t>
  </si>
  <si>
    <t>Shootout</t>
  </si>
  <si>
    <t>All Flights</t>
  </si>
  <si>
    <t>Overall</t>
  </si>
  <si>
    <t>Staff Gratuity</t>
  </si>
  <si>
    <t>Total Avail Payout</t>
  </si>
  <si>
    <t>4th</t>
  </si>
  <si>
    <t>Security / Auctioneer (fixed)</t>
  </si>
  <si>
    <t>Flight Wnrs  % of TAP</t>
  </si>
  <si>
    <t>Sum</t>
  </si>
  <si>
    <t>Day Money % of TAP</t>
  </si>
  <si>
    <t>5th</t>
  </si>
  <si>
    <t>Total Leftover Shootout</t>
  </si>
  <si>
    <t>Leftover Funds</t>
  </si>
  <si>
    <t>6th</t>
  </si>
  <si>
    <t>7th</t>
  </si>
  <si>
    <t>8th</t>
  </si>
  <si>
    <t xml:space="preserve">Flight #1 </t>
  </si>
  <si>
    <t xml:space="preserve">Flight #2 </t>
  </si>
  <si>
    <t xml:space="preserve">Flight #3 </t>
  </si>
  <si>
    <t xml:space="preserve">Flight #4 </t>
  </si>
  <si>
    <t xml:space="preserve">Flight #5 </t>
  </si>
  <si>
    <t>Security Cost (fixed)</t>
  </si>
  <si>
    <t xml:space="preserve">Flight Winners </t>
  </si>
  <si>
    <t>Leftover</t>
  </si>
  <si>
    <t xml:space="preserve">Day Money </t>
  </si>
  <si>
    <t>Daily Payout (3 days)</t>
  </si>
  <si>
    <t>Total Leftover Flight #1</t>
  </si>
  <si>
    <t>Total Leftover Flight #2</t>
  </si>
  <si>
    <t>Total Leftover Flight #3</t>
  </si>
  <si>
    <t>Total Leftover Flight #4</t>
  </si>
  <si>
    <t>Total Leftover Flight #5</t>
  </si>
  <si>
    <t xml:space="preserve">Flight #6 </t>
  </si>
  <si>
    <t xml:space="preserve">Flight #8 </t>
  </si>
  <si>
    <t xml:space="preserve">Flight #9 </t>
  </si>
  <si>
    <t xml:space="preserve">Flight #10 </t>
  </si>
  <si>
    <t>Total Leftover Flight #6</t>
  </si>
  <si>
    <t>Total Leftover Flight #7</t>
  </si>
  <si>
    <t>Total Leftover Flight #8</t>
  </si>
  <si>
    <t>Total Leftover Flight #9</t>
  </si>
  <si>
    <t>Total Leftover Flight #10</t>
  </si>
  <si>
    <t>Day 1</t>
  </si>
  <si>
    <t>Day 2</t>
  </si>
  <si>
    <t>Day 3</t>
  </si>
  <si>
    <t>Quota</t>
  </si>
  <si>
    <t>Results</t>
  </si>
  <si>
    <t>Creat Master Formula Page?</t>
  </si>
  <si>
    <t>Flight Daily Placing Calcs?</t>
  </si>
  <si>
    <t>Tie breaker Calcs?</t>
  </si>
  <si>
    <t>Handicap</t>
  </si>
  <si>
    <t>Row</t>
  </si>
  <si>
    <t>Team</t>
  </si>
  <si>
    <t>TeamHCP</t>
  </si>
  <si>
    <t>MemberHCP</t>
  </si>
  <si>
    <t>GuestHCP</t>
  </si>
  <si>
    <t>Place</t>
  </si>
  <si>
    <t>Amount</t>
  </si>
  <si>
    <t>Winner</t>
  </si>
  <si>
    <t>Day</t>
  </si>
  <si>
    <t>BonusPool</t>
  </si>
  <si>
    <t>FirstPlace</t>
  </si>
  <si>
    <t>SecondPlace</t>
  </si>
  <si>
    <t>ThirdPlace</t>
  </si>
  <si>
    <t>const DATA =</t>
  </si>
  <si>
    <t>JavaScript DATA file generated</t>
  </si>
  <si>
    <t>{</t>
  </si>
  <si>
    <t xml:space="preserve">  "summary": {</t>
  </si>
  <si>
    <t>Save Column A as data.js</t>
  </si>
  <si>
    <t xml:space="preserve">    "flightCount": 10,</t>
  </si>
  <si>
    <t xml:space="preserve">    "teamCount": 80,</t>
  </si>
  <si>
    <t xml:space="preserve">    "topFlight": 2,</t>
  </si>
  <si>
    <t xml:space="preserve">  },</t>
  </si>
  <si>
    <t xml:space="preserve">  "shootout": {</t>
  </si>
  <si>
    <t xml:space="preserve">    "secondPlace": 1205,</t>
  </si>
  <si>
    <t xml:space="preserve">    "thirdPlace": 800</t>
  </si>
  <si>
    <t xml:space="preserve">  "flights": [</t>
  </si>
  <si>
    <t xml:space="preserve">    {</t>
  </si>
  <si>
    <t xml:space="preserve">      "flight": 1,</t>
  </si>
  <si>
    <t xml:space="preserve">      "teams": [</t>
  </si>
  <si>
    <t xml:space="preserve">        {</t>
  </si>
  <si>
    <t xml:space="preserve">          "team": 1,</t>
  </si>
  <si>
    <t xml:space="preserve">          "bid": 3200,</t>
  </si>
  <si>
    <t xml:space="preserve">          "owner": "Brijalba, Rufus",</t>
  </si>
  <si>
    <t xml:space="preserve">          "member": "Brijalba, Rufus",</t>
  </si>
  <si>
    <t xml:space="preserve">          "guest": "Peck, Colin",</t>
  </si>
  <si>
    <t xml:space="preserve">          "team_hcp": "+5.2",</t>
  </si>
  <si>
    <t xml:space="preserve">          "member_hcp": "+3.1",</t>
  </si>
  <si>
    <t xml:space="preserve">          "guest_hcp": "+2.1"</t>
  </si>
  <si>
    <t xml:space="preserve">        },</t>
  </si>
  <si>
    <t xml:space="preserve">          "team": 2,</t>
  </si>
  <si>
    <t xml:space="preserve">          "bid": 4000,</t>
  </si>
  <si>
    <t xml:space="preserve">          "owner": "Edwards, Patric",</t>
  </si>
  <si>
    <t xml:space="preserve">          "member": "Paschke, Michael",</t>
  </si>
  <si>
    <t xml:space="preserve">          "guest": "Montes, Daniel",</t>
  </si>
  <si>
    <t xml:space="preserve">          "team_hcp": "+0.7",</t>
  </si>
  <si>
    <t xml:space="preserve">          "member_hcp": "3.6",</t>
  </si>
  <si>
    <t xml:space="preserve">          "guest_hcp": "+4.3"</t>
  </si>
  <si>
    <t xml:space="preserve">          "team": 3,</t>
  </si>
  <si>
    <t xml:space="preserve">          "bid": 2200,</t>
  </si>
  <si>
    <t xml:space="preserve">          "owner": "Harwood, Michael",</t>
  </si>
  <si>
    <t xml:space="preserve">          "member": "Harwood, Michael",</t>
  </si>
  <si>
    <t xml:space="preserve">          "guest": "Diaz, Gerry",</t>
  </si>
  <si>
    <t xml:space="preserve">          "team_hcp": "0.1",</t>
  </si>
  <si>
    <t xml:space="preserve">          "member_hcp": "+0.5",</t>
  </si>
  <si>
    <t xml:space="preserve">          "guest_hcp": "0.6"</t>
  </si>
  <si>
    <t xml:space="preserve">          "team": 4,</t>
  </si>
  <si>
    <t xml:space="preserve">          "bid": 1900,</t>
  </si>
  <si>
    <t xml:space="preserve">          "owner": "Aghazadeh, Abdol",</t>
  </si>
  <si>
    <t xml:space="preserve">          "member": "Lambert, Jeff",</t>
  </si>
  <si>
    <t xml:space="preserve">          "guest": "White, Jason",</t>
  </si>
  <si>
    <t xml:space="preserve">          "team_hcp": "1.8",</t>
  </si>
  <si>
    <t xml:space="preserve">          "member_hcp": "0.5",</t>
  </si>
  <si>
    <t xml:space="preserve">          "guest_hcp": "1.3"</t>
  </si>
  <si>
    <t xml:space="preserve">          "team": 5,</t>
  </si>
  <si>
    <t xml:space="preserve">          "bid": 1600,</t>
  </si>
  <si>
    <t xml:space="preserve">          "owner": "Godhania, Vikas",</t>
  </si>
  <si>
    <t xml:space="preserve">          "member": "Kim, Steven",</t>
  </si>
  <si>
    <t xml:space="preserve">          "guest": "Kerrigan, Mike",</t>
  </si>
  <si>
    <t xml:space="preserve">          "team_hcp": "2.9",</t>
  </si>
  <si>
    <t xml:space="preserve">          "member_hcp": "2.8",</t>
  </si>
  <si>
    <t xml:space="preserve">          "guest_hcp": "0.1"</t>
  </si>
  <si>
    <t xml:space="preserve">          "team": 6,</t>
  </si>
  <si>
    <t xml:space="preserve">          "bid": 2500,</t>
  </si>
  <si>
    <t xml:space="preserve">          "owner": "Maples, Brent",</t>
  </si>
  <si>
    <t xml:space="preserve">          "member": "Maples, Brent",</t>
  </si>
  <si>
    <t xml:space="preserve">          "guest": "Buratto, Mark",</t>
  </si>
  <si>
    <t xml:space="preserve">          "team_hcp": "3.8",</t>
  </si>
  <si>
    <t xml:space="preserve">          "member_hcp": "+0.7",</t>
  </si>
  <si>
    <t xml:space="preserve">          "guest_hcp": "4.5"</t>
  </si>
  <si>
    <t xml:space="preserve">          "team": 7,</t>
  </si>
  <si>
    <t xml:space="preserve">          "owner": "Darter, Bret",</t>
  </si>
  <si>
    <t xml:space="preserve">          "member": "Darter, Bret",</t>
  </si>
  <si>
    <t xml:space="preserve">          "guest": "Caldwell, Trey",</t>
  </si>
  <si>
    <t xml:space="preserve">          "team_hcp": "4.1",</t>
  </si>
  <si>
    <t xml:space="preserve">          "member_hcp": "0.2",</t>
  </si>
  <si>
    <t xml:space="preserve">          "guest_hcp": "3.9"</t>
  </si>
  <si>
    <t xml:space="preserve">          "team": 8,</t>
  </si>
  <si>
    <t xml:space="preserve">          "bid": 1800,</t>
  </si>
  <si>
    <t xml:space="preserve">          "owner": "Vidrine, Scot",</t>
  </si>
  <si>
    <t xml:space="preserve">          "member": "Black, Gene",</t>
  </si>
  <si>
    <t xml:space="preserve">          "guest": "Tilson, Scott",</t>
  </si>
  <si>
    <t xml:space="preserve">          "team_hcp": "4.5",</t>
  </si>
  <si>
    <t xml:space="preserve">          "member_hcp": "3.1",</t>
  </si>
  <si>
    <t xml:space="preserve">          "guest_hcp": "1.4"</t>
  </si>
  <si>
    <t xml:space="preserve">        }</t>
  </si>
  <si>
    <t xml:space="preserve">      ],</t>
  </si>
  <si>
    <t xml:space="preserve">      "flight_winners": [</t>
  </si>
  <si>
    <t xml:space="preserve">          "type": "Flight Winner",</t>
  </si>
  <si>
    <t xml:space="preserve">          "day": "",</t>
  </si>
  <si>
    <t xml:space="preserve">          "place": "1",</t>
  </si>
  <si>
    <t xml:space="preserve">          "winner": "Paschke, Michael",</t>
  </si>
  <si>
    <t xml:space="preserve">          "owner": "Edwards, Patric"</t>
  </si>
  <si>
    <t xml:space="preserve">          "place": "2",</t>
  </si>
  <si>
    <t xml:space="preserve">          "place": "3",</t>
  </si>
  <si>
    <t xml:space="preserve">      "day_money": [</t>
  </si>
  <si>
    <t xml:space="preserve">          "type": "Day Money",</t>
  </si>
  <si>
    <t xml:space="preserve">          "day": "Thursday",</t>
  </si>
  <si>
    <t xml:space="preserve">          "day": "Friday",</t>
  </si>
  <si>
    <t xml:space="preserve">          "day": "Saturday",</t>
  </si>
  <si>
    <t xml:space="preserve">      ]</t>
  </si>
  <si>
    <t xml:space="preserve">    },</t>
  </si>
  <si>
    <t xml:space="preserve">      "flight": 2,</t>
  </si>
  <si>
    <t xml:space="preserve">          "bid": 2600,</t>
  </si>
  <si>
    <t xml:space="preserve">          "owner": "Brymer, Cory",</t>
  </si>
  <si>
    <t xml:space="preserve">          "member": "Lau, Jason",</t>
  </si>
  <si>
    <t xml:space="preserve">          "guest": "Martin, Aaron",</t>
  </si>
  <si>
    <t xml:space="preserve">          "team_hcp": "4.6",</t>
  </si>
  <si>
    <t xml:space="preserve">          "member_hcp": "4.7",</t>
  </si>
  <si>
    <t xml:space="preserve">          "guest_hcp": "+0.1"</t>
  </si>
  <si>
    <t xml:space="preserve">          "member": "Peterson, Erik",</t>
  </si>
  <si>
    <t xml:space="preserve">          "guest": "Ferrell, Ryan",</t>
  </si>
  <si>
    <t xml:space="preserve">          "team_hcp": "5.0",</t>
  </si>
  <si>
    <t xml:space="preserve">          "member_hcp": "0.0",</t>
  </si>
  <si>
    <t xml:space="preserve">          "guest_hcp": "5.0"</t>
  </si>
  <si>
    <t xml:space="preserve">          "bid": 2800,</t>
  </si>
  <si>
    <t xml:space="preserve">          "member": "Fulmer, Austen",</t>
  </si>
  <si>
    <t xml:space="preserve">          "guest": "Pacheco, Jeremy",</t>
  </si>
  <si>
    <t xml:space="preserve">          "team_hcp": "5.1",</t>
  </si>
  <si>
    <t xml:space="preserve">          "member_hcp": "+3.4",</t>
  </si>
  <si>
    <t xml:space="preserve">          "guest_hcp": "8.5"</t>
  </si>
  <si>
    <t xml:space="preserve">          "owner": "Bohnen, John",</t>
  </si>
  <si>
    <t xml:space="preserve">          "member": "Escobar, Rafael",</t>
  </si>
  <si>
    <t xml:space="preserve">          "guest": "Gillmor, Rob",</t>
  </si>
  <si>
    <t xml:space="preserve">          "team_hcp": "6.0",</t>
  </si>
  <si>
    <t xml:space="preserve">          "member_hcp": "1.5",</t>
  </si>
  <si>
    <t xml:space="preserve">          "bid": 3000,</t>
  </si>
  <si>
    <t xml:space="preserve">          "owner": "Bellomio, Ron",</t>
  </si>
  <si>
    <t xml:space="preserve">          "member": "Bellomio, Ron",</t>
  </si>
  <si>
    <t xml:space="preserve">          "guest": "Boles, John",</t>
  </si>
  <si>
    <t xml:space="preserve">          "team_hcp": "6.1",</t>
  </si>
  <si>
    <t xml:space="preserve">          "member_hcp": "3.2",</t>
  </si>
  <si>
    <t xml:space="preserve">          "guest_hcp": "2.9"</t>
  </si>
  <si>
    <t xml:space="preserve">          "member": "Vaughn, Earl",</t>
  </si>
  <si>
    <t xml:space="preserve">          "guest": "Cowden, Cole",</t>
  </si>
  <si>
    <t xml:space="preserve">          "team_hcp": "6.6",</t>
  </si>
  <si>
    <t xml:space="preserve">          "member_hcp": "2.9",</t>
  </si>
  <si>
    <t xml:space="preserve">          "guest_hcp": "3.7"</t>
  </si>
  <si>
    <t xml:space="preserve">          "bid": 1200,</t>
  </si>
  <si>
    <t xml:space="preserve">          "owner": "Wedgeworth, Cliff",</t>
  </si>
  <si>
    <t xml:space="preserve">          "member": "Jain, Nitin",</t>
  </si>
  <si>
    <t xml:space="preserve">          "guest": "Friggle, Scott",</t>
  </si>
  <si>
    <t xml:space="preserve">          "team_hcp": "7.5",</t>
  </si>
  <si>
    <t xml:space="preserve">          "member_hcp": "7.5",</t>
  </si>
  <si>
    <t xml:space="preserve">          "guest_hcp": "0.0"</t>
  </si>
  <si>
    <t xml:space="preserve">          "bid": 2400,</t>
  </si>
  <si>
    <t xml:space="preserve">          "owner": "Drain, Zip",</t>
  </si>
  <si>
    <t xml:space="preserve">          "member": "Purslow, Brock",</t>
  </si>
  <si>
    <t xml:space="preserve">          "guest": "Thompson, Brad",</t>
  </si>
  <si>
    <t xml:space="preserve">          "team_hcp": "7.6",</t>
  </si>
  <si>
    <t xml:space="preserve">          "guest_hcp": "7.6"</t>
  </si>
  <si>
    <t xml:space="preserve">          "winner": "Sherman, Michael",</t>
  </si>
  <si>
    <t xml:space="preserve">          "owner": "Brymer, Cory"</t>
  </si>
  <si>
    <t xml:space="preserve">          "winner": "Fulmer, Austen",</t>
  </si>
  <si>
    <t xml:space="preserve">          "owner": "Aghazadeh, Abdol"</t>
  </si>
  <si>
    <t xml:space="preserve">          "winner": "Bellomio, Ron",</t>
  </si>
  <si>
    <t xml:space="preserve">          "owner": "Bellomio, Ron"</t>
  </si>
  <si>
    <t xml:space="preserve">          "winner": "Escobar, Rafael",</t>
  </si>
  <si>
    <t xml:space="preserve">          "owner": "Bohnen, John"</t>
  </si>
  <si>
    <t xml:space="preserve">          "winner": "Peterson, Erik",</t>
  </si>
  <si>
    <t xml:space="preserve">          "winner": "0",</t>
  </si>
  <si>
    <t xml:space="preserve">          "owner": "#N/A"</t>
  </si>
  <si>
    <t xml:space="preserve">          "winner": "Purslow, Brock",</t>
  </si>
  <si>
    <t xml:space="preserve">          "owner": "Drain, Zip"</t>
  </si>
  <si>
    <t xml:space="preserve">      "flight": 3,</t>
  </si>
  <si>
    <t xml:space="preserve">      "total": 13400,</t>
  </si>
  <si>
    <t xml:space="preserve">          "bid": 1100,</t>
  </si>
  <si>
    <t xml:space="preserve">          "member": "Esau, Nickolai",</t>
  </si>
  <si>
    <t xml:space="preserve">          "guest": "Esau, Rex",</t>
  </si>
  <si>
    <t xml:space="preserve">          "team_hcp": "8.8",</t>
  </si>
  <si>
    <t xml:space="preserve">          "member_hcp": "+1",</t>
  </si>
  <si>
    <t xml:space="preserve">          "guest_hcp": "9.8"</t>
  </si>
  <si>
    <t xml:space="preserve">          "owner": "Scott, Jonathan",</t>
  </si>
  <si>
    <t xml:space="preserve">          "member": "Scott, Jonathan",</t>
  </si>
  <si>
    <t xml:space="preserve">          "guest": "McGowan, Marshall",</t>
  </si>
  <si>
    <t xml:space="preserve">          "team_hcp": "9.0",</t>
  </si>
  <si>
    <t xml:space="preserve">          "member_hcp": "2.4",</t>
  </si>
  <si>
    <t xml:space="preserve">          "guest_hcp": "6.6"</t>
  </si>
  <si>
    <t xml:space="preserve">          "member": "Hill, Justin",</t>
  </si>
  <si>
    <t xml:space="preserve">          "guest": "Bobbitt, Jason",</t>
  </si>
  <si>
    <t xml:space="preserve">          "team_hcp": "9.1",</t>
  </si>
  <si>
    <t xml:space="preserve">          "member_hcp": "9.2",</t>
  </si>
  <si>
    <t xml:space="preserve">          "bid": 2100,</t>
  </si>
  <si>
    <t xml:space="preserve">          "member": "Ramirez, David",</t>
  </si>
  <si>
    <t xml:space="preserve">          "guest": "May, Jason",</t>
  </si>
  <si>
    <t xml:space="preserve">          "team_hcp": "9.2",</t>
  </si>
  <si>
    <t xml:space="preserve">          "member_hcp": "3.5",</t>
  </si>
  <si>
    <t xml:space="preserve">          "guest_hcp": "5.7"</t>
  </si>
  <si>
    <t xml:space="preserve">          "owner": "Vaughn, Earl",</t>
  </si>
  <si>
    <t xml:space="preserve">          "member": "Kellner, Timothy",</t>
  </si>
  <si>
    <t xml:space="preserve">          "guest": "Flinn, Kyle",</t>
  </si>
  <si>
    <t xml:space="preserve">          "team_hcp": "9.5",</t>
  </si>
  <si>
    <t xml:space="preserve">          "guest_hcp": "8.0"</t>
  </si>
  <si>
    <t xml:space="preserve">          "owner": "Kromis, Daniel",</t>
  </si>
  <si>
    <t xml:space="preserve">          "member": "Kromis, Daniel",</t>
  </si>
  <si>
    <t xml:space="preserve">          "guest": "Wilson, David",</t>
  </si>
  <si>
    <t xml:space="preserve">          "team_hcp": "9.7",</t>
  </si>
  <si>
    <t xml:space="preserve">          "member_hcp": "4.5",</t>
  </si>
  <si>
    <t xml:space="preserve">          "guest_hcp": "5.2"</t>
  </si>
  <si>
    <t xml:space="preserve">          "member": "Sherman, Michael",</t>
  </si>
  <si>
    <t xml:space="preserve">          "guest": "Elvers, Nate",</t>
  </si>
  <si>
    <t xml:space="preserve">          "team_hcp": "10.3",</t>
  </si>
  <si>
    <t xml:space="preserve">          "guest_hcp": "2.8"</t>
  </si>
  <si>
    <t xml:space="preserve">          "bid": 1400,</t>
  </si>
  <si>
    <t xml:space="preserve">          "owner": "Fulmer, Austen",</t>
  </si>
  <si>
    <t xml:space="preserve">          "member": "Jones, Jason",</t>
  </si>
  <si>
    <t xml:space="preserve">          "guest": "Qualls, Michael",</t>
  </si>
  <si>
    <t xml:space="preserve">          "member_hcp": "4.9",</t>
  </si>
  <si>
    <t xml:space="preserve">          "guest_hcp": "5.4"</t>
  </si>
  <si>
    <t xml:space="preserve">          "amount": 4060,</t>
  </si>
  <si>
    <t xml:space="preserve">          "amount": 2435,</t>
  </si>
  <si>
    <t xml:space="preserve">          "winner": "Hill, Justin",</t>
  </si>
  <si>
    <t xml:space="preserve">          "owner": "Vidrine, Scot"</t>
  </si>
  <si>
    <t xml:space="preserve">          "amount": 1625,</t>
  </si>
  <si>
    <t xml:space="preserve">          "amount": 725,</t>
  </si>
  <si>
    <t xml:space="preserve">          "amount": 435,</t>
  </si>
  <si>
    <t xml:space="preserve">          "amount": 290,</t>
  </si>
  <si>
    <t xml:space="preserve">          "winner": "Scott, Jonathan",</t>
  </si>
  <si>
    <t xml:space="preserve">          "owner": "Scott, Jonathan"</t>
  </si>
  <si>
    <t xml:space="preserve">      "flight": 4,</t>
  </si>
  <si>
    <t xml:space="preserve">      "total": 19500,</t>
  </si>
  <si>
    <t xml:space="preserve">          "owner": "Jones, Jason",</t>
  </si>
  <si>
    <t xml:space="preserve">          "member": "Brymer, Cory",</t>
  </si>
  <si>
    <t xml:space="preserve">          "guest": "Manas, Shane",</t>
  </si>
  <si>
    <t xml:space="preserve">          "team_hcp": "10.4",</t>
  </si>
  <si>
    <t xml:space="preserve">          "member_hcp": "4.4",</t>
  </si>
  <si>
    <t xml:space="preserve">          "guest_hcp": "6.0"</t>
  </si>
  <si>
    <t xml:space="preserve">          "bid": 5100,</t>
  </si>
  <si>
    <t xml:space="preserve">          "member": "Ledet, Jim",</t>
  </si>
  <si>
    <t xml:space="preserve">          "guest": "Doucet, Jamie",</t>
  </si>
  <si>
    <t xml:space="preserve">          "member_hcp": "4.6",</t>
  </si>
  <si>
    <t xml:space="preserve">          "guest_hcp": "5.8"</t>
  </si>
  <si>
    <t xml:space="preserve">          "member": "Nugent, Tim",</t>
  </si>
  <si>
    <t xml:space="preserve">          "guest": "Williams, Jeff",</t>
  </si>
  <si>
    <t xml:space="preserve">          "team_hcp": "10.6",</t>
  </si>
  <si>
    <t xml:space="preserve">          "member_hcp": "6.9",</t>
  </si>
  <si>
    <t xml:space="preserve">          "bid": 3600,</t>
  </si>
  <si>
    <t xml:space="preserve">          "member": "Dietz, Jeffrey",</t>
  </si>
  <si>
    <t xml:space="preserve">          "guest": "Morris, Brian",</t>
  </si>
  <si>
    <t xml:space="preserve">          "team_hcp": "10.8",</t>
  </si>
  <si>
    <t xml:space="preserve">          "member_hcp": "5.2",</t>
  </si>
  <si>
    <t xml:space="preserve">          "guest_hcp": "5.6"</t>
  </si>
  <si>
    <t xml:space="preserve">          "bid": 2000,</t>
  </si>
  <si>
    <t xml:space="preserve">          "member": "Tionloc, Alex",</t>
  </si>
  <si>
    <t xml:space="preserve">          "guest": "Hicks, Clay",</t>
  </si>
  <si>
    <t xml:space="preserve">          "team_hcp": "11.0",</t>
  </si>
  <si>
    <t xml:space="preserve">          "member_hcp": "6.0",</t>
  </si>
  <si>
    <t xml:space="preserve">          "member": "Redding, Scott",</t>
  </si>
  <si>
    <t xml:space="preserve">          "guest": "Redding, David",</t>
  </si>
  <si>
    <t xml:space="preserve">          "team_hcp": "11.8",</t>
  </si>
  <si>
    <t xml:space="preserve">          "member_hcp": "5.8",</t>
  </si>
  <si>
    <t xml:space="preserve">          "member": "Waclawsky, Paul",</t>
  </si>
  <si>
    <t xml:space="preserve">          "guest": "Anderson, John",</t>
  </si>
  <si>
    <t xml:space="preserve">          "team_hcp": "12.0",</t>
  </si>
  <si>
    <t xml:space="preserve">          "member_hcp": "3.7",</t>
  </si>
  <si>
    <t xml:space="preserve">          "guest_hcp": "8.3"</t>
  </si>
  <si>
    <t xml:space="preserve">          "owner": "Cress, Pj",</t>
  </si>
  <si>
    <t xml:space="preserve">          "member": "Erickson, Nick",</t>
  </si>
  <si>
    <t xml:space="preserve">          "guest": "Erickson, Michael",</t>
  </si>
  <si>
    <t xml:space="preserve">          "team_hcp": "12.3",</t>
  </si>
  <si>
    <t xml:space="preserve">          "member_hcp": "+0.1",</t>
  </si>
  <si>
    <t xml:space="preserve">          "guest_hcp": "12.4"</t>
  </si>
  <si>
    <t xml:space="preserve">          "amount": 5925,</t>
  </si>
  <si>
    <t xml:space="preserve">          "winner": "Dietz, Jeffrey",</t>
  </si>
  <si>
    <t xml:space="preserve">          "amount": 3555,</t>
  </si>
  <si>
    <t xml:space="preserve">          "winner": "Tionloc, Alex",</t>
  </si>
  <si>
    <t xml:space="preserve">          "amount": 2370,</t>
  </si>
  <si>
    <t xml:space="preserve">          "winner": "Redding, Scott",</t>
  </si>
  <si>
    <t xml:space="preserve">          "owner": "Vaughn, Earl"</t>
  </si>
  <si>
    <t xml:space="preserve">          "amount": 1060,</t>
  </si>
  <si>
    <t xml:space="preserve">          "amount": 635,</t>
  </si>
  <si>
    <t xml:space="preserve">          "amount": 425,</t>
  </si>
  <si>
    <t xml:space="preserve">      "flight": 5,</t>
  </si>
  <si>
    <t xml:space="preserve">      "total": 12000,</t>
  </si>
  <si>
    <t xml:space="preserve">          "owner": "Schnautz, David",</t>
  </si>
  <si>
    <t xml:space="preserve">          "member": "Scott, Paul",</t>
  </si>
  <si>
    <t xml:space="preserve">          "guest": "Stopnik, Sean",</t>
  </si>
  <si>
    <t xml:space="preserve">          "team_hcp": "12.5",</t>
  </si>
  <si>
    <t xml:space="preserve">          "member_hcp": "11.0",</t>
  </si>
  <si>
    <t xml:space="preserve">          "guest_hcp": "1.5"</t>
  </si>
  <si>
    <t xml:space="preserve">          "owner": "Parent, Brian",</t>
  </si>
  <si>
    <t xml:space="preserve">          "member": "Marusco, Austin",</t>
  </si>
  <si>
    <t xml:space="preserve">          "guest": "Joyce, Brendan",</t>
  </si>
  <si>
    <t xml:space="preserve">          "team_hcp": "12.8",</t>
  </si>
  <si>
    <t xml:space="preserve">          "member_hcp": "9.1",</t>
  </si>
  <si>
    <t xml:space="preserve">          "owner": "Capone, Michael",</t>
  </si>
  <si>
    <t xml:space="preserve">          "member": "Butler, Gregory",</t>
  </si>
  <si>
    <t xml:space="preserve">          "guest": "Butler, Jonathan",</t>
  </si>
  <si>
    <t xml:space="preserve">          "team_hcp": "12.9",</t>
  </si>
  <si>
    <t xml:space="preserve">          "member_hcp": "7.1",</t>
  </si>
  <si>
    <t xml:space="preserve">          "owner": "Butler, Gregory",</t>
  </si>
  <si>
    <t xml:space="preserve">          "member": "Drain, Zip",</t>
  </si>
  <si>
    <t xml:space="preserve">          "guest": "Lange, Mark",</t>
  </si>
  <si>
    <t xml:space="preserve">          "team_hcp": "13.2",</t>
  </si>
  <si>
    <t xml:space="preserve">          "member_hcp": "8.0",</t>
  </si>
  <si>
    <t xml:space="preserve">          "member": "Turner, Trevor",</t>
  </si>
  <si>
    <t xml:space="preserve">          "guest": "Sherman, John",</t>
  </si>
  <si>
    <t xml:space="preserve">          "team_hcp": "13.3",</t>
  </si>
  <si>
    <t xml:space="preserve">          "member_hcp": "4.0",</t>
  </si>
  <si>
    <t xml:space="preserve">          "guest_hcp": "9.3"</t>
  </si>
  <si>
    <t xml:space="preserve">          "bid": 1300,</t>
  </si>
  <si>
    <t xml:space="preserve">          "owner": "Spisak, Brian",</t>
  </si>
  <si>
    <t xml:space="preserve">          "member": "Spisak, Brian",</t>
  </si>
  <si>
    <t xml:space="preserve">          "guest": "Haarberg, Casey",</t>
  </si>
  <si>
    <t xml:space="preserve">          "team_hcp": "13.5",</t>
  </si>
  <si>
    <t xml:space="preserve">          "bid": 1700,</t>
  </si>
  <si>
    <t xml:space="preserve">          "member": "Munoz, Juan",</t>
  </si>
  <si>
    <t xml:space="preserve">          "guest": "Sanchez, Bert",</t>
  </si>
  <si>
    <t xml:space="preserve">          "team_hcp": "13.7",</t>
  </si>
  <si>
    <t xml:space="preserve">          "member_hcp": "7.4",</t>
  </si>
  <si>
    <t xml:space="preserve">          "guest_hcp": "6.3"</t>
  </si>
  <si>
    <t xml:space="preserve">          "owner": "Samsel, Steve",</t>
  </si>
  <si>
    <t xml:space="preserve">          "member": "Samsel, Steve",</t>
  </si>
  <si>
    <t xml:space="preserve">          "guest": "Whiston, Patrick",</t>
  </si>
  <si>
    <t xml:space="preserve">          "team_hcp": "15.2",</t>
  </si>
  <si>
    <t xml:space="preserve">          "member_hcp": "2.7",</t>
  </si>
  <si>
    <t xml:space="preserve">          "guest_hcp": "12.5"</t>
  </si>
  <si>
    <t xml:space="preserve">          "amount": 3635,</t>
  </si>
  <si>
    <t xml:space="preserve">          "winner": "Butler, Gregory",</t>
  </si>
  <si>
    <t xml:space="preserve">          "owner": "Capone, Michael"</t>
  </si>
  <si>
    <t xml:space="preserve">          "amount": 2180,</t>
  </si>
  <si>
    <t xml:space="preserve">          "winner": "Turner, Trevor",</t>
  </si>
  <si>
    <t xml:space="preserve">          "owner": "Fulmer, Austen"</t>
  </si>
  <si>
    <t xml:space="preserve">          "amount": 1450,</t>
  </si>
  <si>
    <t xml:space="preserve">          "winner": "Scott, Paul",</t>
  </si>
  <si>
    <t xml:space="preserve">          "owner": "Schnautz, David"</t>
  </si>
  <si>
    <t xml:space="preserve">          "amount": 650,</t>
  </si>
  <si>
    <t xml:space="preserve">          "amount": 390,</t>
  </si>
  <si>
    <t xml:space="preserve">          "amount": 260,</t>
  </si>
  <si>
    <t xml:space="preserve">      "flight": 6,</t>
  </si>
  <si>
    <t xml:space="preserve">      "total": 11400,</t>
  </si>
  <si>
    <t xml:space="preserve">          "bid": 1000,</t>
  </si>
  <si>
    <t xml:space="preserve">          "owner": "French, Arthur",</t>
  </si>
  <si>
    <t xml:space="preserve">          "member": "French, Arthur",</t>
  </si>
  <si>
    <t xml:space="preserve">          "guest": "Reese, Brian",</t>
  </si>
  <si>
    <t xml:space="preserve">          "member_hcp": "10.4",</t>
  </si>
  <si>
    <t xml:space="preserve">          "guest_hcp": "4.8"</t>
  </si>
  <si>
    <t xml:space="preserve">          "member": "Aghazadeh, Abdol",</t>
  </si>
  <si>
    <t xml:space="preserve">          "guest": "Khorzad, Kaveh",</t>
  </si>
  <si>
    <t xml:space="preserve">          "team_hcp": "15.5",</t>
  </si>
  <si>
    <t xml:space="preserve">          "member_hcp": "5.3",</t>
  </si>
  <si>
    <t xml:space="preserve">          "guest_hcp": "10.2"</t>
  </si>
  <si>
    <t xml:space="preserve">          "bid": 1500,</t>
  </si>
  <si>
    <t xml:space="preserve">          "member": "Burton, Aaron",</t>
  </si>
  <si>
    <t xml:space="preserve">          "guest": "Krueger, Kyle",</t>
  </si>
  <si>
    <t xml:space="preserve">          "team_hcp": "15.8",</t>
  </si>
  <si>
    <t xml:space="preserve">          "member_hcp": "5.7",</t>
  </si>
  <si>
    <t xml:space="preserve">          "guest_hcp": "10.1"</t>
  </si>
  <si>
    <t xml:space="preserve">          "owner": "Crutcher, Ian",</t>
  </si>
  <si>
    <t xml:space="preserve">          "member": "Crutcher, Ian",</t>
  </si>
  <si>
    <t xml:space="preserve">          "guest": "Crutcher, Jonathan",</t>
  </si>
  <si>
    <t xml:space="preserve">          "team_hcp": "15.9",</t>
  </si>
  <si>
    <t xml:space="preserve">          "owner": "Grantham, Mark",</t>
  </si>
  <si>
    <t xml:space="preserve">          "member": "Shulman, Brandon",</t>
  </si>
  <si>
    <t xml:space="preserve">          "guest": "Schietinger, John",</t>
  </si>
  <si>
    <t xml:space="preserve">          "team_hcp": "16.0",</t>
  </si>
  <si>
    <t xml:space="preserve">          "member_hcp": "10.1",</t>
  </si>
  <si>
    <t xml:space="preserve">          "guest_hcp": "5.9"</t>
  </si>
  <si>
    <t xml:space="preserve">          "member": "Sawyer, Ryan",</t>
  </si>
  <si>
    <t xml:space="preserve">          "guest": "Resnick, Dan",</t>
  </si>
  <si>
    <t xml:space="preserve">          "member": "O'Farrell, Patrick",</t>
  </si>
  <si>
    <t xml:space="preserve">          "guest": "Elder, Forrest",</t>
  </si>
  <si>
    <t xml:space="preserve">          "team_hcp": "16.6",</t>
  </si>
  <si>
    <t xml:space="preserve">          "member_hcp": "2.3",</t>
  </si>
  <si>
    <t xml:space="preserve">          "guest_hcp": "14.3"</t>
  </si>
  <si>
    <t xml:space="preserve">          "owner": "Lau, Jason",</t>
  </si>
  <si>
    <t xml:space="preserve">          "member": "Vidrine, Scot",</t>
  </si>
  <si>
    <t xml:space="preserve">          "guest": "Nicholson, Scott",</t>
  </si>
  <si>
    <t xml:space="preserve">          "team_hcp": "16.7",</t>
  </si>
  <si>
    <t xml:space="preserve">          "member_hcp": "5.5",</t>
  </si>
  <si>
    <t xml:space="preserve">          "guest_hcp": "11.2"</t>
  </si>
  <si>
    <t xml:space="preserve">          "amount": 3450,</t>
  </si>
  <si>
    <t xml:space="preserve">          "winner": "Sawyer, Ryan",</t>
  </si>
  <si>
    <t xml:space="preserve">          "amount": 2070,</t>
  </si>
  <si>
    <t xml:space="preserve">          "amount": 1380,</t>
  </si>
  <si>
    <t xml:space="preserve">          "winner": "O'Farrell, Patrick",</t>
  </si>
  <si>
    <t xml:space="preserve">          "amount": 615,</t>
  </si>
  <si>
    <t xml:space="preserve">          "winner": "Crutcher, Ian",</t>
  </si>
  <si>
    <t xml:space="preserve">          "owner": "Crutcher, Ian"</t>
  </si>
  <si>
    <t xml:space="preserve">          "amount": 370,</t>
  </si>
  <si>
    <t xml:space="preserve">          "amount": 245,</t>
  </si>
  <si>
    <t xml:space="preserve">          "winner": "Shulman, Brandon",</t>
  </si>
  <si>
    <t xml:space="preserve">          "owner": "Grantham, Mark"</t>
  </si>
  <si>
    <t xml:space="preserve">          "winner": "French, Arthur",</t>
  </si>
  <si>
    <t xml:space="preserve">          "owner": "French, Arthur"</t>
  </si>
  <si>
    <t xml:space="preserve">      "flight": 7,</t>
  </si>
  <si>
    <t xml:space="preserve">      "total": 10300,</t>
  </si>
  <si>
    <t xml:space="preserve">          "owner": "Rzepniewski, Jason",</t>
  </si>
  <si>
    <t xml:space="preserve">          "member": "Rzepniewski, Jason",</t>
  </si>
  <si>
    <t xml:space="preserve">          "guest": "VanNoller, John",</t>
  </si>
  <si>
    <t xml:space="preserve">          "team_hcp": "17.1",</t>
  </si>
  <si>
    <t xml:space="preserve">          "member_hcp": "7.2",</t>
  </si>
  <si>
    <t xml:space="preserve">          "guest_hcp": "9.9"</t>
  </si>
  <si>
    <t xml:space="preserve">          "member": "Patel, Bhav",</t>
  </si>
  <si>
    <t xml:space="preserve">          "guest": "Ballou, Bob",</t>
  </si>
  <si>
    <t xml:space="preserve">          "guest_hcp": "9.1"</t>
  </si>
  <si>
    <t xml:space="preserve">          "member": "Ryan, Mike",</t>
  </si>
  <si>
    <t xml:space="preserve">          "guest": "Enberg, Erik",</t>
  </si>
  <si>
    <t xml:space="preserve">          "team_hcp": "17.4",</t>
  </si>
  <si>
    <t xml:space="preserve">          "guest_hcp": "7.3"</t>
  </si>
  <si>
    <t xml:space="preserve">          "bid": 900,</t>
  </si>
  <si>
    <t xml:space="preserve">          "member": "Toombs, Chris",</t>
  </si>
  <si>
    <t xml:space="preserve">          "guest": "March, James",</t>
  </si>
  <si>
    <t xml:space="preserve">          "member_hcp": "8.4",</t>
  </si>
  <si>
    <t xml:space="preserve">          "guest_hcp": "9.0"</t>
  </si>
  <si>
    <t xml:space="preserve">          "member": "Conwell, Jerry",</t>
  </si>
  <si>
    <t xml:space="preserve">          "guest": "Kendrick, Collin",</t>
  </si>
  <si>
    <t xml:space="preserve">          "team_hcp": "17.5",</t>
  </si>
  <si>
    <t xml:space="preserve">          "member_hcp": "3.4",</t>
  </si>
  <si>
    <t xml:space="preserve">          "guest_hcp": "14.1"</t>
  </si>
  <si>
    <t xml:space="preserve">          "member": "Oster, Neil",</t>
  </si>
  <si>
    <t xml:space="preserve">          "guest": "Clark, Andrew",</t>
  </si>
  <si>
    <t xml:space="preserve">          "team_hcp": "18.1",</t>
  </si>
  <si>
    <t xml:space="preserve">          "member": "Godhania, Vikas",</t>
  </si>
  <si>
    <t xml:space="preserve">          "guest": "Mosqueda, Scott",</t>
  </si>
  <si>
    <t xml:space="preserve">          "member_hcp": "9.4",</t>
  </si>
  <si>
    <t xml:space="preserve">          "guest_hcp": "8.7"</t>
  </si>
  <si>
    <t xml:space="preserve">          "bid": 800,</t>
  </si>
  <si>
    <t xml:space="preserve">          "member": "Edwards, Patric",</t>
  </si>
  <si>
    <t xml:space="preserve">          "guest": "Lorts, Anthony",</t>
  </si>
  <si>
    <t xml:space="preserve">          "team_hcp": "18.4",</t>
  </si>
  <si>
    <t xml:space="preserve">          "member_hcp": "8.8",</t>
  </si>
  <si>
    <t xml:space="preserve">          "guest_hcp": "9.6"</t>
  </si>
  <si>
    <t xml:space="preserve">          "amount": 3115,</t>
  </si>
  <si>
    <t xml:space="preserve">          "winner": "Godhania, Vikas",</t>
  </si>
  <si>
    <t xml:space="preserve">          "amount": 1865,</t>
  </si>
  <si>
    <t xml:space="preserve">          "winner": "Rzepniewski, Jason",</t>
  </si>
  <si>
    <t xml:space="preserve">          "owner": "Rzepniewski, Jason"</t>
  </si>
  <si>
    <t xml:space="preserve">          "amount": 1245,</t>
  </si>
  <si>
    <t xml:space="preserve">          "winner": "Toombs, Chris",</t>
  </si>
  <si>
    <t xml:space="preserve">          "owner": "Parent, Brian"</t>
  </si>
  <si>
    <t xml:space="preserve">          "amount": 555,</t>
  </si>
  <si>
    <t xml:space="preserve">          "winner": "Patel, Bhav",</t>
  </si>
  <si>
    <t xml:space="preserve">          "owner": "Wedgeworth, Cliff"</t>
  </si>
  <si>
    <t xml:space="preserve">          "amount": 335,</t>
  </si>
  <si>
    <t xml:space="preserve">          "winner": "Ryan, Mike",</t>
  </si>
  <si>
    <t xml:space="preserve">          "amount": 220,</t>
  </si>
  <si>
    <t xml:space="preserve">          "winner": "Oster, Neil",</t>
  </si>
  <si>
    <t xml:space="preserve">      "flight": 8,</t>
  </si>
  <si>
    <t xml:space="preserve">      "total": 9300,</t>
  </si>
  <si>
    <t xml:space="preserve">          "bid": 600,</t>
  </si>
  <si>
    <t xml:space="preserve">          "member": "Jackson, Eric",</t>
  </si>
  <si>
    <t xml:space="preserve">          "guest": "Jackson, Paul",</t>
  </si>
  <si>
    <t xml:space="preserve">          "team_hcp": "18.8",</t>
  </si>
  <si>
    <t xml:space="preserve">          "member_hcp": "9.8",</t>
  </si>
  <si>
    <t xml:space="preserve">          "owner": "Kandala, Ravi",</t>
  </si>
  <si>
    <t xml:space="preserve">          "member": "Kandala, Ravi",</t>
  </si>
  <si>
    <t xml:space="preserve">          "guest": "Reddy, Shireesh",</t>
  </si>
  <si>
    <t xml:space="preserve">          "team_hcp": "19.2",</t>
  </si>
  <si>
    <t xml:space="preserve">          "member_hcp": "6.2",</t>
  </si>
  <si>
    <t xml:space="preserve">          "guest_hcp": "13.0"</t>
  </si>
  <si>
    <t xml:space="preserve">          "member": "Korndorffer, Blake",</t>
  </si>
  <si>
    <t xml:space="preserve">          "guest": "Korndorffer, Brad",</t>
  </si>
  <si>
    <t xml:space="preserve">          "team_hcp": "19.6",</t>
  </si>
  <si>
    <t xml:space="preserve">          "member_hcp": "2.6",</t>
  </si>
  <si>
    <t xml:space="preserve">          "guest_hcp": "17.0"</t>
  </si>
  <si>
    <t xml:space="preserve">          "member": "McDonald, David",</t>
  </si>
  <si>
    <t xml:space="preserve">          "guest": "Williams, Drew",</t>
  </si>
  <si>
    <t xml:space="preserve">          "team_hcp": "20.0",</t>
  </si>
  <si>
    <t xml:space="preserve">          "guest_hcp": "13.8"</t>
  </si>
  <si>
    <t xml:space="preserve">          "member": "Schedler, Chris",</t>
  </si>
  <si>
    <t xml:space="preserve">          "guest": "Barrs, Eric",</t>
  </si>
  <si>
    <t xml:space="preserve">          "team_hcp": "20.2",</t>
  </si>
  <si>
    <t xml:space="preserve">          "member_hcp": "12.1",</t>
  </si>
  <si>
    <t xml:space="preserve">          "guest_hcp": "8.1"</t>
  </si>
  <si>
    <t xml:space="preserve">          "owner": "Weaver, Brian",</t>
  </si>
  <si>
    <t xml:space="preserve">          "member": "Weaver, Brian",</t>
  </si>
  <si>
    <t xml:space="preserve">          "guest": "Kenney, Michael",</t>
  </si>
  <si>
    <t xml:space="preserve">          "team_hcp": "20.5",</t>
  </si>
  <si>
    <t xml:space="preserve">          "member_hcp": "15.9",</t>
  </si>
  <si>
    <t xml:space="preserve">          "guest_hcp": "4.6"</t>
  </si>
  <si>
    <t xml:space="preserve">          "member": "Capone, Michael",</t>
  </si>
  <si>
    <t xml:space="preserve">          "guest": "Simpson, Corey",</t>
  </si>
  <si>
    <t xml:space="preserve">          "team_hcp": "21.4",</t>
  </si>
  <si>
    <t xml:space="preserve">          "member_hcp": "16.3",</t>
  </si>
  <si>
    <t xml:space="preserve">          "guest_hcp": "5.1"</t>
  </si>
  <si>
    <t xml:space="preserve">          "member": "Manganaro, Tony",</t>
  </si>
  <si>
    <t xml:space="preserve">          "guest": "Richgels, Kevin",</t>
  </si>
  <si>
    <t xml:space="preserve">          "team_hcp": "22.3",</t>
  </si>
  <si>
    <t xml:space="preserve">          "guest_hcp": "13.5"</t>
  </si>
  <si>
    <t xml:space="preserve">          "amount": 2810,</t>
  </si>
  <si>
    <t xml:space="preserve">          "winner": "McDonald, David",</t>
  </si>
  <si>
    <t xml:space="preserve">          "amount": 1685,</t>
  </si>
  <si>
    <t xml:space="preserve">          "winner": "Korndorffer, Blake",</t>
  </si>
  <si>
    <t xml:space="preserve">          "amount": 1120,</t>
  </si>
  <si>
    <t xml:space="preserve">          "winner": "Capone, Michael",</t>
  </si>
  <si>
    <t xml:space="preserve">          "amount": 500,</t>
  </si>
  <si>
    <t xml:space="preserve">          "amount": 300,</t>
  </si>
  <si>
    <t xml:space="preserve">          "winner": "Weaver, Brian",</t>
  </si>
  <si>
    <t xml:space="preserve">          "owner": "Weaver, Brian"</t>
  </si>
  <si>
    <t xml:space="preserve">          "amount": 200,</t>
  </si>
  <si>
    <t xml:space="preserve">          "winner": "Kandala, Ravi",</t>
  </si>
  <si>
    <t xml:space="preserve">          "owner": "Kandala, Ravi"</t>
  </si>
  <si>
    <t xml:space="preserve">      "flight": 9,</t>
  </si>
  <si>
    <t xml:space="preserve">          "member": "Cress, Pj",</t>
  </si>
  <si>
    <t xml:space="preserve">          "guest": "Rojas, Juan",</t>
  </si>
  <si>
    <t xml:space="preserve">          "team_hcp": "22.7",</t>
  </si>
  <si>
    <t xml:space="preserve">          "member_hcp": "8.6",</t>
  </si>
  <si>
    <t xml:space="preserve">          "member": "Bohnen, John",</t>
  </si>
  <si>
    <t xml:space="preserve">          "guest": "Cobb, Tony",</t>
  </si>
  <si>
    <t xml:space="preserve">          "team_hcp": "23.0",</t>
  </si>
  <si>
    <t xml:space="preserve">          "member_hcp": "5.1",</t>
  </si>
  <si>
    <t xml:space="preserve">          "guest_hcp": "17.9"</t>
  </si>
  <si>
    <t xml:space="preserve">          "member": "Clements, Jake",</t>
  </si>
  <si>
    <t xml:space="preserve">          "guest": "Clements, Roy",</t>
  </si>
  <si>
    <t xml:space="preserve">          "team_hcp": "23.7",</t>
  </si>
  <si>
    <t xml:space="preserve">          "member_hcp": "13.4",</t>
  </si>
  <si>
    <t xml:space="preserve">          "guest_hcp": "10.3"</t>
  </si>
  <si>
    <t xml:space="preserve">          "owner": "Altamirano, Joe",</t>
  </si>
  <si>
    <t xml:space="preserve">          "member": "Altamirano, Joe",</t>
  </si>
  <si>
    <t xml:space="preserve">          "guest": "Khanna, Ashish",</t>
  </si>
  <si>
    <t xml:space="preserve">          "team_hcp": "23.9",</t>
  </si>
  <si>
    <t xml:space="preserve">          "member_hcp": "15.6",</t>
  </si>
  <si>
    <t xml:space="preserve">          "member": "Barney, Jorge",</t>
  </si>
  <si>
    <t xml:space="preserve">          "guest": "Barney, Robert",</t>
  </si>
  <si>
    <t xml:space="preserve">          "team_hcp": "24.1",</t>
  </si>
  <si>
    <t xml:space="preserve">          "member_hcp": "6.4",</t>
  </si>
  <si>
    <t xml:space="preserve">          "guest_hcp": "17.7"</t>
  </si>
  <si>
    <t xml:space="preserve">          "member": "Schnautz, David",</t>
  </si>
  <si>
    <t xml:space="preserve">          "guest": "Pierson, Kevin",</t>
  </si>
  <si>
    <t xml:space="preserve">          "member_hcp": "17.7",</t>
  </si>
  <si>
    <t xml:space="preserve">          "guest_hcp": "6.4"</t>
  </si>
  <si>
    <t xml:space="preserve">          "member": "Grantham, Mark",</t>
  </si>
  <si>
    <t xml:space="preserve">          "guest": "Shaw, Stuart",</t>
  </si>
  <si>
    <t xml:space="preserve">          "team_hcp": "25.5",</t>
  </si>
  <si>
    <t xml:space="preserve">          "member_hcp": "13.0",</t>
  </si>
  <si>
    <t xml:space="preserve">          "member": "Kruchowsky, Tim",</t>
  </si>
  <si>
    <t xml:space="preserve">          "guest": "Mathers, Jb",</t>
  </si>
  <si>
    <t xml:space="preserve">          "team_hcp": "27.2",</t>
  </si>
  <si>
    <t xml:space="preserve">          "member_hcp": "12.4",</t>
  </si>
  <si>
    <t xml:space="preserve">          "guest_hcp": "14.8"</t>
  </si>
  <si>
    <t xml:space="preserve">          "winner": "Kruchowsky, Tim",</t>
  </si>
  <si>
    <t xml:space="preserve">          "winner": "Grantham, Mark",</t>
  </si>
  <si>
    <t xml:space="preserve">          "winner": "Clements, Jake",</t>
  </si>
  <si>
    <t xml:space="preserve">          "winner": "Bohnen, John",</t>
  </si>
  <si>
    <t xml:space="preserve">          "winner": "Schnautz, David",</t>
  </si>
  <si>
    <t xml:space="preserve">          "winner": "Altamirano, Joe",</t>
  </si>
  <si>
    <t xml:space="preserve">          "owner": "Altamirano, Joe"</t>
  </si>
  <si>
    <t xml:space="preserve">          "winner": "Barney, Jorge",</t>
  </si>
  <si>
    <t xml:space="preserve">      "flight": 10,</t>
  </si>
  <si>
    <t xml:space="preserve">      "total": 8300,</t>
  </si>
  <si>
    <t xml:space="preserve">          "member": "Deangelis, Adam",</t>
  </si>
  <si>
    <t xml:space="preserve">          "guest": "Carter, William",</t>
  </si>
  <si>
    <t xml:space="preserve">          "team_hcp": "27.7",</t>
  </si>
  <si>
    <t xml:space="preserve">          "member_hcp": "10.0",</t>
  </si>
  <si>
    <t xml:space="preserve">          "member": "Walters, Neil",</t>
  </si>
  <si>
    <t xml:space="preserve">          "guest": "Ballard, Tom",</t>
  </si>
  <si>
    <t xml:space="preserve">          "team_hcp": "29.3",</t>
  </si>
  <si>
    <t xml:space="preserve">          "member_hcp": "12.0",</t>
  </si>
  <si>
    <t xml:space="preserve">          "guest_hcp": "17.3"</t>
  </si>
  <si>
    <t xml:space="preserve">          "member": "Wedgeworth, Cliff",</t>
  </si>
  <si>
    <t xml:space="preserve">          "guest": "Halbert, Trey",</t>
  </si>
  <si>
    <t xml:space="preserve">          "team_hcp": "30.1",</t>
  </si>
  <si>
    <t xml:space="preserve">          "guest_hcp": "14.2"</t>
  </si>
  <si>
    <t xml:space="preserve">          "member": "Donohue, Robert",</t>
  </si>
  <si>
    <t xml:space="preserve">          "guest": "Edwards, Mark",</t>
  </si>
  <si>
    <t xml:space="preserve">          "team_hcp": "30.6",</t>
  </si>
  <si>
    <t xml:space="preserve">          "member_hcp": "17.1",</t>
  </si>
  <si>
    <t xml:space="preserve">          "member": "Patterson, Taylor",</t>
  </si>
  <si>
    <t xml:space="preserve">          "guest": "Perkinson, Sebastian",</t>
  </si>
  <si>
    <t xml:space="preserve">          "team_hcp": "30.8",</t>
  </si>
  <si>
    <t xml:space="preserve">          "member_hcp": "14.8",</t>
  </si>
  <si>
    <t xml:space="preserve">          "guest_hcp": "16.0"</t>
  </si>
  <si>
    <t xml:space="preserve">          "member": "Nesbitt, David",</t>
  </si>
  <si>
    <t xml:space="preserve">          "guest": "Parnell, Chris",</t>
  </si>
  <si>
    <t xml:space="preserve">          "team_hcp": "32.0",</t>
  </si>
  <si>
    <t xml:space="preserve">          "member_hcp": "13.5",</t>
  </si>
  <si>
    <t xml:space="preserve">          "guest_hcp": "18.5"</t>
  </si>
  <si>
    <t xml:space="preserve">          "owner": "Pfaffe, Kyle",</t>
  </si>
  <si>
    <t xml:space="preserve">          "member": "Pfaffe, Kyle",</t>
  </si>
  <si>
    <t xml:space="preserve">          "guest": "Wallace, Richard",</t>
  </si>
  <si>
    <t xml:space="preserve">          "team_hcp": "33.0",</t>
  </si>
  <si>
    <t xml:space="preserve">          "member_hcp": "16.0",</t>
  </si>
  <si>
    <t xml:space="preserve">          "member": "Parent, Brian",</t>
  </si>
  <si>
    <t xml:space="preserve">          "guest": "Holmes, Justin",</t>
  </si>
  <si>
    <t xml:space="preserve">          "team_hcp": "41.3",</t>
  </si>
  <si>
    <t xml:space="preserve">          "member_hcp": "21.6",</t>
  </si>
  <si>
    <t xml:space="preserve">          "guest_hcp": "19.7"</t>
  </si>
  <si>
    <t xml:space="preserve">          "amount": 2505,</t>
  </si>
  <si>
    <t xml:space="preserve">          "winner": "Donohue, Robert",</t>
  </si>
  <si>
    <t xml:space="preserve">          "amount": 1500,</t>
  </si>
  <si>
    <t xml:space="preserve">          "winner": "Wedgeworth, Cliff",</t>
  </si>
  <si>
    <t xml:space="preserve">          "amount": 1000,</t>
  </si>
  <si>
    <t xml:space="preserve">          "winner": "Walters, Neil",</t>
  </si>
  <si>
    <t xml:space="preserve">          "amount": 445,</t>
  </si>
  <si>
    <t xml:space="preserve">          "amount": 265,</t>
  </si>
  <si>
    <t xml:space="preserve">          "amount": 175,</t>
  </si>
  <si>
    <t xml:space="preserve">          "winner": "Patterson, Taylor",</t>
  </si>
  <si>
    <t xml:space="preserve">          "winner": "Parent, Brian",</t>
  </si>
  <si>
    <t xml:space="preserve">    }</t>
  </si>
  <si>
    <t xml:space="preserve">  ],</t>
  </si>
  <si>
    <t xml:space="preserve">  "_source": {</t>
  </si>
  <si>
    <t xml:space="preserve">    "file": "2026 MG Master Spreadsheet v1.xlsx",</t>
  </si>
  <si>
    <t xml:space="preserve">  "_dataCheck": {</t>
  </si>
  <si>
    <t xml:space="preserve">  }</t>
  </si>
  <si>
    <t>};</t>
  </si>
  <si>
    <t xml:space="preserve">    "avgBid": 1688.75,</t>
  </si>
  <si>
    <t xml:space="preserve">    "topFlightTotal": 21000</t>
  </si>
  <si>
    <t xml:space="preserve">    "bonusPool": 4015,</t>
  </si>
  <si>
    <t xml:space="preserve">    "firstPlace": 2010,</t>
  </si>
  <si>
    <t xml:space="preserve">      "total": 20600,</t>
  </si>
  <si>
    <t xml:space="preserve">          "amount": 6260,</t>
  </si>
  <si>
    <t xml:space="preserve">          "winner": "Lambert, Jeff",</t>
  </si>
  <si>
    <t xml:space="preserve">          "amount": 3755,</t>
  </si>
  <si>
    <t xml:space="preserve">          "winner": "Harwood, Michael",</t>
  </si>
  <si>
    <t xml:space="preserve">          "owner": "Harwood, Michael"</t>
  </si>
  <si>
    <t xml:space="preserve">          "winner": "Brijalba, Rufus",</t>
  </si>
  <si>
    <t xml:space="preserve">          "owner": "Brijalba, Rufus"</t>
  </si>
  <si>
    <t xml:space="preserve">          "amount": 670,</t>
  </si>
  <si>
    <t xml:space="preserve">          "winner": "Kim, Steven",</t>
  </si>
  <si>
    <t xml:space="preserve">          "owner": "Godhania, Vikas"</t>
  </si>
  <si>
    <t xml:space="preserve">      "total": 21000,</t>
  </si>
  <si>
    <t xml:space="preserve">          "bid": 5000,</t>
  </si>
  <si>
    <t xml:space="preserve">          "amount": 6380,</t>
  </si>
  <si>
    <t xml:space="preserve">          "amount": 3830,</t>
  </si>
  <si>
    <t xml:space="preserve">          "amount": 2550,</t>
  </si>
  <si>
    <t xml:space="preserve">          "amount": 1145,</t>
  </si>
  <si>
    <t xml:space="preserve">          "amount": 685,</t>
  </si>
  <si>
    <t xml:space="preserve">          "amount": 455,</t>
  </si>
  <si>
    <t xml:space="preserve">    "sumOfFlightTotals": 135100,</t>
  </si>
  <si>
    <t xml:space="preserve">    "sumOfTeamBids": 135100</t>
  </si>
  <si>
    <t xml:space="preserve">  "lastUpdated": "2026-08-05T22:38:53.488Z",</t>
  </si>
  <si>
    <t xml:space="preserve">          "winner": "Lau, Jason",</t>
  </si>
  <si>
    <t xml:space="preserve">    "generated": "2026-08-05T22:38:53.489Z"</t>
  </si>
  <si>
    <t>2026-08-05T22:38:53.551Z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</si>
</sst>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_);_(&quot;$&quot;* \(#,##0\);_(&quot;$&quot;* &quot;-&quot;?_);_(@_)"/>
    <numFmt numFmtId="166" formatCode="_([$$-409]* #,##0_);_([$$-409]* \(#,##0\);_([$$-409]* &quot;-&quot;??_);_(@_)"/>
    <numFmt numFmtId="167" formatCode="_(&quot;$&quot;* #,##0.00_);_(&quot;$&quot;* \(#,##0.00\);_(&quot;$&quot;* &quot;-&quot;?_);_(@_)"/>
    <numFmt numFmtId="168" formatCode="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u/>
      <sz val="10"/>
      <color rgb="FFFFFFFF"/>
      <name val="Arial"/>
      <family val="2"/>
    </font>
    <font>
      <sz val="7.5"/>
      <color rgb="FFFFFFFF"/>
      <name val="Arial"/>
      <family val="2"/>
    </font>
    <font>
      <u/>
      <sz val="7.5"/>
      <color rgb="FFFFFFFF"/>
      <name val="Arial"/>
      <family val="2"/>
    </font>
    <font>
      <b/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color rgb="FF000000"/>
      <name val="Arial"/>
      <family val="2"/>
      <charset val="1"/>
    </font>
    <font>
      <b/>
      <sz val="10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0"/>
      <color rgb="FF444444"/>
      <name val="Calibri"/>
      <family val="2"/>
      <charset val="1"/>
    </font>
    <font>
      <b/>
      <sz val="10"/>
      <color rgb="FF444444"/>
      <name val="Calibri"/>
      <family val="2"/>
      <charset val="1"/>
    </font>
    <font>
      <sz val="12"/>
      <color theme="1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b/>
      <sz val="11"/>
      <color rgb="FF444444"/>
      <name val="Calibri"/>
      <family val="2"/>
      <charset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Segoe UI"/>
      <family val="2"/>
    </font>
  </fonts>
  <fills count="4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0" applyNumberFormat="0" applyFill="0" applyAlignment="0" applyProtection="0"/>
    <xf numFmtId="0" fontId="8" fillId="0" borderId="11" applyNumberFormat="0" applyFill="0" applyAlignment="0" applyProtection="0"/>
    <xf numFmtId="0" fontId="9" fillId="0" borderId="12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10" borderId="13" applyNumberFormat="0" applyAlignment="0" applyProtection="0"/>
    <xf numFmtId="0" fontId="13" fillId="11" borderId="14" applyNumberFormat="0" applyAlignment="0" applyProtection="0"/>
    <xf numFmtId="0" fontId="14" fillId="11" borderId="13" applyNumberFormat="0" applyAlignment="0" applyProtection="0"/>
    <xf numFmtId="0" fontId="15" fillId="0" borderId="15" applyNumberFormat="0" applyFill="0" applyAlignment="0" applyProtection="0"/>
    <xf numFmtId="0" fontId="16" fillId="12" borderId="16" applyNumberFormat="0" applyAlignment="0" applyProtection="0"/>
    <xf numFmtId="0" fontId="2" fillId="0" borderId="0" applyNumberFormat="0" applyFill="0" applyBorder="0" applyAlignment="0" applyProtection="0"/>
    <xf numFmtId="0" fontId="1" fillId="13" borderId="17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8" applyNumberFormat="0" applyFill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9" fillId="9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18" fillId="37" borderId="0" applyNumberFormat="0" applyBorder="0" applyAlignment="0" applyProtection="0"/>
  </cellStyleXfs>
  <cellXfs count="343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164" fontId="0" fillId="0" borderId="0" xfId="0" applyNumberFormat="1"/>
    <xf numFmtId="164" fontId="0" fillId="0" borderId="0" xfId="1" applyNumberFormat="1" applyFont="1" applyBorder="1" applyAlignment="1">
      <alignment horizontal="center"/>
    </xf>
    <xf numFmtId="9" fontId="0" fillId="0" borderId="0" xfId="0" applyNumberFormat="1"/>
    <xf numFmtId="0" fontId="5" fillId="4" borderId="0" xfId="0" applyFont="1" applyFill="1"/>
    <xf numFmtId="0" fontId="5" fillId="38" borderId="19" xfId="0" applyFont="1" applyFill="1" applyBorder="1"/>
    <xf numFmtId="0" fontId="22" fillId="38" borderId="25" xfId="0" applyFont="1" applyFill="1" applyBorder="1" applyAlignment="1">
      <alignment horizontal="center" wrapText="1"/>
    </xf>
    <xf numFmtId="0" fontId="5" fillId="4" borderId="20" xfId="0" applyFont="1" applyFill="1" applyBorder="1"/>
    <xf numFmtId="0" fontId="5" fillId="5" borderId="20" xfId="0" applyFont="1" applyFill="1" applyBorder="1"/>
    <xf numFmtId="0" fontId="25" fillId="5" borderId="20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19" xfId="0" applyFont="1" applyBorder="1"/>
    <xf numFmtId="0" fontId="5" fillId="0" borderId="20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0" fillId="0" borderId="37" xfId="0" applyBorder="1"/>
    <xf numFmtId="0" fontId="0" fillId="0" borderId="38" xfId="0" applyBorder="1" applyAlignment="1">
      <alignment horizontal="center"/>
    </xf>
    <xf numFmtId="0" fontId="0" fillId="0" borderId="39" xfId="0" applyBorder="1"/>
    <xf numFmtId="0" fontId="0" fillId="0" borderId="40" xfId="0" applyBorder="1" applyAlignment="1">
      <alignment horizontal="center"/>
    </xf>
    <xf numFmtId="0" fontId="0" fillId="0" borderId="40" xfId="0" applyBorder="1"/>
    <xf numFmtId="0" fontId="0" fillId="0" borderId="41" xfId="0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0" fillId="0" borderId="38" xfId="0" applyBorder="1"/>
    <xf numFmtId="0" fontId="0" fillId="0" borderId="41" xfId="0" applyBorder="1"/>
    <xf numFmtId="0" fontId="0" fillId="0" borderId="45" xfId="0" applyBorder="1"/>
    <xf numFmtId="0" fontId="0" fillId="0" borderId="9" xfId="0" applyBorder="1"/>
    <xf numFmtId="0" fontId="0" fillId="42" borderId="0" xfId="0" applyFill="1"/>
    <xf numFmtId="0" fontId="0" fillId="3" borderId="0" xfId="0" applyFill="1"/>
    <xf numFmtId="0" fontId="0" fillId="3" borderId="6" xfId="0" applyFill="1" applyBorder="1"/>
    <xf numFmtId="164" fontId="0" fillId="0" borderId="0" xfId="1" applyNumberFormat="1" applyFont="1" applyFill="1" applyBorder="1" applyAlignment="1"/>
    <xf numFmtId="164" fontId="3" fillId="0" borderId="48" xfId="1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64" fontId="3" fillId="0" borderId="50" xfId="1" applyNumberFormat="1" applyFont="1" applyFill="1" applyBorder="1" applyAlignment="1">
      <alignment horizontal="center"/>
    </xf>
    <xf numFmtId="0" fontId="4" fillId="0" borderId="0" xfId="0" applyFont="1"/>
    <xf numFmtId="0" fontId="30" fillId="43" borderId="0" xfId="0" applyFont="1" applyFill="1"/>
    <xf numFmtId="9" fontId="0" fillId="0" borderId="0" xfId="0" applyNumberFormat="1" applyAlignment="1">
      <alignment horizontal="center"/>
    </xf>
    <xf numFmtId="0" fontId="31" fillId="0" borderId="0" xfId="0" quotePrefix="1" applyFont="1"/>
    <xf numFmtId="164" fontId="3" fillId="0" borderId="0" xfId="1" applyNumberFormat="1" applyFont="1" applyFill="1" applyBorder="1" applyAlignment="1"/>
    <xf numFmtId="164" fontId="3" fillId="2" borderId="0" xfId="1" applyNumberFormat="1" applyFont="1" applyFill="1" applyBorder="1" applyAlignment="1"/>
    <xf numFmtId="164" fontId="0" fillId="0" borderId="38" xfId="0" applyNumberFormat="1" applyBorder="1"/>
    <xf numFmtId="164" fontId="28" fillId="0" borderId="0" xfId="1" applyNumberFormat="1" applyFont="1" applyFill="1" applyBorder="1" applyAlignment="1"/>
    <xf numFmtId="164" fontId="4" fillId="0" borderId="0" xfId="0" applyNumberFormat="1" applyFont="1" applyAlignment="1">
      <alignment vertical="center"/>
    </xf>
    <xf numFmtId="164" fontId="0" fillId="0" borderId="0" xfId="0" applyNumberFormat="1" applyAlignment="1">
      <alignment horizontal="center"/>
    </xf>
    <xf numFmtId="164" fontId="4" fillId="3" borderId="55" xfId="0" applyNumberFormat="1" applyFont="1" applyFill="1" applyBorder="1" applyAlignment="1">
      <alignment vertical="center"/>
    </xf>
    <xf numFmtId="164" fontId="0" fillId="2" borderId="39" xfId="1" applyNumberFormat="1" applyFont="1" applyFill="1" applyBorder="1" applyAlignment="1"/>
    <xf numFmtId="44" fontId="3" fillId="3" borderId="38" xfId="0" applyNumberFormat="1" applyFont="1" applyFill="1" applyBorder="1"/>
    <xf numFmtId="164" fontId="3" fillId="0" borderId="37" xfId="1" applyNumberFormat="1" applyFont="1" applyFill="1" applyBorder="1" applyAlignment="1">
      <alignment horizontal="center"/>
    </xf>
    <xf numFmtId="165" fontId="0" fillId="0" borderId="38" xfId="0" applyNumberFormat="1" applyBorder="1"/>
    <xf numFmtId="9" fontId="0" fillId="0" borderId="40" xfId="0" applyNumberFormat="1" applyBorder="1" applyAlignment="1">
      <alignment horizontal="center"/>
    </xf>
    <xf numFmtId="164" fontId="3" fillId="0" borderId="60" xfId="1" applyNumberFormat="1" applyFont="1" applyFill="1" applyBorder="1" applyAlignment="1">
      <alignment horizontal="center"/>
    </xf>
    <xf numFmtId="9" fontId="0" fillId="0" borderId="46" xfId="0" applyNumberFormat="1" applyBorder="1" applyAlignment="1">
      <alignment horizontal="center"/>
    </xf>
    <xf numFmtId="165" fontId="0" fillId="0" borderId="47" xfId="0" applyNumberFormat="1" applyBorder="1"/>
    <xf numFmtId="164" fontId="3" fillId="0" borderId="57" xfId="1" applyNumberFormat="1" applyFont="1" applyFill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4" fontId="3" fillId="2" borderId="37" xfId="1" applyNumberFormat="1" applyFont="1" applyFill="1" applyBorder="1" applyAlignment="1"/>
    <xf numFmtId="164" fontId="33" fillId="2" borderId="41" xfId="0" applyNumberFormat="1" applyFont="1" applyFill="1" applyBorder="1" applyAlignment="1">
      <alignment horizontal="center"/>
    </xf>
    <xf numFmtId="164" fontId="33" fillId="2" borderId="40" xfId="1" applyNumberFormat="1" applyFont="1" applyFill="1" applyBorder="1" applyAlignment="1">
      <alignment horizontal="right"/>
    </xf>
    <xf numFmtId="0" fontId="33" fillId="2" borderId="39" xfId="0" applyFont="1" applyFill="1" applyBorder="1" applyAlignment="1">
      <alignment horizontal="right"/>
    </xf>
    <xf numFmtId="9" fontId="33" fillId="2" borderId="40" xfId="0" applyNumberFormat="1" applyFont="1" applyFill="1" applyBorder="1"/>
    <xf numFmtId="164" fontId="33" fillId="2" borderId="41" xfId="0" applyNumberFormat="1" applyFont="1" applyFill="1" applyBorder="1"/>
    <xf numFmtId="9" fontId="33" fillId="2" borderId="40" xfId="0" applyNumberFormat="1" applyFont="1" applyFill="1" applyBorder="1" applyAlignment="1">
      <alignment horizontal="center"/>
    </xf>
    <xf numFmtId="165" fontId="33" fillId="2" borderId="41" xfId="0" applyNumberFormat="1" applyFont="1" applyFill="1" applyBorder="1" applyAlignment="1">
      <alignment horizontal="center"/>
    </xf>
    <xf numFmtId="164" fontId="3" fillId="2" borderId="35" xfId="1" applyNumberFormat="1" applyFont="1" applyFill="1" applyBorder="1" applyAlignment="1"/>
    <xf numFmtId="0" fontId="29" fillId="0" borderId="0" xfId="0" applyFont="1"/>
    <xf numFmtId="0" fontId="34" fillId="0" borderId="0" xfId="0" applyFont="1"/>
    <xf numFmtId="0" fontId="32" fillId="0" borderId="37" xfId="0" applyFont="1" applyBorder="1"/>
    <xf numFmtId="0" fontId="35" fillId="0" borderId="37" xfId="0" applyFont="1" applyBorder="1" applyAlignment="1">
      <alignment horizontal="right"/>
    </xf>
    <xf numFmtId="0" fontId="29" fillId="0" borderId="38" xfId="0" applyFont="1" applyBorder="1"/>
    <xf numFmtId="0" fontId="34" fillId="0" borderId="37" xfId="0" applyFont="1" applyBorder="1"/>
    <xf numFmtId="0" fontId="34" fillId="0" borderId="39" xfId="0" applyFont="1" applyBorder="1"/>
    <xf numFmtId="164" fontId="3" fillId="0" borderId="40" xfId="1" applyNumberFormat="1" applyFont="1" applyFill="1" applyBorder="1" applyAlignment="1">
      <alignment horizontal="center"/>
    </xf>
    <xf numFmtId="0" fontId="29" fillId="0" borderId="41" xfId="0" applyFont="1" applyBorder="1"/>
    <xf numFmtId="9" fontId="0" fillId="0" borderId="41" xfId="0" applyNumberFormat="1" applyBorder="1"/>
    <xf numFmtId="0" fontId="35" fillId="0" borderId="57" xfId="0" applyFont="1" applyBorder="1" applyAlignment="1">
      <alignment horizontal="right"/>
    </xf>
    <xf numFmtId="9" fontId="0" fillId="0" borderId="38" xfId="0" applyNumberFormat="1" applyBorder="1"/>
    <xf numFmtId="0" fontId="29" fillId="43" borderId="53" xfId="0" applyFont="1" applyFill="1" applyBorder="1" applyAlignment="1">
      <alignment horizontal="center"/>
    </xf>
    <xf numFmtId="0" fontId="0" fillId="42" borderId="6" xfId="0" applyFill="1" applyBorder="1"/>
    <xf numFmtId="9" fontId="0" fillId="42" borderId="38" xfId="0" applyNumberFormat="1" applyFill="1" applyBorder="1" applyAlignment="1">
      <alignment horizontal="center"/>
    </xf>
    <xf numFmtId="9" fontId="0" fillId="42" borderId="38" xfId="0" applyNumberFormat="1" applyFill="1" applyBorder="1"/>
    <xf numFmtId="9" fontId="0" fillId="42" borderId="41" xfId="0" applyNumberFormat="1" applyFill="1" applyBorder="1" applyAlignment="1">
      <alignment horizontal="center"/>
    </xf>
    <xf numFmtId="164" fontId="0" fillId="42" borderId="34" xfId="1" applyNumberFormat="1" applyFont="1" applyFill="1" applyBorder="1" applyAlignment="1">
      <alignment horizontal="center"/>
    </xf>
    <xf numFmtId="164" fontId="0" fillId="42" borderId="37" xfId="1" applyNumberFormat="1" applyFont="1" applyFill="1" applyBorder="1" applyAlignment="1">
      <alignment horizontal="center"/>
    </xf>
    <xf numFmtId="164" fontId="0" fillId="42" borderId="39" xfId="1" applyNumberFormat="1" applyFont="1" applyFill="1" applyBorder="1" applyAlignment="1">
      <alignment horizontal="center"/>
    </xf>
    <xf numFmtId="0" fontId="36" fillId="0" borderId="0" xfId="0" applyFont="1"/>
    <xf numFmtId="164" fontId="36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" fillId="0" borderId="57" xfId="0" applyFont="1" applyBorder="1"/>
    <xf numFmtId="0" fontId="3" fillId="0" borderId="6" xfId="0" applyFont="1" applyBorder="1"/>
    <xf numFmtId="0" fontId="0" fillId="0" borderId="61" xfId="0" applyBorder="1"/>
    <xf numFmtId="0" fontId="32" fillId="0" borderId="60" xfId="0" applyFont="1" applyBorder="1"/>
    <xf numFmtId="9" fontId="0" fillId="42" borderId="47" xfId="0" applyNumberFormat="1" applyFill="1" applyBorder="1" applyAlignment="1">
      <alignment horizontal="center"/>
    </xf>
    <xf numFmtId="9" fontId="0" fillId="42" borderId="58" xfId="0" applyNumberFormat="1" applyFill="1" applyBorder="1"/>
    <xf numFmtId="9" fontId="33" fillId="0" borderId="62" xfId="0" applyNumberFormat="1" applyFont="1" applyBorder="1" applyAlignment="1">
      <alignment horizontal="center"/>
    </xf>
    <xf numFmtId="9" fontId="37" fillId="0" borderId="58" xfId="0" applyNumberFormat="1" applyFont="1" applyBorder="1" applyAlignment="1">
      <alignment horizontal="center"/>
    </xf>
    <xf numFmtId="166" fontId="0" fillId="0" borderId="7" xfId="0" applyNumberFormat="1" applyBorder="1"/>
    <xf numFmtId="166" fontId="0" fillId="0" borderId="7" xfId="0" applyNumberFormat="1" applyBorder="1" applyAlignment="1">
      <alignment horizontal="center"/>
    </xf>
    <xf numFmtId="44" fontId="0" fillId="0" borderId="38" xfId="0" applyNumberFormat="1" applyBorder="1"/>
    <xf numFmtId="44" fontId="28" fillId="3" borderId="63" xfId="0" applyNumberFormat="1" applyFont="1" applyFill="1" applyBorder="1" applyAlignment="1">
      <alignment horizontal="center"/>
    </xf>
    <xf numFmtId="44" fontId="4" fillId="3" borderId="55" xfId="0" applyNumberFormat="1" applyFont="1" applyFill="1" applyBorder="1" applyAlignment="1">
      <alignment vertical="center"/>
    </xf>
    <xf numFmtId="44" fontId="28" fillId="3" borderId="63" xfId="1" applyFont="1" applyFill="1" applyBorder="1" applyAlignment="1"/>
    <xf numFmtId="44" fontId="3" fillId="3" borderId="38" xfId="1" applyFont="1" applyFill="1" applyBorder="1" applyAlignment="1"/>
    <xf numFmtId="164" fontId="0" fillId="42" borderId="36" xfId="1" applyNumberFormat="1" applyFont="1" applyFill="1" applyBorder="1" applyAlignment="1">
      <alignment horizontal="center"/>
    </xf>
    <xf numFmtId="164" fontId="0" fillId="42" borderId="38" xfId="1" applyNumberFormat="1" applyFont="1" applyFill="1" applyBorder="1" applyAlignment="1">
      <alignment horizontal="center"/>
    </xf>
    <xf numFmtId="164" fontId="0" fillId="42" borderId="41" xfId="1" applyNumberFormat="1" applyFont="1" applyFill="1" applyBorder="1" applyAlignment="1">
      <alignment horizontal="center"/>
    </xf>
    <xf numFmtId="0" fontId="0" fillId="39" borderId="0" xfId="0" applyFill="1"/>
    <xf numFmtId="0" fontId="0" fillId="40" borderId="6" xfId="0" applyFill="1" applyBorder="1"/>
    <xf numFmtId="0" fontId="0" fillId="0" borderId="32" xfId="0" applyBorder="1"/>
    <xf numFmtId="0" fontId="0" fillId="42" borderId="1" xfId="0" applyFill="1" applyBorder="1"/>
    <xf numFmtId="0" fontId="3" fillId="2" borderId="37" xfId="0" applyFont="1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0" fillId="42" borderId="7" xfId="0" applyFill="1" applyBorder="1" applyAlignment="1">
      <alignment horizontal="center"/>
    </xf>
    <xf numFmtId="0" fontId="38" fillId="0" borderId="37" xfId="0" applyFont="1" applyBorder="1"/>
    <xf numFmtId="0" fontId="29" fillId="0" borderId="39" xfId="0" applyFont="1" applyBorder="1"/>
    <xf numFmtId="0" fontId="4" fillId="44" borderId="34" xfId="0" applyFont="1" applyFill="1" applyBorder="1"/>
    <xf numFmtId="0" fontId="4" fillId="44" borderId="35" xfId="0" applyFont="1" applyFill="1" applyBorder="1"/>
    <xf numFmtId="44" fontId="4" fillId="3" borderId="36" xfId="0" applyNumberFormat="1" applyFont="1" applyFill="1" applyBorder="1"/>
    <xf numFmtId="44" fontId="0" fillId="0" borderId="47" xfId="0" applyNumberFormat="1" applyBorder="1"/>
    <xf numFmtId="9" fontId="0" fillId="42" borderId="0" xfId="0" applyNumberFormat="1" applyFill="1" applyAlignment="1">
      <alignment horizontal="center"/>
    </xf>
    <xf numFmtId="9" fontId="0" fillId="42" borderId="46" xfId="0" applyNumberFormat="1" applyFill="1" applyBorder="1" applyAlignment="1">
      <alignment horizontal="center"/>
    </xf>
    <xf numFmtId="9" fontId="0" fillId="42" borderId="6" xfId="0" applyNumberForma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164" fontId="28" fillId="2" borderId="34" xfId="1" applyNumberFormat="1" applyFont="1" applyFill="1" applyBorder="1" applyAlignment="1">
      <alignment horizontal="center"/>
    </xf>
    <xf numFmtId="164" fontId="28" fillId="2" borderId="35" xfId="1" applyNumberFormat="1" applyFont="1" applyFill="1" applyBorder="1" applyAlignment="1">
      <alignment horizontal="center"/>
    </xf>
    <xf numFmtId="164" fontId="28" fillId="2" borderId="36" xfId="1" applyNumberFormat="1" applyFont="1" applyFill="1" applyBorder="1" applyAlignment="1">
      <alignment horizontal="center"/>
    </xf>
    <xf numFmtId="164" fontId="4" fillId="3" borderId="54" xfId="0" applyNumberFormat="1" applyFont="1" applyFill="1" applyBorder="1" applyAlignment="1">
      <alignment horizontal="center" vertical="center"/>
    </xf>
    <xf numFmtId="0" fontId="3" fillId="43" borderId="34" xfId="0" applyFont="1" applyFill="1" applyBorder="1" applyAlignment="1">
      <alignment horizontal="center"/>
    </xf>
    <xf numFmtId="0" fontId="3" fillId="43" borderId="35" xfId="0" applyFont="1" applyFill="1" applyBorder="1" applyAlignment="1">
      <alignment horizontal="center"/>
    </xf>
    <xf numFmtId="0" fontId="3" fillId="43" borderId="36" xfId="0" applyFont="1" applyFill="1" applyBorder="1" applyAlignment="1">
      <alignment horizontal="center"/>
    </xf>
    <xf numFmtId="0" fontId="3" fillId="43" borderId="53" xfId="0" applyFont="1" applyFill="1" applyBorder="1" applyAlignment="1">
      <alignment horizontal="center"/>
    </xf>
    <xf numFmtId="0" fontId="3" fillId="43" borderId="54" xfId="0" applyFont="1" applyFill="1" applyBorder="1" applyAlignment="1">
      <alignment horizontal="center"/>
    </xf>
    <xf numFmtId="0" fontId="3" fillId="43" borderId="55" xfId="0" applyFont="1" applyFill="1" applyBorder="1" applyAlignment="1">
      <alignment horizontal="center"/>
    </xf>
    <xf numFmtId="0" fontId="0" fillId="40" borderId="0" xfId="0" applyFill="1"/>
    <xf numFmtId="0" fontId="0" fillId="3" borderId="46" xfId="0" applyFill="1" applyBorder="1"/>
    <xf numFmtId="0" fontId="0" fillId="42" borderId="46" xfId="0" applyFill="1" applyBorder="1"/>
    <xf numFmtId="0" fontId="0" fillId="40" borderId="46" xfId="0" applyFill="1" applyBorder="1"/>
    <xf numFmtId="0" fontId="0" fillId="39" borderId="1" xfId="0" applyFill="1" applyBorder="1"/>
    <xf numFmtId="0" fontId="0" fillId="39" borderId="46" xfId="0" applyFill="1" applyBorder="1"/>
    <xf numFmtId="0" fontId="0" fillId="2" borderId="46" xfId="0" applyFill="1" applyBorder="1"/>
    <xf numFmtId="0" fontId="0" fillId="2" borderId="32" xfId="0" applyFill="1" applyBorder="1"/>
    <xf numFmtId="0" fontId="0" fillId="41" borderId="46" xfId="0" applyFill="1" applyBorder="1"/>
    <xf numFmtId="0" fontId="4" fillId="2" borderId="3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42" borderId="41" xfId="0" applyFill="1" applyBorder="1" applyAlignment="1">
      <alignment horizontal="center"/>
    </xf>
    <xf numFmtId="0" fontId="0" fillId="42" borderId="38" xfId="0" applyFill="1" applyBorder="1" applyAlignment="1">
      <alignment horizontal="center"/>
    </xf>
    <xf numFmtId="166" fontId="0" fillId="0" borderId="0" xfId="0" applyNumberFormat="1"/>
    <xf numFmtId="166" fontId="0" fillId="0" borderId="56" xfId="0" applyNumberForma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2" xfId="0" applyBorder="1" applyAlignment="1">
      <alignment horizontal="center"/>
    </xf>
    <xf numFmtId="166" fontId="0" fillId="0" borderId="56" xfId="0" applyNumberFormat="1" applyBorder="1"/>
    <xf numFmtId="0" fontId="0" fillId="0" borderId="51" xfId="0" applyBorder="1" applyAlignment="1">
      <alignment horizontal="center"/>
    </xf>
    <xf numFmtId="0" fontId="0" fillId="45" borderId="0" xfId="0" applyFill="1"/>
    <xf numFmtId="44" fontId="3" fillId="3" borderId="38" xfId="1" applyFont="1" applyFill="1" applyBorder="1"/>
    <xf numFmtId="164" fontId="3" fillId="0" borderId="48" xfId="1" applyNumberFormat="1" applyFont="1" applyBorder="1" applyAlignment="1">
      <alignment horizontal="center"/>
    </xf>
    <xf numFmtId="164" fontId="3" fillId="2" borderId="37" xfId="1" applyNumberFormat="1" applyFont="1" applyFill="1" applyBorder="1"/>
    <xf numFmtId="164" fontId="3" fillId="43" borderId="75" xfId="1" applyNumberFormat="1" applyFont="1" applyFill="1" applyBorder="1" applyAlignment="1">
      <alignment horizontal="center"/>
    </xf>
    <xf numFmtId="164" fontId="3" fillId="43" borderId="76" xfId="1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69" xfId="0" applyFont="1" applyBorder="1" applyAlignment="1">
      <alignment horizontal="center"/>
    </xf>
    <xf numFmtId="164" fontId="3" fillId="0" borderId="78" xfId="1" applyNumberFormat="1" applyFont="1" applyFill="1" applyBorder="1" applyAlignment="1">
      <alignment horizontal="center"/>
    </xf>
    <xf numFmtId="164" fontId="3" fillId="0" borderId="79" xfId="1" applyNumberFormat="1" applyFont="1" applyFill="1" applyBorder="1" applyAlignment="1">
      <alignment horizontal="center"/>
    </xf>
    <xf numFmtId="0" fontId="33" fillId="2" borderId="0" xfId="0" applyFont="1" applyFill="1" applyAlignment="1">
      <alignment horizontal="right"/>
    </xf>
    <xf numFmtId="9" fontId="33" fillId="2" borderId="0" xfId="0" applyNumberFormat="1" applyFont="1" applyFill="1"/>
    <xf numFmtId="44" fontId="0" fillId="0" borderId="38" xfId="0" applyNumberFormat="1" applyBorder="1" applyAlignment="1">
      <alignment horizontal="center"/>
    </xf>
    <xf numFmtId="9" fontId="33" fillId="2" borderId="0" xfId="0" applyNumberFormat="1" applyFont="1" applyFill="1" applyAlignment="1">
      <alignment horizontal="center"/>
    </xf>
    <xf numFmtId="167" fontId="33" fillId="2" borderId="0" xfId="0" applyNumberFormat="1" applyFont="1" applyFill="1" applyAlignment="1">
      <alignment horizontal="center"/>
    </xf>
    <xf numFmtId="44" fontId="33" fillId="2" borderId="0" xfId="0" applyNumberFormat="1" applyFont="1" applyFill="1"/>
    <xf numFmtId="44" fontId="0" fillId="46" borderId="0" xfId="0" applyNumberFormat="1" applyFill="1"/>
    <xf numFmtId="164" fontId="0" fillId="0" borderId="47" xfId="0" applyNumberFormat="1" applyBorder="1"/>
    <xf numFmtId="44" fontId="33" fillId="2" borderId="41" xfId="0" applyNumberFormat="1" applyFont="1" applyFill="1" applyBorder="1" applyAlignment="1">
      <alignment horizontal="center"/>
    </xf>
    <xf numFmtId="0" fontId="29" fillId="46" borderId="30" xfId="0" applyFont="1" applyFill="1" applyBorder="1" applyAlignment="1">
      <alignment horizontal="left"/>
    </xf>
    <xf numFmtId="0" fontId="29" fillId="46" borderId="31" xfId="0" applyFont="1" applyFill="1" applyBorder="1" applyAlignment="1">
      <alignment horizontal="left"/>
    </xf>
    <xf numFmtId="164" fontId="0" fillId="46" borderId="81" xfId="0" applyNumberFormat="1" applyFill="1" applyBorder="1"/>
    <xf numFmtId="44" fontId="0" fillId="0" borderId="82" xfId="0" applyNumberFormat="1" applyBorder="1"/>
    <xf numFmtId="44" fontId="0" fillId="0" borderId="83" xfId="0" applyNumberFormat="1" applyBorder="1"/>
    <xf numFmtId="0" fontId="29" fillId="0" borderId="71" xfId="0" applyFont="1" applyBorder="1" applyAlignment="1">
      <alignment horizontal="left"/>
    </xf>
    <xf numFmtId="164" fontId="0" fillId="42" borderId="84" xfId="0" applyNumberFormat="1" applyFill="1" applyBorder="1"/>
    <xf numFmtId="166" fontId="0" fillId="0" borderId="72" xfId="0" applyNumberFormat="1" applyBorder="1"/>
    <xf numFmtId="0" fontId="0" fillId="0" borderId="80" xfId="0" applyBorder="1" applyAlignment="1">
      <alignment horizontal="center"/>
    </xf>
    <xf numFmtId="164" fontId="3" fillId="0" borderId="72" xfId="1" applyNumberFormat="1" applyFont="1" applyFill="1" applyBorder="1" applyAlignment="1"/>
    <xf numFmtId="0" fontId="0" fillId="0" borderId="74" xfId="0" applyBorder="1" applyAlignment="1">
      <alignment horizontal="center"/>
    </xf>
    <xf numFmtId="168" fontId="0" fillId="39" borderId="46" xfId="0" applyNumberFormat="1" applyFill="1" applyBorder="1"/>
    <xf numFmtId="168" fontId="0" fillId="42" borderId="46" xfId="0" applyNumberFormat="1" applyFill="1" applyBorder="1" applyAlignment="1">
      <alignment horizontal="center"/>
    </xf>
    <xf numFmtId="168" fontId="0" fillId="42" borderId="0" xfId="0" applyNumberFormat="1" applyFill="1" applyAlignment="1">
      <alignment horizontal="center"/>
    </xf>
    <xf numFmtId="168" fontId="0" fillId="42" borderId="6" xfId="0" applyNumberFormat="1" applyFill="1" applyBorder="1" applyAlignment="1">
      <alignment horizontal="center"/>
    </xf>
    <xf numFmtId="168" fontId="0" fillId="0" borderId="0" xfId="0" applyNumberFormat="1"/>
    <xf numFmtId="168" fontId="0" fillId="39" borderId="32" xfId="0" applyNumberFormat="1" applyFill="1" applyBorder="1"/>
    <xf numFmtId="0" fontId="28" fillId="0" borderId="70" xfId="0" applyFont="1" applyBorder="1" applyAlignment="1">
      <alignment horizontal="left"/>
    </xf>
    <xf numFmtId="168" fontId="0" fillId="0" borderId="0" xfId="0" applyNumberFormat="1" applyAlignment="1">
      <alignment horizontal="center"/>
    </xf>
    <xf numFmtId="0" fontId="40" fillId="0" borderId="0" xfId="0" applyFont="1"/>
    <xf numFmtId="0" fontId="39" fillId="0" borderId="0" xfId="0" applyFont="1" applyAlignment="1">
      <alignment horizontal="center"/>
    </xf>
    <xf numFmtId="164" fontId="0" fillId="42" borderId="39" xfId="0" applyNumberFormat="1" applyFill="1" applyBorder="1" applyAlignment="1">
      <alignment horizontal="center"/>
    </xf>
    <xf numFmtId="164" fontId="0" fillId="42" borderId="37" xfId="0" applyNumberFormat="1" applyFill="1" applyBorder="1" applyAlignment="1">
      <alignment horizontal="center"/>
    </xf>
    <xf numFmtId="0" fontId="28" fillId="0" borderId="0" xfId="0" applyFont="1"/>
    <xf numFmtId="0" fontId="28" fillId="43" borderId="5" xfId="0" applyFont="1" applyFill="1" applyBorder="1" applyAlignment="1">
      <alignment horizontal="center"/>
    </xf>
    <xf numFmtId="168" fontId="0" fillId="39" borderId="46" xfId="0" applyNumberFormat="1" applyFill="1" applyBorder="1" applyAlignment="1">
      <alignment wrapText="1"/>
    </xf>
    <xf numFmtId="0" fontId="0" fillId="3" borderId="1" xfId="0" applyFill="1" applyBorder="1"/>
    <xf numFmtId="0" fontId="0" fillId="3" borderId="26" xfId="0" applyFill="1" applyBorder="1"/>
    <xf numFmtId="0" fontId="0" fillId="41" borderId="0" xfId="0" applyFill="1"/>
    <xf numFmtId="0" fontId="0" fillId="3" borderId="8" xfId="0" applyFill="1" applyBorder="1"/>
    <xf numFmtId="0" fontId="0" fillId="41" borderId="6" xfId="0" applyFill="1" applyBorder="1"/>
    <xf numFmtId="168" fontId="0" fillId="3" borderId="46" xfId="0" applyNumberFormat="1" applyFill="1" applyBorder="1" applyAlignment="1">
      <alignment horizontal="center"/>
    </xf>
    <xf numFmtId="168" fontId="0" fillId="3" borderId="0" xfId="0" applyNumberFormat="1" applyFill="1" applyAlignment="1">
      <alignment horizontal="center"/>
    </xf>
    <xf numFmtId="168" fontId="0" fillId="3" borderId="6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8" fontId="0" fillId="3" borderId="45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68" fontId="0" fillId="3" borderId="9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8" fontId="0" fillId="3" borderId="32" xfId="0" applyNumberForma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0" borderId="34" xfId="0" applyBorder="1"/>
    <xf numFmtId="0" fontId="0" fillId="42" borderId="7" xfId="0" applyFill="1" applyBorder="1" applyAlignment="1">
      <alignment horizontal="center" wrapText="1"/>
    </xf>
    <xf numFmtId="0" fontId="28" fillId="43" borderId="64" xfId="0" applyFont="1" applyFill="1" applyBorder="1" applyAlignment="1">
      <alignment horizontal="center"/>
    </xf>
    <xf numFmtId="0" fontId="28" fillId="43" borderId="37" xfId="0" applyFont="1" applyFill="1" applyBorder="1" applyAlignment="1">
      <alignment horizontal="center"/>
    </xf>
    <xf numFmtId="0" fontId="28" fillId="43" borderId="0" xfId="0" applyFont="1" applyFill="1" applyAlignment="1">
      <alignment horizontal="center"/>
    </xf>
    <xf numFmtId="0" fontId="28" fillId="43" borderId="39" xfId="0" applyFont="1" applyFill="1" applyBorder="1" applyAlignment="1">
      <alignment horizontal="center"/>
    </xf>
    <xf numFmtId="0" fontId="28" fillId="43" borderId="40" xfId="0" applyFont="1" applyFill="1" applyBorder="1" applyAlignment="1">
      <alignment horizontal="center"/>
    </xf>
    <xf numFmtId="0" fontId="28" fillId="43" borderId="51" xfId="0" applyFont="1" applyFill="1" applyBorder="1" applyAlignment="1">
      <alignment horizontal="center"/>
    </xf>
    <xf numFmtId="0" fontId="0" fillId="42" borderId="56" xfId="0" applyFill="1" applyBorder="1" applyAlignment="1">
      <alignment horizontal="center"/>
    </xf>
    <xf numFmtId="0" fontId="0" fillId="42" borderId="85" xfId="0" applyFill="1" applyBorder="1" applyAlignment="1">
      <alignment horizontal="center" wrapText="1"/>
    </xf>
    <xf numFmtId="0" fontId="3" fillId="0" borderId="86" xfId="0" applyFont="1" applyBorder="1" applyAlignment="1">
      <alignment horizontal="center"/>
    </xf>
    <xf numFmtId="164" fontId="3" fillId="0" borderId="88" xfId="1" applyNumberFormat="1" applyFont="1" applyFill="1" applyBorder="1" applyAlignment="1"/>
    <xf numFmtId="0" fontId="3" fillId="0" borderId="89" xfId="0" applyFont="1" applyBorder="1" applyAlignment="1">
      <alignment horizontal="center"/>
    </xf>
    <xf numFmtId="0" fontId="3" fillId="0" borderId="90" xfId="0" applyFont="1" applyBorder="1" applyAlignment="1">
      <alignment horizontal="center"/>
    </xf>
    <xf numFmtId="0" fontId="0" fillId="0" borderId="50" xfId="0" applyBorder="1" applyAlignment="1">
      <alignment horizontal="center"/>
    </xf>
    <xf numFmtId="166" fontId="0" fillId="0" borderId="73" xfId="0" applyNumberFormat="1" applyBorder="1"/>
    <xf numFmtId="164" fontId="3" fillId="0" borderId="91" xfId="1" applyNumberFormat="1" applyFont="1" applyFill="1" applyBorder="1" applyAlignment="1"/>
    <xf numFmtId="0" fontId="0" fillId="0" borderId="23" xfId="0" applyBorder="1" applyAlignment="1">
      <alignment horizontal="center"/>
    </xf>
    <xf numFmtId="0" fontId="0" fillId="0" borderId="92" xfId="0" applyBorder="1" applyAlignment="1">
      <alignment horizontal="center"/>
    </xf>
    <xf numFmtId="168" fontId="0" fillId="39" borderId="2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8" fillId="43" borderId="34" xfId="0" applyFont="1" applyFill="1" applyBorder="1" applyAlignment="1">
      <alignment horizontal="center"/>
    </xf>
    <xf numFmtId="0" fontId="28" fillId="43" borderId="35" xfId="0" applyFont="1" applyFill="1" applyBorder="1" applyAlignment="1">
      <alignment horizontal="center"/>
    </xf>
    <xf numFmtId="0" fontId="42" fillId="0" borderId="0" xfId="0" applyFont="1" applyAlignment="1">
      <alignment vertical="center"/>
    </xf>
    <xf numFmtId="164" fontId="0" fillId="0" borderId="0" xfId="1" applyNumberFormat="1" applyFont="1"/>
    <xf numFmtId="168" fontId="0" fillId="0" borderId="0" xfId="0" applyNumberFormat="1" applyAlignment="1">
      <alignment horizontal="right"/>
    </xf>
    <xf numFmtId="0" fontId="4" fillId="2" borderId="34" xfId="0" applyFont="1" applyFill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20" fillId="5" borderId="2" xfId="0" applyFont="1" applyFill="1" applyBorder="1" applyAlignment="1">
      <alignment horizontal="center" wrapText="1"/>
    </xf>
    <xf numFmtId="0" fontId="20" fillId="5" borderId="4" xfId="0" applyFont="1" applyFill="1" applyBorder="1" applyAlignment="1">
      <alignment horizontal="center" wrapText="1"/>
    </xf>
    <xf numFmtId="0" fontId="20" fillId="5" borderId="23" xfId="0" applyFont="1" applyFill="1" applyBorder="1" applyAlignment="1">
      <alignment horizontal="center" wrapText="1"/>
    </xf>
    <xf numFmtId="0" fontId="4" fillId="2" borderId="53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2" borderId="35" xfId="0" applyFont="1" applyFill="1" applyBorder="1" applyAlignment="1">
      <alignment horizontal="center"/>
    </xf>
    <xf numFmtId="0" fontId="29" fillId="0" borderId="0" xfId="0" applyFont="1" applyAlignment="1">
      <alignment horizontal="left"/>
    </xf>
    <xf numFmtId="0" fontId="4" fillId="2" borderId="36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7" fillId="0" borderId="36" xfId="0" applyFont="1" applyBorder="1" applyAlignment="1">
      <alignment horizontal="center"/>
    </xf>
    <xf numFmtId="0" fontId="41" fillId="43" borderId="0" xfId="0" applyFont="1" applyFill="1" applyAlignment="1">
      <alignment horizontal="center"/>
    </xf>
    <xf numFmtId="164" fontId="3" fillId="43" borderId="68" xfId="1" applyNumberFormat="1" applyFont="1" applyFill="1" applyBorder="1" applyAlignment="1">
      <alignment horizontal="center"/>
    </xf>
    <xf numFmtId="164" fontId="3" fillId="43" borderId="77" xfId="1" applyNumberFormat="1" applyFont="1" applyFill="1" applyBorder="1" applyAlignment="1">
      <alignment horizontal="center"/>
    </xf>
    <xf numFmtId="164" fontId="3" fillId="43" borderId="42" xfId="1" applyNumberFormat="1" applyFont="1" applyFill="1" applyBorder="1" applyAlignment="1">
      <alignment horizontal="center"/>
    </xf>
    <xf numFmtId="164" fontId="3" fillId="43" borderId="44" xfId="1" applyNumberFormat="1" applyFont="1" applyFill="1" applyBorder="1" applyAlignment="1">
      <alignment horizontal="center"/>
    </xf>
    <xf numFmtId="166" fontId="3" fillId="0" borderId="35" xfId="0" applyNumberFormat="1" applyFont="1" applyBorder="1" applyAlignment="1">
      <alignment horizontal="center"/>
    </xf>
    <xf numFmtId="166" fontId="28" fillId="43" borderId="56" xfId="0" applyNumberFormat="1" applyFont="1" applyFill="1" applyBorder="1" applyAlignment="1">
      <alignment horizontal="center"/>
    </xf>
    <xf numFmtId="166" fontId="28" fillId="43" borderId="93" xfId="0" applyNumberFormat="1" applyFont="1" applyFill="1" applyBorder="1" applyAlignment="1">
      <alignment horizontal="center"/>
    </xf>
    <xf numFmtId="166" fontId="28" fillId="43" borderId="91" xfId="0" applyNumberFormat="1" applyFont="1" applyFill="1" applyBorder="1" applyAlignment="1">
      <alignment horizontal="center"/>
    </xf>
    <xf numFmtId="166" fontId="28" fillId="43" borderId="7" xfId="0" applyNumberFormat="1" applyFont="1" applyFill="1" applyBorder="1" applyAlignment="1">
      <alignment horizontal="center"/>
    </xf>
    <xf numFmtId="166" fontId="28" fillId="43" borderId="87" xfId="0" applyNumberFormat="1" applyFont="1" applyFill="1" applyBorder="1" applyAlignment="1">
      <alignment horizontal="center"/>
    </xf>
    <xf numFmtId="166" fontId="28" fillId="43" borderId="86" xfId="0" applyNumberFormat="1" applyFont="1" applyFill="1" applyBorder="1" applyAlignment="1">
      <alignment horizontal="center"/>
    </xf>
    <xf numFmtId="166" fontId="28" fillId="43" borderId="85" xfId="0" applyNumberFormat="1" applyFont="1" applyFill="1" applyBorder="1" applyAlignment="1">
      <alignment horizontal="center"/>
    </xf>
    <xf numFmtId="166" fontId="28" fillId="43" borderId="43" xfId="0" applyNumberFormat="1" applyFont="1" applyFill="1" applyBorder="1" applyAlignment="1">
      <alignment horizontal="center"/>
    </xf>
    <xf numFmtId="166" fontId="28" fillId="43" borderId="94" xfId="0" applyNumberFormat="1" applyFont="1" applyFill="1" applyBorder="1" applyAlignment="1">
      <alignment horizontal="center"/>
    </xf>
    <xf numFmtId="166" fontId="28" fillId="43" borderId="53" xfId="0" applyNumberFormat="1" applyFont="1" applyFill="1" applyBorder="1" applyAlignment="1">
      <alignment horizontal="center"/>
    </xf>
    <xf numFmtId="166" fontId="28" fillId="43" borderId="54" xfId="0" applyNumberFormat="1" applyFont="1" applyFill="1" applyBorder="1" applyAlignment="1">
      <alignment horizontal="center"/>
    </xf>
    <xf numFmtId="166" fontId="28" fillId="43" borderId="55" xfId="0" applyNumberFormat="1" applyFont="1" applyFill="1" applyBorder="1" applyAlignment="1">
      <alignment horizontal="center"/>
    </xf>
    <xf numFmtId="0" fontId="28" fillId="43" borderId="53" xfId="0" applyFont="1" applyFill="1" applyBorder="1" applyAlignment="1">
      <alignment horizontal="center"/>
    </xf>
    <xf numFmtId="0" fontId="28" fillId="43" borderId="54" xfId="0" applyFont="1" applyFill="1" applyBorder="1" applyAlignment="1">
      <alignment horizontal="center"/>
    </xf>
    <xf numFmtId="0" fontId="28" fillId="43" borderId="55" xfId="0" applyFont="1" applyFill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43" fontId="20" fillId="0" borderId="2" xfId="2" applyFont="1" applyFill="1" applyBorder="1" applyAlignment="1">
      <alignment horizontal="center" wrapText="1"/>
    </xf>
    <xf numFmtId="43" fontId="20" fillId="0" borderId="4" xfId="2" applyFont="1" applyFill="1" applyBorder="1" applyAlignment="1">
      <alignment horizontal="center" wrapText="1"/>
    </xf>
    <xf numFmtId="43" fontId="20" fillId="0" borderId="3" xfId="2" applyFont="1" applyFill="1" applyBorder="1" applyAlignment="1">
      <alignment horizontal="center" wrapText="1"/>
    </xf>
    <xf numFmtId="43" fontId="20" fillId="0" borderId="59" xfId="2" applyFont="1" applyFill="1" applyBorder="1" applyAlignment="1">
      <alignment horizontal="center" wrapText="1"/>
    </xf>
    <xf numFmtId="0" fontId="20" fillId="0" borderId="32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20" fillId="0" borderId="59" xfId="0" applyFont="1" applyBorder="1" applyAlignment="1">
      <alignment horizontal="center" wrapText="1"/>
    </xf>
    <xf numFmtId="0" fontId="20" fillId="0" borderId="33" xfId="0" applyFont="1" applyBorder="1" applyAlignment="1">
      <alignment horizontal="center" wrapText="1"/>
    </xf>
    <xf numFmtId="0" fontId="20" fillId="0" borderId="2" xfId="0" quotePrefix="1" applyFont="1" applyBorder="1" applyAlignment="1">
      <alignment horizontal="center" wrapText="1"/>
    </xf>
    <xf numFmtId="0" fontId="20" fillId="0" borderId="4" xfId="0" quotePrefix="1" applyFont="1" applyBorder="1" applyAlignment="1">
      <alignment horizontal="center" wrapText="1"/>
    </xf>
    <xf numFmtId="0" fontId="20" fillId="5" borderId="2" xfId="0" applyFont="1" applyFill="1" applyBorder="1" applyAlignment="1">
      <alignment horizontal="center" wrapText="1"/>
    </xf>
    <xf numFmtId="0" fontId="20" fillId="5" borderId="4" xfId="0" applyFont="1" applyFill="1" applyBorder="1" applyAlignment="1">
      <alignment horizontal="center" wrapText="1"/>
    </xf>
    <xf numFmtId="0" fontId="5" fillId="5" borderId="21" xfId="0" applyFont="1" applyFill="1" applyBorder="1" applyAlignment="1">
      <alignment horizontal="right"/>
    </xf>
    <xf numFmtId="0" fontId="5" fillId="5" borderId="22" xfId="0" applyFont="1" applyFill="1" applyBorder="1" applyAlignment="1">
      <alignment horizontal="right"/>
    </xf>
    <xf numFmtId="0" fontId="20" fillId="5" borderId="23" xfId="0" applyFont="1" applyFill="1" applyBorder="1" applyAlignment="1">
      <alignment horizontal="center" wrapText="1"/>
    </xf>
    <xf numFmtId="0" fontId="25" fillId="6" borderId="27" xfId="0" applyFont="1" applyFill="1" applyBorder="1" applyAlignment="1">
      <alignment horizontal="center"/>
    </xf>
    <xf numFmtId="0" fontId="25" fillId="6" borderId="28" xfId="0" applyFont="1" applyFill="1" applyBorder="1" applyAlignment="1">
      <alignment horizontal="center"/>
    </xf>
    <xf numFmtId="0" fontId="25" fillId="6" borderId="29" xfId="0" applyFont="1" applyFill="1" applyBorder="1" applyAlignment="1">
      <alignment horizontal="center"/>
    </xf>
    <xf numFmtId="0" fontId="20" fillId="5" borderId="26" xfId="0" applyFont="1" applyFill="1" applyBorder="1" applyAlignment="1">
      <alignment horizontal="center" wrapText="1"/>
    </xf>
    <xf numFmtId="0" fontId="20" fillId="5" borderId="8" xfId="0" applyFont="1" applyFill="1" applyBorder="1" applyAlignment="1">
      <alignment horizontal="center" wrapText="1"/>
    </xf>
    <xf numFmtId="0" fontId="20" fillId="5" borderId="3" xfId="0" applyFont="1" applyFill="1" applyBorder="1" applyAlignment="1">
      <alignment horizontal="center" wrapText="1"/>
    </xf>
    <xf numFmtId="43" fontId="20" fillId="5" borderId="2" xfId="2" applyFont="1" applyFill="1" applyBorder="1" applyAlignment="1">
      <alignment horizontal="center" wrapText="1"/>
    </xf>
    <xf numFmtId="43" fontId="20" fillId="5" borderId="4" xfId="2" applyFont="1" applyFill="1" applyBorder="1" applyAlignment="1">
      <alignment horizontal="center" wrapText="1"/>
    </xf>
    <xf numFmtId="0" fontId="5" fillId="0" borderId="21" xfId="0" applyFont="1" applyBorder="1" applyAlignment="1">
      <alignment horizontal="right"/>
    </xf>
    <xf numFmtId="0" fontId="25" fillId="6" borderId="30" xfId="0" applyFont="1" applyFill="1" applyBorder="1" applyAlignment="1">
      <alignment horizontal="center"/>
    </xf>
    <xf numFmtId="0" fontId="25" fillId="6" borderId="31" xfId="0" applyFont="1" applyFill="1" applyBorder="1" applyAlignment="1">
      <alignment horizontal="center"/>
    </xf>
    <xf numFmtId="0" fontId="20" fillId="0" borderId="24" xfId="0" applyFont="1" applyBorder="1" applyAlignment="1">
      <alignment horizontal="center" wrapText="1"/>
    </xf>
    <xf numFmtId="0" fontId="4" fillId="2" borderId="53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164" fontId="3" fillId="46" borderId="0" xfId="1" applyNumberFormat="1" applyFont="1" applyFill="1" applyBorder="1" applyAlignment="1">
      <alignment horizontal="center"/>
    </xf>
    <xf numFmtId="0" fontId="32" fillId="43" borderId="37" xfId="0" applyFont="1" applyFill="1" applyBorder="1" applyAlignment="1">
      <alignment horizontal="left"/>
    </xf>
    <xf numFmtId="0" fontId="32" fillId="43" borderId="0" xfId="0" applyFont="1" applyFill="1" applyAlignment="1">
      <alignment horizontal="left"/>
    </xf>
    <xf numFmtId="164" fontId="4" fillId="2" borderId="34" xfId="1" applyNumberFormat="1" applyFont="1" applyFill="1" applyBorder="1" applyAlignment="1">
      <alignment horizontal="center"/>
    </xf>
    <xf numFmtId="164" fontId="4" fillId="2" borderId="35" xfId="1" applyNumberFormat="1" applyFont="1" applyFill="1" applyBorder="1" applyAlignment="1">
      <alignment horizontal="center"/>
    </xf>
    <xf numFmtId="164" fontId="4" fillId="2" borderId="36" xfId="1" applyNumberFormat="1" applyFont="1" applyFill="1" applyBorder="1" applyAlignment="1">
      <alignment horizontal="center"/>
    </xf>
    <xf numFmtId="0" fontId="28" fillId="0" borderId="57" xfId="0" applyFont="1" applyBorder="1" applyAlignment="1">
      <alignment horizontal="left"/>
    </xf>
    <xf numFmtId="0" fontId="28" fillId="0" borderId="6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0" xfId="0" applyFont="1" applyAlignment="1">
      <alignment horizontal="left"/>
    </xf>
    <xf numFmtId="164" fontId="4" fillId="2" borderId="53" xfId="1" applyNumberFormat="1" applyFont="1" applyFill="1" applyBorder="1" applyAlignment="1">
      <alignment horizontal="center"/>
    </xf>
    <xf numFmtId="164" fontId="4" fillId="2" borderId="54" xfId="1" applyNumberFormat="1" applyFont="1" applyFill="1" applyBorder="1" applyAlignment="1">
      <alignment horizontal="center"/>
    </xf>
    <xf numFmtId="164" fontId="4" fillId="2" borderId="55" xfId="1" applyNumberFormat="1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29" fillId="0" borderId="19" xfId="0" applyFont="1" applyBorder="1" applyAlignment="1">
      <alignment horizontal="left"/>
    </xf>
    <xf numFmtId="0" fontId="29" fillId="0" borderId="67" xfId="0" applyFont="1" applyBorder="1" applyAlignment="1">
      <alignment horizontal="left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4" fillId="2" borderId="36" xfId="0" applyFont="1" applyFill="1" applyBorder="1" applyAlignment="1">
      <alignment horizontal="center"/>
    </xf>
    <xf numFmtId="0" fontId="28" fillId="2" borderId="34" xfId="0" applyFont="1" applyFill="1" applyBorder="1" applyAlignment="1">
      <alignment horizontal="center"/>
    </xf>
    <xf numFmtId="0" fontId="28" fillId="2" borderId="36" xfId="0" applyFont="1" applyFill="1" applyBorder="1" applyAlignment="1">
      <alignment horizontal="center"/>
    </xf>
    <xf numFmtId="0" fontId="28" fillId="2" borderId="35" xfId="0" applyFont="1" applyFill="1" applyBorder="1" applyAlignment="1">
      <alignment horizontal="center"/>
    </xf>
  </cellXfs>
  <cellStyles count="44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38" xr:uid="{8FFB4549-E67C-4EE8-A36D-7F00EE0466F6}"/>
    <cellStyle name="60% - Accent2 2" xfId="39" xr:uid="{BEBBEE7F-D79F-485F-AC25-DF415BB6DFF7}"/>
    <cellStyle name="60% - Accent3 2" xfId="40" xr:uid="{2731F486-992B-4985-AFB7-6DB70B013297}"/>
    <cellStyle name="60% - Accent4 2" xfId="41" xr:uid="{9FA70230-F6AC-41F5-BB1C-57E4E6EAA466}"/>
    <cellStyle name="60% - Accent5 2" xfId="42" xr:uid="{6F679813-9606-4C65-90F0-1FDCEBE64BB9}"/>
    <cellStyle name="60% - Accent6 2" xfId="43" xr:uid="{47C543D4-B2E3-4BB5-9C15-6CE7BBC04C87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9" builtinId="27" customBuiltin="1"/>
    <cellStyle name="Calculation" xfId="12" builtinId="22" customBuiltin="1"/>
    <cellStyle name="Check Cell" xfId="14" builtinId="23" customBuiltin="1"/>
    <cellStyle name="Comma" xfId="2" builtinId="3"/>
    <cellStyle name="Currency" xfId="1" builtinId="4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0" builtinId="20" customBuiltin="1"/>
    <cellStyle name="Linked Cell" xfId="13" builtinId="24" customBuiltin="1"/>
    <cellStyle name="Neutral 2" xfId="37" xr:uid="{9170F2E4-C9AE-4D30-BCCF-FB6FB9031FCD}"/>
    <cellStyle name="Normal" xfId="0" builtinId="0"/>
    <cellStyle name="Note" xfId="16" builtinId="10" customBuiltin="1"/>
    <cellStyle name="Output" xfId="11" builtinId="21" customBuiltin="1"/>
    <cellStyle name="Title" xfId="3" builtinId="15" customBuiltin="1"/>
    <cellStyle name="Total" xfId="18" builtinId="25" customBuiltin="1"/>
    <cellStyle name="Warning Text" xfId="15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numFmt numFmtId="168" formatCode="0.0"/>
      <alignment horizontal="right" vertical="bottom" textRotation="0" wrapText="0" indent="0" justifyLastLine="0" shrinkToFit="0" readingOrder="0"/>
    </dxf>
    <dxf>
      <numFmt numFmtId="168" formatCode="0.0"/>
      <alignment horizontal="right" vertical="bottom" textRotation="0" wrapText="0" indent="0" justifyLastLine="0" shrinkToFit="0" readingOrder="0"/>
    </dxf>
    <dxf>
      <numFmt numFmtId="168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238125</xdr:colOff>
      <xdr:row>0</xdr:row>
      <xdr:rowOff>123825</xdr:rowOff>
    </xdr:from>
    <xdr:to>
      <xdr:col>21</xdr:col>
      <xdr:colOff>171450</xdr:colOff>
      <xdr:row>2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C6F342-F440-4E99-BE4B-1E9BA7CEF042}"/>
            </a:ext>
          </a:extLst>
        </xdr:cNvPr>
        <xdr:cNvSpPr txBox="1"/>
      </xdr:nvSpPr>
      <xdr:spPr>
        <a:xfrm>
          <a:off x="16716375" y="123825"/>
          <a:ext cx="2371725" cy="5238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Data Populates Calcutta Flights</a:t>
          </a:r>
        </a:p>
      </xdr:txBody>
    </xdr:sp>
    <xdr:clientData/>
  </xdr:twoCellAnchor>
  <xdr:twoCellAnchor>
    <xdr:from>
      <xdr:col>17</xdr:col>
      <xdr:colOff>304800</xdr:colOff>
      <xdr:row>7</xdr:row>
      <xdr:rowOff>104775</xdr:rowOff>
    </xdr:from>
    <xdr:to>
      <xdr:col>21</xdr:col>
      <xdr:colOff>238125</xdr:colOff>
      <xdr:row>9</xdr:row>
      <xdr:rowOff>47625</xdr:rowOff>
    </xdr:to>
    <xdr:sp macro="" textlink="">
      <xdr:nvSpPr>
        <xdr:cNvPr id="9" name="TextBox 2">
          <a:extLst>
            <a:ext uri="{FF2B5EF4-FFF2-40B4-BE49-F238E27FC236}">
              <a16:creationId xmlns:a16="http://schemas.microsoft.com/office/drawing/2014/main" id="{7E38A64D-DF14-415F-A888-87829DFA3389}"/>
            </a:ext>
            <a:ext uri="{147F2762-F138-4A5C-976F-8EAC2B608ADB}">
              <a16:predDERef xmlns:a16="http://schemas.microsoft.com/office/drawing/2014/main" pred="{46C6F342-F440-4E99-BE4B-1E9BA7CEF042}"/>
            </a:ext>
          </a:extLst>
        </xdr:cNvPr>
        <xdr:cNvSpPr txBox="1"/>
      </xdr:nvSpPr>
      <xdr:spPr>
        <a:xfrm>
          <a:off x="16783050" y="1638300"/>
          <a:ext cx="2371725" cy="3238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Owner poplated from calcutta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1457325</xdr:colOff>
      <xdr:row>11</xdr:row>
      <xdr:rowOff>19050</xdr:rowOff>
    </xdr:from>
    <xdr:to>
      <xdr:col>2</xdr:col>
      <xdr:colOff>657225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A3C6B5-8811-4183-9938-0220E6D9F716}"/>
            </a:ext>
            <a:ext uri="{147F2762-F138-4A5C-976F-8EAC2B608ADB}">
              <a16:predDERef xmlns:a16="http://schemas.microsoft.com/office/drawing/2014/main" pred="{8C004BCE-DF49-4010-91FB-9C9F0E47DDFA}"/>
            </a:ext>
          </a:extLst>
        </xdr:cNvPr>
        <xdr:cNvSpPr txBox="1"/>
      </xdr:nvSpPr>
      <xdr:spPr>
        <a:xfrm>
          <a:off x="1457325" y="2657475"/>
          <a:ext cx="2276475" cy="2952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Flight Totals from Calcutta tab</a:t>
          </a:r>
        </a:p>
      </xdr:txBody>
    </xdr:sp>
    <xdr:clientData/>
  </xdr:twoCellAnchor>
  <xdr:twoCellAnchor>
    <xdr:from>
      <xdr:col>2</xdr:col>
      <xdr:colOff>657225</xdr:colOff>
      <xdr:row>11</xdr:row>
      <xdr:rowOff>166688</xdr:rowOff>
    </xdr:from>
    <xdr:to>
      <xdr:col>3</xdr:col>
      <xdr:colOff>314325</xdr:colOff>
      <xdr:row>14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9C68085-B4C2-4513-92E4-5B9B5184463E}"/>
            </a:ext>
            <a:ext uri="{147F2762-F138-4A5C-976F-8EAC2B608ADB}">
              <a16:predDERef xmlns:a16="http://schemas.microsoft.com/office/drawing/2014/main" pred="{55A3C6B5-8811-4183-9938-0220E6D9F716}"/>
            </a:ext>
          </a:extLst>
        </xdr:cNvPr>
        <xdr:cNvCxnSpPr>
          <a:cxnSpLocks/>
          <a:stCxn id="2" idx="3"/>
          <a:extLst>
            <a:ext uri="{5F17804C-33F3-41E3-A699-7DCFA2EF7971}">
              <a16:cxnDERefs xmlns:a16="http://schemas.microsoft.com/office/drawing/2014/main" st="{55A3C6B5-8811-4183-9938-0220E6D9F716}" end="{00000000-0000-0000-0000-000000000000}"/>
            </a:ext>
          </a:extLst>
        </xdr:cNvCxnSpPr>
      </xdr:nvCxnSpPr>
      <xdr:spPr>
        <a:xfrm>
          <a:off x="3733800" y="2805113"/>
          <a:ext cx="571500" cy="461962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8</xdr:row>
      <xdr:rowOff>152400</xdr:rowOff>
    </xdr:from>
    <xdr:to>
      <xdr:col>6</xdr:col>
      <xdr:colOff>581025</xdr:colOff>
      <xdr:row>9</xdr:row>
      <xdr:rowOff>209550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24019D43-9BD2-4FB5-94AD-347A327FFDC4}"/>
            </a:ext>
            <a:ext uri="{147F2762-F138-4A5C-976F-8EAC2B608ADB}">
              <a16:predDERef xmlns:a16="http://schemas.microsoft.com/office/drawing/2014/main" pred="{D9C68085-B4C2-4513-92E4-5B9B5184463E}"/>
            </a:ext>
          </a:extLst>
        </xdr:cNvPr>
        <xdr:cNvSpPr txBox="1"/>
      </xdr:nvSpPr>
      <xdr:spPr>
        <a:xfrm>
          <a:off x="4705350" y="2038350"/>
          <a:ext cx="1571625" cy="2952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Change % amounts here</a:t>
          </a:r>
        </a:p>
      </xdr:txBody>
    </xdr:sp>
    <xdr:clientData/>
  </xdr:twoCellAnchor>
  <xdr:twoCellAnchor>
    <xdr:from>
      <xdr:col>0</xdr:col>
      <xdr:colOff>95250</xdr:colOff>
      <xdr:row>28</xdr:row>
      <xdr:rowOff>19051</xdr:rowOff>
    </xdr:from>
    <xdr:to>
      <xdr:col>0</xdr:col>
      <xdr:colOff>1419226</xdr:colOff>
      <xdr:row>32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87A0C2-0AED-4E8A-8283-58926073FEF2}"/>
            </a:ext>
            <a:ext uri="{147F2762-F138-4A5C-976F-8EAC2B608ADB}">
              <a16:predDERef xmlns:a16="http://schemas.microsoft.com/office/drawing/2014/main" pred="{8C004BCE-DF49-4010-91FB-9C9F0E47DDFA}"/>
            </a:ext>
          </a:extLst>
        </xdr:cNvPr>
        <xdr:cNvSpPr txBox="1"/>
      </xdr:nvSpPr>
      <xdr:spPr>
        <a:xfrm>
          <a:off x="95250" y="6181726"/>
          <a:ext cx="1323976" cy="92392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-Individual Payouts</a:t>
          </a:r>
          <a:r>
            <a:rPr lang="en-US" sz="1100" b="1" baseline="0">
              <a:latin typeface="+mn-lt"/>
              <a:ea typeface="+mn-lt"/>
              <a:cs typeface="+mn-lt"/>
            </a:rPr>
            <a:t> Rounded Down to nearest $5</a:t>
          </a:r>
        </a:p>
        <a:p>
          <a:pPr marL="0" indent="0" algn="l"/>
          <a:r>
            <a:rPr lang="en-US" sz="1100" baseline="0">
              <a:latin typeface="+mn-lt"/>
              <a:ea typeface="+mn-lt"/>
              <a:cs typeface="+mn-lt"/>
            </a:rPr>
            <a:t>-Leftover accumulated</a:t>
          </a:r>
        </a:p>
        <a:p>
          <a:pPr marL="0" indent="0" algn="l"/>
          <a:endParaRPr lang="en-US" sz="1100" baseline="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1419226</xdr:colOff>
      <xdr:row>25</xdr:row>
      <xdr:rowOff>76200</xdr:rowOff>
    </xdr:from>
    <xdr:to>
      <xdr:col>0</xdr:col>
      <xdr:colOff>1847850</xdr:colOff>
      <xdr:row>30</xdr:row>
      <xdr:rowOff>90488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955A5AC-4562-4695-A75B-B5DF19AEDC09}"/>
            </a:ext>
            <a:ext uri="{147F2762-F138-4A5C-976F-8EAC2B608ADB}">
              <a16:predDERef xmlns:a16="http://schemas.microsoft.com/office/drawing/2014/main" pred="{55A3C6B5-8811-4183-9938-0220E6D9F716}"/>
            </a:ext>
          </a:extLst>
        </xdr:cNvPr>
        <xdr:cNvCxnSpPr>
          <a:cxnSpLocks/>
          <a:stCxn id="5" idx="3"/>
          <a:extLst>
            <a:ext uri="{5F17804C-33F3-41E3-A699-7DCFA2EF7971}">
              <a16:cxnDERefs xmlns:a16="http://schemas.microsoft.com/office/drawing/2014/main" st="{55A3C6B5-8811-4183-9938-0220E6D9F716}" end="{00000000-0000-0000-0000-000000000000}"/>
            </a:ext>
          </a:extLst>
        </xdr:cNvCxnSpPr>
      </xdr:nvCxnSpPr>
      <xdr:spPr>
        <a:xfrm flipV="1">
          <a:off x="1419226" y="5657850"/>
          <a:ext cx="428624" cy="985838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1419226</xdr:colOff>
      <xdr:row>30</xdr:row>
      <xdr:rowOff>90488</xdr:rowOff>
    </xdr:from>
    <xdr:to>
      <xdr:col>0</xdr:col>
      <xdr:colOff>1828800</xdr:colOff>
      <xdr:row>34</xdr:row>
      <xdr:rowOff>57150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9495B2E-2BD1-4DB3-BD34-4AF8D12AEB00}"/>
            </a:ext>
            <a:ext uri="{147F2762-F138-4A5C-976F-8EAC2B608ADB}">
              <a16:predDERef xmlns:a16="http://schemas.microsoft.com/office/drawing/2014/main" pred="{55A3C6B5-8811-4183-9938-0220E6D9F716}"/>
            </a:ext>
          </a:extLst>
        </xdr:cNvPr>
        <xdr:cNvCxnSpPr>
          <a:cxnSpLocks/>
          <a:stCxn id="5" idx="3"/>
          <a:extLst>
            <a:ext uri="{5F17804C-33F3-41E3-A699-7DCFA2EF7971}">
              <a16:cxnDERefs xmlns:a16="http://schemas.microsoft.com/office/drawing/2014/main" st="{55A3C6B5-8811-4183-9938-0220E6D9F716}" end="{00000000-0000-0000-0000-000000000000}"/>
            </a:ext>
          </a:extLst>
        </xdr:cNvCxnSpPr>
      </xdr:nvCxnSpPr>
      <xdr:spPr>
        <a:xfrm>
          <a:off x="1419226" y="6643688"/>
          <a:ext cx="409574" cy="852487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1419226</xdr:colOff>
      <xdr:row>30</xdr:row>
      <xdr:rowOff>90488</xdr:rowOff>
    </xdr:from>
    <xdr:to>
      <xdr:col>0</xdr:col>
      <xdr:colOff>1847850</xdr:colOff>
      <xdr:row>43</xdr:row>
      <xdr:rowOff>38100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C18E627-8B71-41C4-BE30-43D90E51F696}"/>
            </a:ext>
            <a:ext uri="{147F2762-F138-4A5C-976F-8EAC2B608ADB}">
              <a16:predDERef xmlns:a16="http://schemas.microsoft.com/office/drawing/2014/main" pred="{55A3C6B5-8811-4183-9938-0220E6D9F716}"/>
            </a:ext>
          </a:extLst>
        </xdr:cNvPr>
        <xdr:cNvCxnSpPr>
          <a:cxnSpLocks/>
          <a:stCxn id="5" idx="3"/>
          <a:extLst>
            <a:ext uri="{5F17804C-33F3-41E3-A699-7DCFA2EF7971}">
              <a16:cxnDERefs xmlns:a16="http://schemas.microsoft.com/office/drawing/2014/main" st="{55A3C6B5-8811-4183-9938-0220E6D9F716}" end="{00000000-0000-0000-0000-000000000000}"/>
            </a:ext>
          </a:extLst>
        </xdr:cNvCxnSpPr>
      </xdr:nvCxnSpPr>
      <xdr:spPr>
        <a:xfrm>
          <a:off x="1419226" y="6643688"/>
          <a:ext cx="428624" cy="2557462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171449</xdr:colOff>
      <xdr:row>8</xdr:row>
      <xdr:rowOff>66676</xdr:rowOff>
    </xdr:from>
    <xdr:to>
      <xdr:col>13</xdr:col>
      <xdr:colOff>552450</xdr:colOff>
      <xdr:row>11</xdr:row>
      <xdr:rowOff>19050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F6592E3-AA9A-4DA5-A1F7-F8E8FE012524}"/>
            </a:ext>
            <a:ext uri="{147F2762-F138-4A5C-976F-8EAC2B608ADB}">
              <a16:predDERef xmlns:a16="http://schemas.microsoft.com/office/drawing/2014/main" pred="{8C004BCE-DF49-4010-91FB-9C9F0E47DDFA}"/>
            </a:ext>
          </a:extLst>
        </xdr:cNvPr>
        <xdr:cNvSpPr txBox="1"/>
      </xdr:nvSpPr>
      <xdr:spPr>
        <a:xfrm>
          <a:off x="12087224" y="1981201"/>
          <a:ext cx="1971676" cy="67627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-Individual Payouts</a:t>
          </a:r>
          <a:r>
            <a:rPr lang="en-US" sz="1100" b="1" baseline="0">
              <a:latin typeface="+mn-lt"/>
              <a:ea typeface="+mn-lt"/>
              <a:cs typeface="+mn-lt"/>
            </a:rPr>
            <a:t> Rounded Down to nearest $5</a:t>
          </a:r>
          <a:br>
            <a:rPr lang="en-US" sz="1100" baseline="0">
              <a:latin typeface="+mn-lt"/>
              <a:ea typeface="+mn-lt"/>
              <a:cs typeface="+mn-lt"/>
            </a:rPr>
          </a:br>
          <a:r>
            <a:rPr lang="en-US" sz="1100" baseline="0">
              <a:latin typeface="+mn-lt"/>
              <a:ea typeface="+mn-lt"/>
              <a:cs typeface="+mn-lt"/>
            </a:rPr>
            <a:t>-Leftover accumulated</a:t>
          </a:r>
        </a:p>
        <a:p>
          <a:pPr marL="0" indent="0" algn="l"/>
          <a:endParaRPr lang="en-US" sz="1100" baseline="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11</xdr:col>
      <xdr:colOff>1157287</xdr:colOff>
      <xdr:row>4</xdr:row>
      <xdr:rowOff>19050</xdr:rowOff>
    </xdr:from>
    <xdr:to>
      <xdr:col>12</xdr:col>
      <xdr:colOff>352425</xdr:colOff>
      <xdr:row>8</xdr:row>
      <xdr:rowOff>66676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1EBB31D-6F69-48E9-B9E3-0F485D38172B}"/>
            </a:ext>
            <a:ext uri="{147F2762-F138-4A5C-976F-8EAC2B608ADB}">
              <a16:predDERef xmlns:a16="http://schemas.microsoft.com/office/drawing/2014/main" pred="{55A3C6B5-8811-4183-9938-0220E6D9F716}"/>
            </a:ext>
          </a:extLst>
        </xdr:cNvPr>
        <xdr:cNvCxnSpPr>
          <a:cxnSpLocks/>
          <a:stCxn id="27" idx="0"/>
          <a:extLst>
            <a:ext uri="{5F17804C-33F3-41E3-A699-7DCFA2EF7971}">
              <a16:cxnDERefs xmlns:a16="http://schemas.microsoft.com/office/drawing/2014/main" st="{55A3C6B5-8811-4183-9938-0220E6D9F716}" end="{00000000-0000-0000-0000-000000000000}"/>
            </a:ext>
          </a:extLst>
        </xdr:cNvCxnSpPr>
      </xdr:nvCxnSpPr>
      <xdr:spPr>
        <a:xfrm flipV="1">
          <a:off x="13073062" y="962025"/>
          <a:ext cx="423863" cy="1019176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1157287</xdr:colOff>
      <xdr:row>7</xdr:row>
      <xdr:rowOff>114300</xdr:rowOff>
    </xdr:from>
    <xdr:to>
      <xdr:col>13</xdr:col>
      <xdr:colOff>0</xdr:colOff>
      <xdr:row>8</xdr:row>
      <xdr:rowOff>66676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F8168C93-BC5C-4769-B862-9F3CD8AF6596}"/>
            </a:ext>
            <a:ext uri="{147F2762-F138-4A5C-976F-8EAC2B608ADB}">
              <a16:predDERef xmlns:a16="http://schemas.microsoft.com/office/drawing/2014/main" pred="{55A3C6B5-8811-4183-9938-0220E6D9F716}"/>
            </a:ext>
          </a:extLst>
        </xdr:cNvPr>
        <xdr:cNvCxnSpPr>
          <a:cxnSpLocks/>
          <a:stCxn id="27" idx="0"/>
          <a:extLst>
            <a:ext uri="{5F17804C-33F3-41E3-A699-7DCFA2EF7971}">
              <a16:cxnDERefs xmlns:a16="http://schemas.microsoft.com/office/drawing/2014/main" st="{55A3C6B5-8811-4183-9938-0220E6D9F716}" end="{00000000-0000-0000-0000-000000000000}"/>
            </a:ext>
          </a:extLst>
        </xdr:cNvCxnSpPr>
      </xdr:nvCxnSpPr>
      <xdr:spPr>
        <a:xfrm flipV="1">
          <a:off x="13073062" y="1781175"/>
          <a:ext cx="433388" cy="200026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228600</xdr:colOff>
      <xdr:row>4</xdr:row>
      <xdr:rowOff>228600</xdr:rowOff>
    </xdr:from>
    <xdr:to>
      <xdr:col>19</xdr:col>
      <xdr:colOff>85725</xdr:colOff>
      <xdr:row>6</xdr:row>
      <xdr:rowOff>228600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89589F-C5E2-4C0B-86C7-35BDB7F62E64}"/>
            </a:ext>
            <a:ext uri="{147F2762-F138-4A5C-976F-8EAC2B608ADB}">
              <a16:predDERef xmlns:a16="http://schemas.microsoft.com/office/drawing/2014/main" pred="{8C004BCE-DF49-4010-91FB-9C9F0E47DDFA}"/>
            </a:ext>
          </a:extLst>
        </xdr:cNvPr>
        <xdr:cNvSpPr txBox="1"/>
      </xdr:nvSpPr>
      <xdr:spPr>
        <a:xfrm>
          <a:off x="17935575" y="1171575"/>
          <a:ext cx="2276475" cy="4762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This sum displayed in calcutta tab as "Shootout Bonus Pool" total</a:t>
          </a:r>
        </a:p>
      </xdr:txBody>
    </xdr:sp>
    <xdr:clientData/>
  </xdr:twoCellAnchor>
  <xdr:twoCellAnchor>
    <xdr:from>
      <xdr:col>16</xdr:col>
      <xdr:colOff>9525</xdr:colOff>
      <xdr:row>5</xdr:row>
      <xdr:rowOff>228600</xdr:rowOff>
    </xdr:from>
    <xdr:to>
      <xdr:col>17</xdr:col>
      <xdr:colOff>228600</xdr:colOff>
      <xdr:row>6</xdr:row>
      <xdr:rowOff>123825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9EEDFDE-A7E9-41A6-87C8-0FAF6685FEB8}"/>
            </a:ext>
            <a:ext uri="{147F2762-F138-4A5C-976F-8EAC2B608ADB}">
              <a16:predDERef xmlns:a16="http://schemas.microsoft.com/office/drawing/2014/main" pred="{55A3C6B5-8811-4183-9938-0220E6D9F716}"/>
            </a:ext>
          </a:extLst>
        </xdr:cNvPr>
        <xdr:cNvCxnSpPr>
          <a:cxnSpLocks/>
          <a:stCxn id="12" idx="1"/>
          <a:extLst>
            <a:ext uri="{5F17804C-33F3-41E3-A699-7DCFA2EF7971}">
              <a16:cxnDERefs xmlns:a16="http://schemas.microsoft.com/office/drawing/2014/main" st="{55A3C6B5-8811-4183-9938-0220E6D9F716}" end="{00000000-0000-0000-0000-000000000000}"/>
            </a:ext>
          </a:extLst>
        </xdr:cNvCxnSpPr>
      </xdr:nvCxnSpPr>
      <xdr:spPr>
        <a:xfrm flipH="1">
          <a:off x="17106900" y="1409700"/>
          <a:ext cx="828675" cy="13335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0</xdr:row>
      <xdr:rowOff>123825</xdr:rowOff>
    </xdr:from>
    <xdr:to>
      <xdr:col>10</xdr:col>
      <xdr:colOff>219075</xdr:colOff>
      <xdr:row>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BC58E6-C603-40EA-97FF-38F1EBE8557C}"/>
            </a:ext>
            <a:ext uri="{147F2762-F138-4A5C-976F-8EAC2B608ADB}">
              <a16:predDERef xmlns:a16="http://schemas.microsoft.com/office/drawing/2014/main" pred="{D9C68085-B4C2-4513-92E4-5B9B5184463E}"/>
            </a:ext>
          </a:extLst>
        </xdr:cNvPr>
        <xdr:cNvSpPr txBox="1"/>
      </xdr:nvSpPr>
      <xdr:spPr>
        <a:xfrm>
          <a:off x="6019800" y="123825"/>
          <a:ext cx="1571625" cy="419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Step 1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Drop Raw list to remove  "("</a:t>
          </a:r>
        </a:p>
      </xdr:txBody>
    </xdr:sp>
    <xdr:clientData/>
  </xdr:twoCellAnchor>
  <xdr:twoCellAnchor editAs="oneCell">
    <xdr:from>
      <xdr:col>15</xdr:col>
      <xdr:colOff>581025</xdr:colOff>
      <xdr:row>0</xdr:row>
      <xdr:rowOff>28575</xdr:rowOff>
    </xdr:from>
    <xdr:to>
      <xdr:col>17</xdr:col>
      <xdr:colOff>19050</xdr:colOff>
      <xdr:row>10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7B561A-85F3-15C8-B1A8-593B1D9DCF4C}"/>
            </a:ext>
            <a:ext uri="{147F2762-F138-4A5C-976F-8EAC2B608ADB}">
              <a16:predDERef xmlns:a16="http://schemas.microsoft.com/office/drawing/2014/main" pred="{6FBC58E6-C603-40EA-97FF-38F1EBE85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1375" y="28575"/>
          <a:ext cx="657225" cy="933450"/>
        </a:xfrm>
        <a:prstGeom prst="rect">
          <a:avLst/>
        </a:prstGeom>
      </xdr:spPr>
    </xdr:pic>
    <xdr:clientData/>
  </xdr:twoCellAnchor>
  <xdr:twoCellAnchor>
    <xdr:from>
      <xdr:col>13</xdr:col>
      <xdr:colOff>66675</xdr:colOff>
      <xdr:row>0</xdr:row>
      <xdr:rowOff>171450</xdr:rowOff>
    </xdr:from>
    <xdr:to>
      <xdr:col>15</xdr:col>
      <xdr:colOff>419100</xdr:colOff>
      <xdr:row>2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9BE7E7-D86A-46A0-BEE5-9B2AEE0F4198}"/>
            </a:ext>
            <a:ext uri="{147F2762-F138-4A5C-976F-8EAC2B608ADB}">
              <a16:predDERef xmlns:a16="http://schemas.microsoft.com/office/drawing/2014/main" pred="{3B7B561A-85F3-15C8-B1A8-593B1D9DCF4C}"/>
            </a:ext>
          </a:extLst>
        </xdr:cNvPr>
        <xdr:cNvSpPr txBox="1"/>
      </xdr:nvSpPr>
      <xdr:spPr>
        <a:xfrm>
          <a:off x="9267825" y="171450"/>
          <a:ext cx="1571625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Data -&gt; Text to Columns</a:t>
          </a:r>
        </a:p>
      </xdr:txBody>
    </xdr:sp>
    <xdr:clientData/>
  </xdr:twoCellAnchor>
  <xdr:twoCellAnchor editAs="oneCell">
    <xdr:from>
      <xdr:col>11</xdr:col>
      <xdr:colOff>466725</xdr:colOff>
      <xdr:row>5</xdr:row>
      <xdr:rowOff>28575</xdr:rowOff>
    </xdr:from>
    <xdr:to>
      <xdr:col>17</xdr:col>
      <xdr:colOff>257175</xdr:colOff>
      <xdr:row>34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A498B9-808B-8475-7029-99AABE871FAB}"/>
            </a:ext>
            <a:ext uri="{147F2762-F138-4A5C-976F-8EAC2B608ADB}">
              <a16:predDERef xmlns:a16="http://schemas.microsoft.com/office/drawing/2014/main" pred="{689BE7E7-D86A-46A0-BEE5-9B2AEE0F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8675" y="981075"/>
          <a:ext cx="3448050" cy="2781300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276225</xdr:colOff>
      <xdr:row>5</xdr:row>
      <xdr:rowOff>19050</xdr:rowOff>
    </xdr:from>
    <xdr:to>
      <xdr:col>23</xdr:col>
      <xdr:colOff>28575</xdr:colOff>
      <xdr:row>34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774AF0-83CE-943D-7EE7-B677008230C5}"/>
            </a:ext>
            <a:ext uri="{147F2762-F138-4A5C-976F-8EAC2B608ADB}">
              <a16:predDERef xmlns:a16="http://schemas.microsoft.com/office/drawing/2014/main" pred="{B7A498B9-808B-8475-7029-99AABE87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15775" y="971550"/>
          <a:ext cx="3409950" cy="2781300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57150</xdr:colOff>
      <xdr:row>5</xdr:row>
      <xdr:rowOff>19050</xdr:rowOff>
    </xdr:from>
    <xdr:to>
      <xdr:col>28</xdr:col>
      <xdr:colOff>428625</xdr:colOff>
      <xdr:row>34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898648-33E9-BA12-8C0F-A237CE0428F6}"/>
            </a:ext>
            <a:ext uri="{147F2762-F138-4A5C-976F-8EAC2B608ADB}">
              <a16:predDERef xmlns:a16="http://schemas.microsoft.com/office/drawing/2014/main" pred="{35774AF0-83CE-943D-7EE7-B67700823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54300" y="971550"/>
          <a:ext cx="3419475" cy="2771775"/>
        </a:xfrm>
        <a:prstGeom prst="rect">
          <a:avLst/>
        </a:prstGeom>
      </xdr:spPr>
    </xdr:pic>
    <xdr:clientData/>
  </xdr:twoCellAnchor>
  <xdr:twoCellAnchor>
    <xdr:from>
      <xdr:col>7</xdr:col>
      <xdr:colOff>485775</xdr:colOff>
      <xdr:row>3</xdr:row>
      <xdr:rowOff>95250</xdr:rowOff>
    </xdr:from>
    <xdr:to>
      <xdr:col>10</xdr:col>
      <xdr:colOff>228600</xdr:colOff>
      <xdr:row>5</xdr:row>
      <xdr:rowOff>133350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49DDC7-0C8A-462C-B44E-B36D462B05FC}"/>
            </a:ext>
            <a:ext uri="{147F2762-F138-4A5C-976F-8EAC2B608ADB}">
              <a16:predDERef xmlns:a16="http://schemas.microsoft.com/office/drawing/2014/main" pred="{FC898648-33E9-BA12-8C0F-A237CE0428F6}"/>
            </a:ext>
          </a:extLst>
        </xdr:cNvPr>
        <xdr:cNvSpPr txBox="1"/>
      </xdr:nvSpPr>
      <xdr:spPr>
        <a:xfrm>
          <a:off x="6029325" y="666750"/>
          <a:ext cx="1571625" cy="419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Step 2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Ctr+H to replace "+" with "-"</a:t>
          </a:r>
        </a:p>
      </xdr:txBody>
    </xdr:sp>
    <xdr:clientData/>
  </xdr:twoCellAnchor>
  <xdr:twoCellAnchor>
    <xdr:from>
      <xdr:col>7</xdr:col>
      <xdr:colOff>495300</xdr:colOff>
      <xdr:row>6</xdr:row>
      <xdr:rowOff>76200</xdr:rowOff>
    </xdr:from>
    <xdr:to>
      <xdr:col>10</xdr:col>
      <xdr:colOff>238125</xdr:colOff>
      <xdr:row>8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BFF53A6-77B5-414E-9D9C-0F9709005789}"/>
            </a:ext>
            <a:ext uri="{147F2762-F138-4A5C-976F-8EAC2B608ADB}">
              <a16:predDERef xmlns:a16="http://schemas.microsoft.com/office/drawing/2014/main" pred="{5049DDC7-0C8A-462C-B44E-B36D462B05FC}"/>
            </a:ext>
          </a:extLst>
        </xdr:cNvPr>
        <xdr:cNvSpPr txBox="1"/>
      </xdr:nvSpPr>
      <xdr:spPr>
        <a:xfrm>
          <a:off x="6038850" y="1219200"/>
          <a:ext cx="1571625" cy="419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Step 3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Ctr+H to replace ")" with " "</a:t>
          </a:r>
        </a:p>
      </xdr:txBody>
    </xdr:sp>
    <xdr:clientData/>
  </xdr:twoCellAnchor>
  <xdr:twoCellAnchor>
    <xdr:from>
      <xdr:col>7</xdr:col>
      <xdr:colOff>485775</xdr:colOff>
      <xdr:row>9</xdr:row>
      <xdr:rowOff>28574</xdr:rowOff>
    </xdr:from>
    <xdr:to>
      <xdr:col>10</xdr:col>
      <xdr:colOff>228600</xdr:colOff>
      <xdr:row>13</xdr:row>
      <xdr:rowOff>190499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17E6DAD-F369-4674-B681-FFFA07ACE3B0}"/>
            </a:ext>
            <a:ext uri="{147F2762-F138-4A5C-976F-8EAC2B608ADB}">
              <a16:predDERef xmlns:a16="http://schemas.microsoft.com/office/drawing/2014/main" pred="{8BFF53A6-77B5-414E-9D9C-0F9709005789}"/>
            </a:ext>
          </a:extLst>
        </xdr:cNvPr>
        <xdr:cNvSpPr txBox="1"/>
      </xdr:nvSpPr>
      <xdr:spPr>
        <a:xfrm>
          <a:off x="6915150" y="1743074"/>
          <a:ext cx="1571625" cy="9239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Step 4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Copy and paste list to next column... staggard up 1 to pair team</a:t>
          </a: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members with guest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485775</xdr:colOff>
      <xdr:row>14</xdr:row>
      <xdr:rowOff>66674</xdr:rowOff>
    </xdr:from>
    <xdr:to>
      <xdr:col>10</xdr:col>
      <xdr:colOff>228600</xdr:colOff>
      <xdr:row>17</xdr:row>
      <xdr:rowOff>142875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BA6B3D-B872-4A8B-8FFA-8D8EBF62DB4C}"/>
            </a:ext>
            <a:ext uri="{147F2762-F138-4A5C-976F-8EAC2B608ADB}">
              <a16:predDERef xmlns:a16="http://schemas.microsoft.com/office/drawing/2014/main" pred="{8BFF53A6-77B5-414E-9D9C-0F9709005789}"/>
            </a:ext>
          </a:extLst>
        </xdr:cNvPr>
        <xdr:cNvSpPr txBox="1"/>
      </xdr:nvSpPr>
      <xdr:spPr>
        <a:xfrm>
          <a:off x="6915150" y="2733674"/>
          <a:ext cx="1571625" cy="6477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Step 5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Filter out every other Row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Row filter -&gt; check</a:t>
          </a: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"1"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514350</xdr:colOff>
      <xdr:row>18</xdr:row>
      <xdr:rowOff>47625</xdr:rowOff>
    </xdr:from>
    <xdr:to>
      <xdr:col>10</xdr:col>
      <xdr:colOff>257175</xdr:colOff>
      <xdr:row>21</xdr:row>
      <xdr:rowOff>123826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7C573C1-804D-4167-8CD9-4E3A5997E4C0}"/>
            </a:ext>
            <a:ext uri="{147F2762-F138-4A5C-976F-8EAC2B608ADB}">
              <a16:predDERef xmlns:a16="http://schemas.microsoft.com/office/drawing/2014/main" pred="{8BFF53A6-77B5-414E-9D9C-0F9709005789}"/>
            </a:ext>
          </a:extLst>
        </xdr:cNvPr>
        <xdr:cNvSpPr txBox="1"/>
      </xdr:nvSpPr>
      <xdr:spPr>
        <a:xfrm>
          <a:off x="6943725" y="3476625"/>
          <a:ext cx="1571625" cy="6477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Step 6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Copy and paste "values"</a:t>
          </a: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into Master Player List tab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7</xdr:col>
      <xdr:colOff>438150</xdr:colOff>
      <xdr:row>0</xdr:row>
      <xdr:rowOff>104775</xdr:rowOff>
    </xdr:from>
    <xdr:to>
      <xdr:col>29</xdr:col>
      <xdr:colOff>106600</xdr:colOff>
      <xdr:row>42</xdr:row>
      <xdr:rowOff>162491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CCB132-A28C-65BB-B88F-B47CE0460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67525" y="104775"/>
          <a:ext cx="13079650" cy="40582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A51B5-BC1E-4717-B3CC-E7620E689B5F}" name="tblTeams" displayName="tblTeams" ref="A2:I82" totalsRowShown="0" dataDxfId="7">
  <autoFilter ref="A2:I82" xr:uid="{7D3A51B5-BC1E-4717-B3CC-E7620E689B5F}"/>
  <tableColumns count="9">
    <tableColumn id="1" xr3:uid="{EC4944F6-A5FD-453B-86A4-B770C0BFFAC1}" name="Flight">
      <calculatedColumnFormula>'Master Player List'!L2</calculatedColumnFormula>
    </tableColumn>
    <tableColumn id="2" xr3:uid="{2A335D5D-0513-48AA-A716-A52C6828B534}" name="Team">
      <calculatedColumnFormula>'Master Player List'!M2</calculatedColumnFormula>
    </tableColumn>
    <tableColumn id="3" xr3:uid="{303C0199-7919-4059-A3A5-16EFC957E252}" name="Member">
      <calculatedColumnFormula>'Master Player List'!C2</calculatedColumnFormula>
    </tableColumn>
    <tableColumn id="4" xr3:uid="{E862C646-FED1-4256-BC72-4022119CA741}" name="Guest">
      <calculatedColumnFormula>'Master Player List'!F2</calculatedColumnFormula>
    </tableColumn>
    <tableColumn id="5" xr3:uid="{CFE9DE4D-DA76-4A12-B858-8E60B83D9B42}" name="Owner">
      <calculatedColumnFormula>'Master Player List'!N2</calculatedColumnFormula>
    </tableColumn>
    <tableColumn id="6" xr3:uid="{D9523EBD-D5CE-4101-A493-2460A8E1B766}" name="Bid" dataDxfId="6" dataCellStyle="Currency">
      <calculatedColumnFormula>Calcutta!E37</calculatedColumnFormula>
    </tableColumn>
    <tableColumn id="7" xr3:uid="{C359FC47-3EAB-4E61-A913-2101307438E2}" name="TeamHCP" dataDxfId="5">
      <calculatedColumnFormula>'Master Player List'!J2</calculatedColumnFormula>
    </tableColumn>
    <tableColumn id="8" xr3:uid="{60D58E14-A226-4F5B-B21F-09C8D4F1F56C}" name="MemberHCP" dataDxfId="4">
      <calculatedColumnFormula>'Master Player List'!E2</calculatedColumnFormula>
    </tableColumn>
    <tableColumn id="9" xr3:uid="{4A63C8E2-9131-4AB9-B4E6-CB1452B8B435}" name="GuestHCP" dataDxfId="3">
      <calculatedColumnFormula>'Master Player List'!H2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817746-7690-4A99-AE0A-09518103D150}" name="tblFlightWinners" displayName="tblFlightWinners" ref="L2:P32" totalsRowShown="0">
  <autoFilter ref="L2:P32" xr:uid="{E5817746-7690-4A99-AE0A-09518103D150}"/>
  <tableColumns count="5">
    <tableColumn id="1" xr3:uid="{82F4DFCD-5F8D-4A95-8191-7BD8AE0CDAD7}" name="Flight"/>
    <tableColumn id="2" xr3:uid="{722CAC58-9ED5-47FF-852F-5BED21364A3A}" name="Place"/>
    <tableColumn id="3" xr3:uid="{EBE7B93A-D716-40D7-BA5E-929C95D781AB}" name="Amount" dataDxfId="2" dataCellStyle="Currency"/>
    <tableColumn id="4" xr3:uid="{0891011F-831B-4F68-9070-3DCD7AFF7C37}" name="Winner"/>
    <tableColumn id="5" xr3:uid="{0BA98663-8699-4EDA-90E1-31F72A0EEC0C}" name="Own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E69006-D0EC-4B68-8C1A-38FA481EAC48}" name="tblDayMoney" displayName="tblDayMoney" ref="S2:X92" totalsRowShown="0">
  <autoFilter ref="S2:X92" xr:uid="{C6E69006-D0EC-4B68-8C1A-38FA481EAC48}"/>
  <tableColumns count="6">
    <tableColumn id="1" xr3:uid="{6BC437B5-4916-40FC-A1A3-6A4C4B281F44}" name="Flight"/>
    <tableColumn id="2" xr3:uid="{CF9E67FD-3F71-47CA-AFAF-8668EB5883D8}" name="Day"/>
    <tableColumn id="3" xr3:uid="{61C86B22-6198-4C14-B8CC-982609AA0760}" name="Place"/>
    <tableColumn id="4" xr3:uid="{39A282BE-BDC7-439C-88C0-CA20CD5C1FF2}" name="Amount" dataDxfId="1" dataCellStyle="Currency"/>
    <tableColumn id="5" xr3:uid="{317CD7B1-75E8-4714-BC92-EED42DCD2D3D}" name="Winner"/>
    <tableColumn id="6" xr3:uid="{D8636847-D786-434B-854D-89528C916C8D}" name="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D4EAF2-398E-4329-A00D-4563AF3522B6}" name="tblShootout" displayName="tblShootout" ref="A89:D90" totalsRowShown="0">
  <autoFilter ref="A89:D90" xr:uid="{75D4EAF2-398E-4329-A00D-4563AF3522B6}"/>
  <tableColumns count="4">
    <tableColumn id="1" xr3:uid="{FA2F5389-1255-4889-B548-AC41C2057808}" name="BonusPool">
      <calculatedColumnFormula>Calcutta!J2</calculatedColumnFormula>
    </tableColumn>
    <tableColumn id="2" xr3:uid="{5C795727-B4CC-4D9A-81C8-DF667E1634C7}" name="FirstPlace">
      <calculatedColumnFormula>Calcutta!J3</calculatedColumnFormula>
    </tableColumn>
    <tableColumn id="3" xr3:uid="{2C54A176-0996-4D1D-BE40-0BF06E4BEBB7}" name="SecondPlace">
      <calculatedColumnFormula>Calcutta!J4</calculatedColumnFormula>
    </tableColumn>
    <tableColumn id="4" xr3:uid="{47D988F3-31A9-4BCB-94DE-72725ABC4E23}" name="ThirdPlace">
      <calculatedColumnFormula>Calcutta!J5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F812-6F72-4AF0-A2CC-5DEC1B8C88E9}">
  <sheetPr>
    <tabColor theme="9"/>
    <pageSetUpPr fitToPage="1"/>
  </sheetPr>
  <dimension ref="A1:T119"/>
  <sheetViews>
    <sheetView topLeftCell="D1" zoomScaleNormal="100" workbookViewId="0">
      <pane ySplit="8" topLeftCell="A17" activePane="bottomLeft" state="frozen"/>
      <selection pane="bottomLeft" activeCell="J27" sqref="J27"/>
    </sheetView>
  </sheetViews>
  <sheetFormatPr defaultColWidth="8.7265625" defaultRowHeight="14.5" x14ac:dyDescent="0.35"/>
  <cols>
    <col min="1" max="1" width="7.26953125" bestFit="1" customWidth="1"/>
    <col min="2" max="2" width="13.7265625" style="1" customWidth="1"/>
    <col min="3" max="3" width="25.453125" style="1" customWidth="1"/>
    <col min="4" max="4" width="22" style="1" bestFit="1" customWidth="1"/>
    <col min="5" max="5" width="11.1796875" style="1" bestFit="1" customWidth="1"/>
    <col min="6" max="6" width="24.453125" style="1" customWidth="1"/>
    <col min="7" max="7" width="6.81640625" style="1" customWidth="1"/>
    <col min="8" max="8" width="19" style="1" customWidth="1"/>
    <col min="9" max="10" width="15.54296875" style="1" customWidth="1"/>
    <col min="11" max="11" width="14.7265625" style="1" customWidth="1"/>
    <col min="12" max="12" width="4.81640625" customWidth="1"/>
    <col min="13" max="13" width="15" customWidth="1"/>
    <col min="14" max="14" width="18.453125" customWidth="1"/>
    <col min="15" max="16" width="17.26953125" bestFit="1" customWidth="1"/>
    <col min="17" max="17" width="15.453125" customWidth="1"/>
    <col min="18" max="18" width="18" bestFit="1" customWidth="1"/>
    <col min="19" max="19" width="16" customWidth="1"/>
    <col min="20" max="20" width="17.7265625" bestFit="1" customWidth="1"/>
  </cols>
  <sheetData>
    <row r="1" spans="1:20" ht="32.25" customHeight="1" x14ac:dyDescent="1">
      <c r="A1" s="268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42"/>
    </row>
    <row r="2" spans="1:20" ht="3" customHeight="1" thickBot="1" x14ac:dyDescent="0.4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1"/>
      <c r="M2" s="201"/>
      <c r="N2" s="201"/>
      <c r="O2" s="201"/>
      <c r="P2" s="201"/>
      <c r="Q2" s="201"/>
    </row>
    <row r="3" spans="1:20" s="91" customFormat="1" ht="16.5" customHeight="1" thickBot="1" x14ac:dyDescent="0.4">
      <c r="B3" s="205"/>
      <c r="C3" s="205"/>
      <c r="D3" s="205"/>
      <c r="E3" s="205"/>
      <c r="F3" s="205"/>
      <c r="G3" s="286" t="s">
        <v>1</v>
      </c>
      <c r="H3" s="287"/>
      <c r="I3" s="288"/>
      <c r="J3" s="283">
        <f>'Payout Calc'!P7</f>
        <v>4015</v>
      </c>
      <c r="K3" s="284"/>
      <c r="L3" s="285"/>
      <c r="M3" s="93" t="s">
        <v>2</v>
      </c>
      <c r="N3" s="93" t="s">
        <v>3</v>
      </c>
    </row>
    <row r="4" spans="1:20" s="91" customFormat="1" ht="15.75" customHeight="1" x14ac:dyDescent="0.35">
      <c r="B4" s="205"/>
      <c r="C4" s="205"/>
      <c r="D4" s="205"/>
      <c r="E4" s="205"/>
      <c r="F4" s="205"/>
      <c r="G4" s="248"/>
      <c r="H4" s="249"/>
      <c r="I4" s="227" t="s">
        <v>4</v>
      </c>
      <c r="J4" s="280">
        <f>'Payout Calc'!P3</f>
        <v>2010</v>
      </c>
      <c r="K4" s="281"/>
      <c r="L4" s="282"/>
      <c r="M4" s="234" t="s">
        <v>5</v>
      </c>
      <c r="N4" s="117" t="str">
        <f>VLOOKUP(M4,'Master Player List'!$C$2:$N$82,12,0)</f>
        <v xml:space="preserve">Brijalba, Rufus </v>
      </c>
    </row>
    <row r="5" spans="1:20" s="91" customFormat="1" ht="14.25" customHeight="1" x14ac:dyDescent="0.35">
      <c r="B5" s="205"/>
      <c r="C5" s="205"/>
      <c r="D5" s="205"/>
      <c r="E5" s="205"/>
      <c r="F5" s="205"/>
      <c r="G5" s="228"/>
      <c r="H5" s="229"/>
      <c r="I5" s="206" t="s">
        <v>6</v>
      </c>
      <c r="J5" s="277">
        <f>'Payout Calc'!P4</f>
        <v>1205</v>
      </c>
      <c r="K5" s="278"/>
      <c r="L5" s="279"/>
      <c r="M5" s="119" t="s">
        <v>7</v>
      </c>
      <c r="N5" s="117" t="str">
        <f>VLOOKUP(M5,'Master Player List'!$C$2:$N$82,12,0)</f>
        <v xml:space="preserve">Maples, Brent </v>
      </c>
    </row>
    <row r="6" spans="1:20" s="91" customFormat="1" ht="15.75" customHeight="1" thickBot="1" x14ac:dyDescent="0.4">
      <c r="B6" s="205"/>
      <c r="C6" s="205"/>
      <c r="D6" s="205"/>
      <c r="E6" s="205"/>
      <c r="F6" s="205"/>
      <c r="G6" s="230"/>
      <c r="H6" s="231"/>
      <c r="I6" s="232" t="s">
        <v>8</v>
      </c>
      <c r="J6" s="274">
        <f>'Payout Calc'!P5</f>
        <v>800</v>
      </c>
      <c r="K6" s="275"/>
      <c r="L6" s="276"/>
      <c r="M6" s="233" t="s">
        <v>9</v>
      </c>
      <c r="N6" s="117" t="str">
        <f>VLOOKUP(M6,'Master Player List'!$C$2:$N$82,12,0)</f>
        <v xml:space="preserve">Brymer, Cory </v>
      </c>
    </row>
    <row r="7" spans="1:20" ht="3" customHeight="1" x14ac:dyDescent="0.35">
      <c r="B7" s="15"/>
      <c r="C7" s="15"/>
      <c r="D7" s="15"/>
      <c r="E7" s="15"/>
      <c r="F7" s="15"/>
      <c r="G7" s="17"/>
      <c r="H7" s="17"/>
      <c r="I7" s="17"/>
      <c r="J7" s="273"/>
      <c r="K7" s="273"/>
      <c r="L7" s="273"/>
      <c r="M7" s="1"/>
      <c r="N7" s="1"/>
    </row>
    <row r="8" spans="1:20" ht="1.5" customHeight="1" thickBot="1" x14ac:dyDescent="0.55000000000000004"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20" ht="21" x14ac:dyDescent="0.5">
      <c r="A9" s="265" t="s">
        <v>10</v>
      </c>
      <c r="B9" s="266"/>
      <c r="C9" s="266"/>
      <c r="D9" s="267"/>
      <c r="E9" s="262"/>
      <c r="F9" s="264"/>
      <c r="G9" s="16"/>
    </row>
    <row r="10" spans="1:20" ht="15" thickBot="1" x14ac:dyDescent="0.4">
      <c r="A10" s="27" t="s">
        <v>11</v>
      </c>
      <c r="B10" s="28" t="s">
        <v>12</v>
      </c>
      <c r="C10" s="28" t="s">
        <v>2</v>
      </c>
      <c r="D10" s="29" t="s">
        <v>13</v>
      </c>
      <c r="E10" s="2" t="s">
        <v>14</v>
      </c>
      <c r="F10" s="20" t="s">
        <v>15</v>
      </c>
      <c r="G10" s="17"/>
    </row>
    <row r="11" spans="1:20" ht="21.5" thickBot="1" x14ac:dyDescent="0.5">
      <c r="A11" s="21">
        <v>1</v>
      </c>
      <c r="B11" s="1" t="str">
        <f xml:space="preserve"> IF('Master Player List'!$L3=1,'Master Player List'!$J3,"")</f>
        <v>+5.2</v>
      </c>
      <c r="C11" s="1" t="str">
        <f xml:space="preserve"> IF('Master Player List'!L3=1,CONCATENATE('Master Player List'!C3," (",'Master Player List'!E3,")"),"")</f>
        <v>Brijalba, Rufus  (+3.1)</v>
      </c>
      <c r="D11" s="1" t="str">
        <f xml:space="preserve"> IF('Master Player List'!L3=1,CONCATENATE('Master Player List'!F3," (",'Master Player List'!H3,")"),"")</f>
        <v>Peck, Colin  (+2.1)</v>
      </c>
      <c r="E11" s="88">
        <v>3200</v>
      </c>
      <c r="F11" s="109" t="s">
        <v>5</v>
      </c>
      <c r="G11" s="19"/>
      <c r="H11" s="83" t="s">
        <v>16</v>
      </c>
      <c r="I11" s="137">
        <f>SUM(E11:E18)</f>
        <v>20600</v>
      </c>
      <c r="J11" s="137"/>
      <c r="K11" s="51"/>
      <c r="M11" s="134" t="s">
        <v>17</v>
      </c>
      <c r="N11" s="135"/>
      <c r="O11" s="135"/>
      <c r="P11" s="135"/>
      <c r="Q11" s="135"/>
      <c r="R11" s="135"/>
      <c r="S11" s="135"/>
      <c r="T11" s="136"/>
    </row>
    <row r="12" spans="1:20" ht="15" customHeight="1" thickBot="1" x14ac:dyDescent="0.4">
      <c r="A12" s="21">
        <v>2</v>
      </c>
      <c r="B12" s="1" t="str">
        <f xml:space="preserve"> IF('Master Player List'!$L4=1,'Master Player List'!$J4,"")</f>
        <v>+0.7</v>
      </c>
      <c r="C12" s="1" t="str">
        <f xml:space="preserve"> IF('Master Player List'!L4=1,CONCATENATE('Master Player List'!C4," (",'Master Player List'!E4,")"),"")</f>
        <v>Paschke, Michael  (3.6)</v>
      </c>
      <c r="D12" s="1" t="str">
        <f xml:space="preserve"> IF('Master Player List'!L4=1,CONCATENATE('Master Player List'!F4," (",'Master Player List'!H4,")"),"")</f>
        <v>Montes, Daniel  (+4.3)</v>
      </c>
      <c r="E12" s="89">
        <v>4000</v>
      </c>
      <c r="F12" s="110" t="s">
        <v>18</v>
      </c>
      <c r="G12" s="19"/>
      <c r="H12" s="138" t="s">
        <v>19</v>
      </c>
      <c r="I12" s="139"/>
      <c r="J12" s="139"/>
      <c r="K12" s="140"/>
      <c r="M12" s="167"/>
      <c r="N12" s="168"/>
      <c r="O12" s="271" t="s">
        <v>20</v>
      </c>
      <c r="P12" s="272"/>
      <c r="Q12" s="271" t="s">
        <v>21</v>
      </c>
      <c r="R12" s="272"/>
      <c r="S12" s="269" t="s">
        <v>22</v>
      </c>
      <c r="T12" s="270"/>
    </row>
    <row r="13" spans="1:20" x14ac:dyDescent="0.35">
      <c r="A13" s="21">
        <v>3</v>
      </c>
      <c r="B13" s="1">
        <f xml:space="preserve"> IF('Master Player List'!$L5=1,'Master Player List'!$J5,"")</f>
        <v>9.9999999999999978E-2</v>
      </c>
      <c r="C13" s="1" t="str">
        <f xml:space="preserve"> IF('Master Player List'!L5=1,CONCATENATE('Master Player List'!C5," (",'Master Player List'!E5,")"),"")</f>
        <v>Harwood, Michael  (+0.5)</v>
      </c>
      <c r="D13" s="1" t="str">
        <f xml:space="preserve"> IF('Master Player List'!L5=1,CONCATENATE('Master Player List'!F5," (",'Master Player List'!H5,")"),"")</f>
        <v>Diaz, Gerry  (0.6)</v>
      </c>
      <c r="E13" s="89">
        <v>2200</v>
      </c>
      <c r="F13" s="110" t="s">
        <v>23</v>
      </c>
      <c r="G13" s="19"/>
      <c r="H13" s="129"/>
      <c r="I13" s="130"/>
      <c r="J13" s="131" t="s">
        <v>2</v>
      </c>
      <c r="K13" s="132" t="s">
        <v>3</v>
      </c>
      <c r="M13" s="169"/>
      <c r="N13" s="1"/>
      <c r="O13" s="237" t="s">
        <v>2</v>
      </c>
      <c r="P13" s="238" t="s">
        <v>3</v>
      </c>
      <c r="Q13" s="235" t="s">
        <v>2</v>
      </c>
      <c r="R13" s="118" t="s">
        <v>3</v>
      </c>
      <c r="S13" s="235" t="s">
        <v>2</v>
      </c>
      <c r="T13" s="170" t="s">
        <v>3</v>
      </c>
    </row>
    <row r="14" spans="1:20" x14ac:dyDescent="0.35">
      <c r="A14" s="21">
        <v>4</v>
      </c>
      <c r="B14" s="1">
        <f xml:space="preserve"> IF('Master Player List'!$L6=1,'Master Player List'!$J6,"")</f>
        <v>1.8</v>
      </c>
      <c r="C14" s="1" t="str">
        <f xml:space="preserve"> IF('Master Player List'!L6=1,CONCATENATE('Master Player List'!C6," (",'Master Player List'!E6,")"),"")</f>
        <v>Lambert, Jeff  (0.5)</v>
      </c>
      <c r="D14" s="1" t="str">
        <f xml:space="preserve"> IF('Master Player List'!L6=1,CONCATENATE('Master Player List'!F6," (",'Master Player List'!H6,")"),"")</f>
        <v>White, Jason  (1.3)</v>
      </c>
      <c r="E14" s="89">
        <v>1900</v>
      </c>
      <c r="F14" s="110" t="s">
        <v>9</v>
      </c>
      <c r="G14" s="19"/>
      <c r="H14" s="38" t="str">
        <f xml:space="preserve"> "1st (" &amp; (TEXT('Payout Calc'!$K$4, "0%")) &amp; ")"</f>
        <v>1st (50%)</v>
      </c>
      <c r="I14" s="102">
        <f>'Payout Calc'!D24</f>
        <v>6260</v>
      </c>
      <c r="J14" s="119" t="s">
        <v>321</v>
      </c>
      <c r="K14" s="117" t="str">
        <f>VLOOKUP(J14,'Master Player List'!$C$2:$N$82,12,0)</f>
        <v xml:space="preserve">Aghazadeh, Abdol </v>
      </c>
      <c r="L14" s="39"/>
      <c r="M14" s="171" t="str">
        <f xml:space="preserve"> "1st (" &amp; (TEXT('Payout Calc'!I4, "0%")) &amp; ")"</f>
        <v>1st (50%)</v>
      </c>
      <c r="N14" s="102">
        <f>'Payout Calc'!D34</f>
        <v>1120</v>
      </c>
      <c r="O14" s="119" t="s">
        <v>5</v>
      </c>
      <c r="P14" s="117" t="str">
        <f>VLOOKUP(O14,'Master Player List'!$C$2:$N$82,12,0)</f>
        <v xml:space="preserve">Brijalba, Rufus </v>
      </c>
      <c r="Q14" s="119" t="s">
        <v>24</v>
      </c>
      <c r="R14" s="117" t="str">
        <f>VLOOKUP(Q14,'Master Player List'!$C$2:$N$82,12,0)</f>
        <v xml:space="preserve">Edwards, Patric </v>
      </c>
      <c r="S14" s="119" t="s">
        <v>24</v>
      </c>
      <c r="T14" s="117" t="str">
        <f>VLOOKUP(S14,'Master Player List'!$C$2:$N$82,12,0)</f>
        <v xml:space="preserve">Edwards, Patric </v>
      </c>
    </row>
    <row r="15" spans="1:20" x14ac:dyDescent="0.35">
      <c r="A15" s="21">
        <v>5</v>
      </c>
      <c r="B15" s="1">
        <f xml:space="preserve"> IF('Master Player List'!$L7=1,'Master Player List'!$J7,"")</f>
        <v>2.9</v>
      </c>
      <c r="C15" s="1" t="str">
        <f xml:space="preserve"> IF('Master Player List'!L7=1,CONCATENATE('Master Player List'!C7," (",'Master Player List'!E7,")"),"")</f>
        <v>Kim, Steven  (2.8)</v>
      </c>
      <c r="D15" s="1" t="str">
        <f xml:space="preserve"> IF('Master Player List'!L7=1,CONCATENATE('Master Player List'!F7," (",'Master Player List'!H7,")"),"")</f>
        <v>Kerrigan, Mike  (0.1)</v>
      </c>
      <c r="E15" s="89">
        <v>1600</v>
      </c>
      <c r="F15" s="110" t="s">
        <v>25</v>
      </c>
      <c r="G15" s="19"/>
      <c r="H15" s="38" t="str">
        <f xml:space="preserve"> "2nd (" &amp; (TEXT('Payout Calc'!$K$5, "0%")) &amp; ")"</f>
        <v>2nd (30%)</v>
      </c>
      <c r="I15" s="102">
        <f>'Payout Calc'!D25</f>
        <v>3755</v>
      </c>
      <c r="J15" s="119" t="s">
        <v>23</v>
      </c>
      <c r="K15" s="117" t="str">
        <f>VLOOKUP(J15,'Master Player List'!$C$2:$N$82,12,0)</f>
        <v xml:space="preserve">Harwood, Michael </v>
      </c>
      <c r="L15" s="15"/>
      <c r="M15" s="171" t="str">
        <f xml:space="preserve"> "2nd (" &amp; (TEXT('Payout Calc'!I5, "0%")) &amp; ")"</f>
        <v>2nd (30%)</v>
      </c>
      <c r="N15" s="102">
        <f>'Payout Calc'!D35</f>
        <v>670</v>
      </c>
      <c r="O15" s="119" t="s">
        <v>324</v>
      </c>
      <c r="P15" s="117" t="str">
        <f>VLOOKUP(O15,'Master Player List'!$C$2:$N$82,12,0)</f>
        <v xml:space="preserve">Godhania, Vikas </v>
      </c>
      <c r="Q15" s="119" t="s">
        <v>24</v>
      </c>
      <c r="R15" s="117" t="str">
        <f>VLOOKUP(Q15,'Master Player List'!$C$2:$N$82,12,0)</f>
        <v xml:space="preserve">Edwards, Patric </v>
      </c>
      <c r="S15" s="119" t="s">
        <v>324</v>
      </c>
      <c r="T15" s="117" t="str">
        <f>VLOOKUP(S15,'Master Player List'!$C$2:$N$82,12,0)</f>
        <v xml:space="preserve">Godhania, Vikas </v>
      </c>
    </row>
    <row r="16" spans="1:20" x14ac:dyDescent="0.35">
      <c r="A16" s="21">
        <v>6</v>
      </c>
      <c r="B16" s="1">
        <f xml:space="preserve"> IF('Master Player List'!$L8=1,'Master Player List'!$J8,"")</f>
        <v>3.8</v>
      </c>
      <c r="C16" s="1" t="str">
        <f xml:space="preserve"> IF('Master Player List'!L8=1,CONCATENATE('Master Player List'!C8," (",'Master Player List'!E8,")"),"")</f>
        <v>Maples, Brent  (+0.7)</v>
      </c>
      <c r="D16" s="1" t="str">
        <f xml:space="preserve"> IF('Master Player List'!L8=1,CONCATENATE('Master Player List'!F8," (",'Master Player List'!H8,")"),"")</f>
        <v>Buratto, Mark  (4.5)</v>
      </c>
      <c r="E16" s="89">
        <v>2500</v>
      </c>
      <c r="F16" s="110" t="s">
        <v>7</v>
      </c>
      <c r="G16" s="19"/>
      <c r="H16" s="38" t="str">
        <f xml:space="preserve"> "3rd (" &amp; (TEXT('Payout Calc'!$K$6, "0%")) &amp; ")"</f>
        <v>3rd (20%)</v>
      </c>
      <c r="I16" s="103">
        <f>'Payout Calc'!D26</f>
        <v>2505</v>
      </c>
      <c r="J16" s="119" t="s">
        <v>24</v>
      </c>
      <c r="K16" s="117" t="str">
        <f>VLOOKUP(J16,'Master Player List'!$C$2:$N$82,12,0)</f>
        <v xml:space="preserve">Edwards, Patric </v>
      </c>
      <c r="L16" s="37"/>
      <c r="M16" s="171" t="str">
        <f xml:space="preserve"> "3rd (" &amp; (TEXT('Payout Calc'!I6, "0%")) &amp; ")"</f>
        <v>3rd (20%)</v>
      </c>
      <c r="N16" s="102">
        <f>'Payout Calc'!D36</f>
        <v>445</v>
      </c>
      <c r="O16" s="119" t="s">
        <v>24</v>
      </c>
      <c r="P16" s="117" t="str">
        <f>VLOOKUP(O16,'Master Player List'!$C$2:$N$82,12,0)</f>
        <v xml:space="preserve">Edwards, Patric </v>
      </c>
      <c r="Q16" s="119" t="s">
        <v>24</v>
      </c>
      <c r="R16" s="117" t="str">
        <f>VLOOKUP(Q16,'Master Player List'!$C$2:$N$82,12,0)</f>
        <v xml:space="preserve">Edwards, Patric </v>
      </c>
      <c r="S16" s="119" t="s">
        <v>24</v>
      </c>
      <c r="T16" s="117" t="str">
        <f>VLOOKUP(S16,'Master Player List'!$C$2:$N$82,12,0)</f>
        <v xml:space="preserve">Edwards, Patric </v>
      </c>
    </row>
    <row r="17" spans="1:20" x14ac:dyDescent="0.35">
      <c r="A17" s="21">
        <v>7</v>
      </c>
      <c r="B17" s="1">
        <f xml:space="preserve"> IF('Master Player List'!$L9=1,'Master Player List'!$J9,"")</f>
        <v>4.0999999999999996</v>
      </c>
      <c r="C17" s="1" t="str">
        <f xml:space="preserve"> IF('Master Player List'!L9=1,CONCATENATE('Master Player List'!C9," (",'Master Player List'!E9,")"),"")</f>
        <v>Darter, Bret  (0.2)</v>
      </c>
      <c r="D17" s="1" t="str">
        <f xml:space="preserve"> IF('Master Player List'!L9=1,CONCATENATE('Master Player List'!F9," (",'Master Player List'!H9,")"),"")</f>
        <v>Caldwell, Trey  (3.9)</v>
      </c>
      <c r="E17" s="89">
        <v>2200</v>
      </c>
      <c r="F17" s="110" t="s">
        <v>26</v>
      </c>
      <c r="G17" s="19"/>
      <c r="H17" s="40"/>
      <c r="I17" s="158"/>
      <c r="J17" s="159"/>
      <c r="K17" s="160"/>
      <c r="L17" s="37"/>
      <c r="M17" s="172"/>
      <c r="N17" s="240"/>
      <c r="O17" s="239"/>
      <c r="P17" s="160"/>
      <c r="Q17" s="241"/>
      <c r="R17" s="160"/>
      <c r="S17" s="236"/>
      <c r="T17" s="192"/>
    </row>
    <row r="18" spans="1:20" x14ac:dyDescent="0.35">
      <c r="A18" s="21">
        <v>8</v>
      </c>
      <c r="B18" s="1">
        <f xml:space="preserve"> IF('Master Player List'!$L10=1,'Master Player List'!$J10,"")</f>
        <v>4.5</v>
      </c>
      <c r="C18" s="1" t="str">
        <f xml:space="preserve"> IF('Master Player List'!L10=1,CONCATENATE('Master Player List'!C10," (",'Master Player List'!E10,")"),"")</f>
        <v>Black, Gene  (3.1)</v>
      </c>
      <c r="D18" s="1" t="str">
        <f xml:space="preserve"> IF('Master Player List'!L10=1,CONCATENATE('Master Player List'!F10," (",'Master Player List'!H10,")"),"")</f>
        <v>Tilson, Scott  (1.4)</v>
      </c>
      <c r="E18" s="89">
        <v>3000</v>
      </c>
      <c r="F18" s="110" t="s">
        <v>27</v>
      </c>
      <c r="G18" s="19"/>
      <c r="L18" s="37"/>
      <c r="M18" s="18"/>
      <c r="N18" s="157"/>
      <c r="O18" s="19"/>
      <c r="P18" s="1"/>
      <c r="Q18" s="45"/>
      <c r="R18" s="1"/>
      <c r="S18" s="45"/>
      <c r="T18" s="1"/>
    </row>
    <row r="19" spans="1:20" ht="15" thickBot="1" x14ac:dyDescent="0.4">
      <c r="A19" s="21"/>
      <c r="D19" s="1" t="s">
        <v>28</v>
      </c>
      <c r="E19" s="89"/>
      <c r="F19" s="110"/>
      <c r="G19" s="19"/>
      <c r="M19" s="18"/>
      <c r="N19" s="157"/>
      <c r="O19" s="1"/>
      <c r="P19" s="1"/>
      <c r="Q19" s="45"/>
      <c r="R19" s="1"/>
      <c r="S19" s="45"/>
      <c r="T19" s="1"/>
    </row>
    <row r="20" spans="1:20" ht="21" x14ac:dyDescent="0.5">
      <c r="A20" s="265" t="s">
        <v>29</v>
      </c>
      <c r="B20" s="266"/>
      <c r="C20" s="266"/>
      <c r="D20" s="267"/>
      <c r="E20" s="253"/>
      <c r="F20" s="264"/>
      <c r="G20" s="19"/>
    </row>
    <row r="21" spans="1:20" ht="15" thickBot="1" x14ac:dyDescent="0.4">
      <c r="A21" s="27" t="s">
        <v>11</v>
      </c>
      <c r="B21" s="28" t="s">
        <v>12</v>
      </c>
      <c r="C21" s="28" t="s">
        <v>2</v>
      </c>
      <c r="D21" s="28" t="s">
        <v>13</v>
      </c>
      <c r="E21" s="27" t="s">
        <v>14</v>
      </c>
      <c r="F21" s="29" t="s">
        <v>15</v>
      </c>
      <c r="G21" s="19"/>
    </row>
    <row r="22" spans="1:20" ht="21.5" thickBot="1" x14ac:dyDescent="0.5">
      <c r="A22" s="21">
        <v>1</v>
      </c>
      <c r="B22" s="1">
        <f xml:space="preserve"> IF('Master Player List'!$L11=2,'Master Player List'!$J11,"")</f>
        <v>4.6000000000000005</v>
      </c>
      <c r="C22" s="1" t="str">
        <f xml:space="preserve"> IF('Master Player List'!L11=2,CONCATENATE('Master Player List'!C11," (",'Master Player List'!E11,")"),"")</f>
        <v>Lau, Jason  (4.7)</v>
      </c>
      <c r="D22" s="1" t="str">
        <f xml:space="preserve"> IF('Master Player List'!L11=2,CONCATENATE('Master Player List'!F11," (",'Master Player List'!H11,")"),"")</f>
        <v>Martin, Aaron  (+0.1)</v>
      </c>
      <c r="E22" s="89">
        <v>2600</v>
      </c>
      <c r="F22" s="110" t="s">
        <v>30</v>
      </c>
      <c r="G22" s="19"/>
      <c r="H22" s="83" t="s">
        <v>31</v>
      </c>
      <c r="I22" s="137">
        <f>SUM(E22:E29)</f>
        <v>21000</v>
      </c>
      <c r="J22" s="137"/>
      <c r="K22" s="51"/>
      <c r="M22" s="134" t="s">
        <v>17</v>
      </c>
      <c r="N22" s="135"/>
      <c r="O22" s="135"/>
      <c r="P22" s="135"/>
      <c r="Q22" s="135"/>
      <c r="R22" s="135"/>
      <c r="S22" s="135"/>
      <c r="T22" s="136"/>
    </row>
    <row r="23" spans="1:20" ht="15" thickBot="1" x14ac:dyDescent="0.4">
      <c r="A23" s="21">
        <v>2</v>
      </c>
      <c r="B23" s="1">
        <f xml:space="preserve"> IF('Master Player List'!$L12=2,'Master Player List'!$J12,"")</f>
        <v>5</v>
      </c>
      <c r="C23" s="1" t="str">
        <f xml:space="preserve"> IF('Master Player List'!L12=2,CONCATENATE('Master Player List'!C12," (",'Master Player List'!E12,")"),"")</f>
        <v>Peterson, Erik  (0)</v>
      </c>
      <c r="D23" s="1" t="str">
        <f xml:space="preserve"> IF('Master Player List'!L12=2,CONCATENATE('Master Player List'!F12," (",'Master Player List'!H12,")"),"")</f>
        <v>Ferrell, Ryan  (5)</v>
      </c>
      <c r="E23" s="89">
        <v>2200</v>
      </c>
      <c r="F23" s="110" t="s">
        <v>9</v>
      </c>
      <c r="G23" s="19"/>
      <c r="H23" s="138" t="s">
        <v>19</v>
      </c>
      <c r="I23" s="139"/>
      <c r="J23" s="139"/>
      <c r="K23" s="140"/>
      <c r="M23" s="167"/>
      <c r="N23" s="168"/>
      <c r="O23" s="271" t="s">
        <v>20</v>
      </c>
      <c r="P23" s="272"/>
      <c r="Q23" s="271" t="s">
        <v>21</v>
      </c>
      <c r="R23" s="272"/>
      <c r="S23" s="269" t="s">
        <v>22</v>
      </c>
      <c r="T23" s="270"/>
    </row>
    <row r="24" spans="1:20" x14ac:dyDescent="0.35">
      <c r="A24" s="21">
        <v>3</v>
      </c>
      <c r="B24" s="1">
        <f xml:space="preserve"> IF('Master Player List'!$L13=2,'Master Player List'!$J13,"")</f>
        <v>5.0999999999999996</v>
      </c>
      <c r="C24" s="1" t="str">
        <f xml:space="preserve"> IF('Master Player List'!L13=2,CONCATENATE('Master Player List'!C13," (",'Master Player List'!E13,")"),"")</f>
        <v>Fulmer, Austen  (+3.4)</v>
      </c>
      <c r="D24" s="1" t="str">
        <f xml:space="preserve"> IF('Master Player List'!L13=2,CONCATENATE('Master Player List'!F13," (",'Master Player List'!H13,")"),"")</f>
        <v>Pacheco, Jeremy  (8.5)</v>
      </c>
      <c r="E24" s="89">
        <v>2800</v>
      </c>
      <c r="F24" s="110" t="s">
        <v>9</v>
      </c>
      <c r="G24" s="19"/>
      <c r="H24" s="129"/>
      <c r="I24" s="130"/>
      <c r="J24" s="131" t="s">
        <v>2</v>
      </c>
      <c r="K24" s="133" t="s">
        <v>3</v>
      </c>
      <c r="M24" s="169"/>
      <c r="N24" s="1"/>
      <c r="O24" s="237" t="s">
        <v>2</v>
      </c>
      <c r="P24" s="238" t="s">
        <v>3</v>
      </c>
      <c r="Q24" s="235" t="s">
        <v>2</v>
      </c>
      <c r="R24" s="118" t="s">
        <v>3</v>
      </c>
      <c r="S24" s="235" t="s">
        <v>2</v>
      </c>
      <c r="T24" s="170" t="s">
        <v>3</v>
      </c>
    </row>
    <row r="25" spans="1:20" x14ac:dyDescent="0.35">
      <c r="A25" s="21">
        <v>4</v>
      </c>
      <c r="B25" s="1">
        <f xml:space="preserve"> IF('Master Player List'!$L14=2,'Master Player List'!$J14,"")</f>
        <v>6</v>
      </c>
      <c r="C25" s="1" t="str">
        <f xml:space="preserve"> IF('Master Player List'!L14=2,CONCATENATE('Master Player List'!C14," (",'Master Player List'!E14,")"),"")</f>
        <v>Escobar, Rafael  (1.5)</v>
      </c>
      <c r="D25" s="1" t="str">
        <f xml:space="preserve"> IF('Master Player List'!L14=2,CONCATENATE('Master Player List'!F14," (",'Master Player List'!H14,")"),"")</f>
        <v>Gillmor, Rob  (4.5)</v>
      </c>
      <c r="E25" s="89">
        <v>1800</v>
      </c>
      <c r="F25" s="110" t="s">
        <v>32</v>
      </c>
      <c r="G25" s="19"/>
      <c r="H25" s="38" t="str">
        <f xml:space="preserve"> "1st (" &amp; (TEXT('Payout Calc'!$K$4, "0%")) &amp; ")"</f>
        <v>1st (50%)</v>
      </c>
      <c r="I25" s="102">
        <f>'Payout Calc'!H24</f>
        <v>6380</v>
      </c>
      <c r="J25" s="119" t="s">
        <v>33</v>
      </c>
      <c r="K25" s="117" t="str">
        <f>VLOOKUP(J25,'Master Player List'!$C$2:$N$82,12,0)</f>
        <v xml:space="preserve">Brymer, Cory </v>
      </c>
      <c r="M25" s="38" t="str">
        <f xml:space="preserve"> "1st (" &amp; (TEXT('Payout Calc'!I4, "0%")) &amp; ")"</f>
        <v>1st (50%)</v>
      </c>
      <c r="N25" s="102">
        <f>'Payout Calc'!H34</f>
        <v>1145</v>
      </c>
      <c r="O25" s="119" t="s">
        <v>34</v>
      </c>
      <c r="P25" s="117" t="str">
        <f>VLOOKUP(O25,'Master Player List'!$C$2:$N$82,12,0)</f>
        <v xml:space="preserve">Bohnen, John </v>
      </c>
      <c r="Q25" s="119"/>
      <c r="R25" s="117" t="e">
        <f>VLOOKUP(Q25,'Master Player List'!$C$2:$N$82,12,0)</f>
        <v>#N/A</v>
      </c>
      <c r="S25" s="119" t="s">
        <v>33</v>
      </c>
      <c r="T25" s="117" t="str">
        <f>VLOOKUP(S25,'Master Player List'!$C$2:$N$82,12,0)</f>
        <v xml:space="preserve">Brymer, Cory </v>
      </c>
    </row>
    <row r="26" spans="1:20" x14ac:dyDescent="0.35">
      <c r="A26" s="21">
        <v>5</v>
      </c>
      <c r="B26" s="1">
        <f xml:space="preserve"> IF('Master Player List'!$L15=2,'Master Player List'!$J15,"")</f>
        <v>6.1</v>
      </c>
      <c r="C26" s="1" t="str">
        <f xml:space="preserve"> IF('Master Player List'!L15=2,CONCATENATE('Master Player List'!C15," (",'Master Player List'!E15,")"),"")</f>
        <v>Bellomio, Ron  (3.2)</v>
      </c>
      <c r="D26" s="1" t="str">
        <f xml:space="preserve"> IF('Master Player List'!L15=2,CONCATENATE('Master Player List'!F15," (",'Master Player List'!H15,")"),"")</f>
        <v>Boles, John  (2.9)</v>
      </c>
      <c r="E26" s="89">
        <v>3000</v>
      </c>
      <c r="F26" s="110" t="s">
        <v>35</v>
      </c>
      <c r="G26" s="19"/>
      <c r="H26" s="38" t="str">
        <f xml:space="preserve"> "2nd (" &amp; (TEXT('Payout Calc'!$K$5, "0%")) &amp; ")"</f>
        <v>2nd (30%)</v>
      </c>
      <c r="I26" s="102">
        <f>'Payout Calc'!H25</f>
        <v>3830</v>
      </c>
      <c r="J26" s="119" t="s">
        <v>36</v>
      </c>
      <c r="K26" s="117" t="str">
        <f>VLOOKUP(J26,'Master Player List'!$C$2:$N$82,12,0)</f>
        <v xml:space="preserve">Aghazadeh, Abdol </v>
      </c>
      <c r="M26" s="38" t="str">
        <f xml:space="preserve"> "2nd (" &amp; (TEXT('Payout Calc'!I5, "0%")) &amp; ")"</f>
        <v>2nd (30%)</v>
      </c>
      <c r="N26" s="102">
        <f>'Payout Calc'!H35</f>
        <v>685</v>
      </c>
      <c r="O26" s="119" t="s">
        <v>33</v>
      </c>
      <c r="P26" s="117" t="str">
        <f>VLOOKUP(O26,'Master Player List'!$C$2:$N$82,12,0)</f>
        <v xml:space="preserve">Brymer, Cory </v>
      </c>
      <c r="Q26" s="119" t="s">
        <v>35</v>
      </c>
      <c r="R26" s="117" t="str">
        <f>VLOOKUP(Q26,'Master Player List'!$C$2:$N$82,12,0)</f>
        <v xml:space="preserve">Bellomio, Ron </v>
      </c>
      <c r="S26" s="119" t="s">
        <v>37</v>
      </c>
      <c r="T26" s="117" t="str">
        <f>VLOOKUP(S26,'Master Player List'!$C$2:$N$82,12,0)</f>
        <v xml:space="preserve">Drain, Zip </v>
      </c>
    </row>
    <row r="27" spans="1:20" x14ac:dyDescent="0.35">
      <c r="A27" s="21">
        <v>6</v>
      </c>
      <c r="B27" s="1">
        <f xml:space="preserve"> IF('Master Player List'!$L16=2,'Master Player List'!$J16,"")</f>
        <v>6.6</v>
      </c>
      <c r="C27" s="1" t="str">
        <f xml:space="preserve"> IF('Master Player List'!L16=2,CONCATENATE('Master Player List'!C16," (",'Master Player List'!E16,")"),"")</f>
        <v>Vaughn, Earl  (2.9)</v>
      </c>
      <c r="D27" s="1" t="str">
        <f xml:space="preserve"> IF('Master Player List'!L16=2,CONCATENATE('Master Player List'!F16," (",'Master Player List'!H16,")"),"")</f>
        <v>Cowden, Cole  (3.7)</v>
      </c>
      <c r="E27" s="89">
        <v>5000</v>
      </c>
      <c r="F27" s="110" t="s">
        <v>25</v>
      </c>
      <c r="G27" s="19"/>
      <c r="H27" s="38" t="str">
        <f xml:space="preserve"> "3rd (" &amp; (TEXT('Payout Calc'!$K$6, "0%")) &amp; ")"</f>
        <v>3rd (20%)</v>
      </c>
      <c r="I27" s="102">
        <f>'Payout Calc'!H26</f>
        <v>2550</v>
      </c>
      <c r="J27" s="119" t="s">
        <v>74</v>
      </c>
      <c r="K27" s="117" t="str">
        <f>VLOOKUP(J27,'Master Player List'!$C$2:$N$82,12,0)</f>
        <v xml:space="preserve">Brymer, Cory </v>
      </c>
      <c r="M27" s="38" t="str">
        <f xml:space="preserve"> "3rd (" &amp; (TEXT('Payout Calc'!I6, "0%")) &amp; ")"</f>
        <v>3rd (20%)</v>
      </c>
      <c r="N27" s="102">
        <f>'Payout Calc'!H36</f>
        <v>455</v>
      </c>
      <c r="O27" s="119" t="s">
        <v>38</v>
      </c>
      <c r="P27" s="117" t="str">
        <f>VLOOKUP(O27,'Master Player List'!$C$2:$N$82,12,0)</f>
        <v xml:space="preserve">Aghazadeh, Abdol </v>
      </c>
      <c r="Q27" s="119" t="s">
        <v>33</v>
      </c>
      <c r="R27" s="117" t="str">
        <f>VLOOKUP(Q27,'Master Player List'!$C$2:$N$82,12,0)</f>
        <v xml:space="preserve">Brymer, Cory </v>
      </c>
      <c r="S27" s="119"/>
      <c r="T27" s="117" t="e">
        <f>VLOOKUP(S27,'Master Player List'!$C$2:$N$82,12,0)</f>
        <v>#N/A</v>
      </c>
    </row>
    <row r="28" spans="1:20" ht="15" thickBot="1" x14ac:dyDescent="0.4">
      <c r="A28" s="21">
        <v>7</v>
      </c>
      <c r="B28" s="1">
        <f xml:space="preserve"> IF('Master Player List'!$L17=2,'Master Player List'!$J17,"")</f>
        <v>7.5</v>
      </c>
      <c r="C28" s="1" t="str">
        <f xml:space="preserve"> IF('Master Player List'!L17=2,CONCATENATE('Master Player List'!C17," (",'Master Player List'!E17,")"),"")</f>
        <v>Jain, Nitin  (7.5)</v>
      </c>
      <c r="D28" s="1" t="str">
        <f xml:space="preserve"> IF('Master Player List'!L17=2,CONCATENATE('Master Player List'!F17," (",'Master Player List'!H17,")"),"")</f>
        <v>Friggle, Scott  (0)</v>
      </c>
      <c r="E28" s="89">
        <v>1200</v>
      </c>
      <c r="F28" s="110" t="s">
        <v>39</v>
      </c>
      <c r="G28" s="19"/>
      <c r="H28" s="40"/>
      <c r="I28" s="161"/>
      <c r="J28" s="162"/>
      <c r="K28" s="160"/>
      <c r="M28" s="172"/>
      <c r="N28" s="240"/>
      <c r="O28" s="239"/>
      <c r="P28" s="160"/>
      <c r="Q28" s="241"/>
      <c r="R28" s="160"/>
      <c r="S28" s="236"/>
      <c r="T28" s="192"/>
    </row>
    <row r="29" spans="1:20" x14ac:dyDescent="0.35">
      <c r="A29" s="21">
        <v>8</v>
      </c>
      <c r="B29" s="1">
        <f xml:space="preserve"> IF('Master Player List'!$L18=2,'Master Player List'!$J18,"")</f>
        <v>7.6</v>
      </c>
      <c r="C29" s="1" t="str">
        <f xml:space="preserve"> IF('Master Player List'!L18=2,CONCATENATE('Master Player List'!C18," (",'Master Player List'!E18,")"),"")</f>
        <v>Purslow, Brock  (0)</v>
      </c>
      <c r="D29" s="1" t="str">
        <f xml:space="preserve"> IF('Master Player List'!L18=2,CONCATENATE('Master Player List'!F18," (",'Master Player List'!H18,")"),"")</f>
        <v>Thompson, Brad  (7.6)</v>
      </c>
      <c r="E29" s="89">
        <v>2400</v>
      </c>
      <c r="F29" s="110" t="s">
        <v>40</v>
      </c>
      <c r="G29" s="19"/>
      <c r="M29" s="18"/>
      <c r="N29" s="157"/>
      <c r="O29" s="19"/>
      <c r="P29" s="1"/>
      <c r="Q29" s="45"/>
      <c r="R29" s="1"/>
      <c r="S29" s="45"/>
      <c r="T29" s="1"/>
    </row>
    <row r="30" spans="1:20" ht="15" thickBot="1" x14ac:dyDescent="0.4">
      <c r="A30" s="21"/>
      <c r="D30" s="1" t="s">
        <v>28</v>
      </c>
      <c r="E30" s="89">
        <f>SUM(E22:E29)</f>
        <v>21000</v>
      </c>
      <c r="F30" s="110"/>
      <c r="G30" s="19"/>
    </row>
    <row r="31" spans="1:20" ht="21" x14ac:dyDescent="0.5">
      <c r="A31" s="265" t="s">
        <v>41</v>
      </c>
      <c r="B31" s="266"/>
      <c r="C31" s="266"/>
      <c r="D31" s="267"/>
      <c r="E31" s="253"/>
      <c r="F31" s="264"/>
      <c r="G31" s="19"/>
    </row>
    <row r="32" spans="1:20" ht="15" thickBot="1" x14ac:dyDescent="0.4">
      <c r="A32" s="27" t="s">
        <v>11</v>
      </c>
      <c r="B32" s="28" t="s">
        <v>12</v>
      </c>
      <c r="C32" s="28" t="s">
        <v>2</v>
      </c>
      <c r="D32" s="28" t="s">
        <v>13</v>
      </c>
      <c r="E32" s="116" t="s">
        <v>14</v>
      </c>
      <c r="F32" s="20" t="s">
        <v>15</v>
      </c>
      <c r="G32" s="19"/>
    </row>
    <row r="33" spans="1:20" ht="21.5" thickBot="1" x14ac:dyDescent="0.5">
      <c r="A33" s="21">
        <v>1</v>
      </c>
      <c r="B33" s="1">
        <f xml:space="preserve"> IF('Master Player List'!L19=3,'Master Player List'!I19,"")</f>
        <v>8.8000000000000007</v>
      </c>
      <c r="C33" s="1" t="str">
        <f xml:space="preserve"> IF('Master Player List'!L19=3,CONCATENATE('Master Player List'!C19," (",'Master Player List'!E19,")"),"")</f>
        <v>Esau, Nickolai  (+1)</v>
      </c>
      <c r="D33" s="1" t="str">
        <f xml:space="preserve"> IF('Master Player List'!L19=3,CONCATENATE('Master Player List'!F19," (",'Master Player List'!H19,")"),"")</f>
        <v>Esau, Rex  (9.8)</v>
      </c>
      <c r="E33" s="88">
        <v>1100</v>
      </c>
      <c r="F33" s="109" t="s">
        <v>32</v>
      </c>
      <c r="G33" s="19"/>
      <c r="H33" s="83" t="s">
        <v>42</v>
      </c>
      <c r="I33" s="137">
        <f>SUM(E33:E40)</f>
        <v>13400</v>
      </c>
      <c r="J33" s="137"/>
      <c r="K33" s="51"/>
      <c r="M33" s="134" t="s">
        <v>17</v>
      </c>
      <c r="N33" s="135"/>
      <c r="O33" s="135"/>
      <c r="P33" s="135"/>
      <c r="Q33" s="135"/>
      <c r="R33" s="135"/>
      <c r="S33" s="135"/>
      <c r="T33" s="136"/>
    </row>
    <row r="34" spans="1:20" ht="15" thickBot="1" x14ac:dyDescent="0.4">
      <c r="A34" s="21">
        <v>2</v>
      </c>
      <c r="B34" s="1">
        <f xml:space="preserve"> IF('Master Player List'!L20=3,'Master Player List'!I20,"")</f>
        <v>9</v>
      </c>
      <c r="C34" s="1" t="str">
        <f xml:space="preserve"> IF('Master Player List'!L20=3,CONCATENATE('Master Player List'!C20," (",'Master Player List'!E20,")"),"")</f>
        <v>Scott, Jonathan  (2.4)</v>
      </c>
      <c r="D34" s="1" t="str">
        <f xml:space="preserve"> IF('Master Player List'!L20=3,CONCATENATE('Master Player List'!F20," (",'Master Player List'!H20,")"),"")</f>
        <v>McGowan, Marshall  (6.6)</v>
      </c>
      <c r="E34" s="89">
        <v>1100</v>
      </c>
      <c r="F34" s="110" t="s">
        <v>43</v>
      </c>
      <c r="H34" s="141" t="s">
        <v>19</v>
      </c>
      <c r="I34" s="142"/>
      <c r="J34" s="142"/>
      <c r="K34" s="143"/>
      <c r="M34" s="167"/>
      <c r="N34" s="168"/>
      <c r="O34" s="271" t="s">
        <v>20</v>
      </c>
      <c r="P34" s="272"/>
      <c r="Q34" s="271" t="s">
        <v>21</v>
      </c>
      <c r="R34" s="272"/>
      <c r="S34" s="269" t="s">
        <v>22</v>
      </c>
      <c r="T34" s="270"/>
    </row>
    <row r="35" spans="1:20" x14ac:dyDescent="0.35">
      <c r="A35" s="21">
        <v>3</v>
      </c>
      <c r="B35" s="1">
        <f xml:space="preserve"> IF('Master Player List'!L21=3,'Master Player List'!I21,"")</f>
        <v>9.1</v>
      </c>
      <c r="C35" s="1" t="str">
        <f xml:space="preserve"> IF('Master Player List'!L21=3,CONCATENATE('Master Player List'!C21," (",'Master Player List'!E21,")"),"")</f>
        <v>Hill, Justin  (9.2)</v>
      </c>
      <c r="D35" s="1" t="str">
        <f xml:space="preserve"> IF('Master Player List'!L21=3,CONCATENATE('Master Player List'!F21," (",'Master Player List'!H21,")"),"")</f>
        <v>Bobbitt, Jason  (+0.1)</v>
      </c>
      <c r="E35" s="89">
        <v>1900</v>
      </c>
      <c r="F35" s="110" t="s">
        <v>27</v>
      </c>
      <c r="H35" s="129"/>
      <c r="I35" s="130"/>
      <c r="J35" s="131" t="s">
        <v>2</v>
      </c>
      <c r="K35" s="133" t="s">
        <v>3</v>
      </c>
      <c r="M35" s="169"/>
      <c r="N35" s="1"/>
      <c r="O35" s="237" t="s">
        <v>2</v>
      </c>
      <c r="P35" s="238" t="s">
        <v>3</v>
      </c>
      <c r="Q35" s="235" t="s">
        <v>2</v>
      </c>
      <c r="R35" s="118" t="s">
        <v>3</v>
      </c>
      <c r="S35" s="235" t="s">
        <v>2</v>
      </c>
      <c r="T35" s="170" t="s">
        <v>3</v>
      </c>
    </row>
    <row r="36" spans="1:20" x14ac:dyDescent="0.35">
      <c r="A36" s="21">
        <v>4</v>
      </c>
      <c r="B36" s="1">
        <f xml:space="preserve"> IF('Master Player List'!L22=3,'Master Player List'!I22,"")</f>
        <v>9.1999999999999993</v>
      </c>
      <c r="C36" s="1" t="str">
        <f xml:space="preserve"> IF('Master Player List'!L22=3,CONCATENATE('Master Player List'!C22," (",'Master Player List'!E22,")"),"")</f>
        <v>Ramirez, David  (3.5)</v>
      </c>
      <c r="D36" s="1" t="str">
        <f xml:space="preserve"> IF('Master Player List'!L22=3,CONCATENATE('Master Player List'!F22," (",'Master Player List'!H22,")"),"")</f>
        <v>May, Jason  (5.7)</v>
      </c>
      <c r="E36" s="89">
        <v>2100</v>
      </c>
      <c r="F36" s="110" t="s">
        <v>9</v>
      </c>
      <c r="H36" s="38" t="str">
        <f xml:space="preserve"> "1st (" &amp; (TEXT('Payout Calc'!$K$4, "0%")) &amp; ")"</f>
        <v>1st (50%)</v>
      </c>
      <c r="I36" s="102">
        <f>'Payout Calc'!L24</f>
        <v>4060</v>
      </c>
      <c r="J36" s="226"/>
      <c r="K36" s="117" t="e">
        <f>VLOOKUP(J36,'Master Player List'!$C$2:$N$82,12,0)</f>
        <v>#N/A</v>
      </c>
      <c r="M36" s="38" t="str">
        <f xml:space="preserve"> "1st (" &amp; (TEXT('Payout Calc'!$I$4, "0%")) &amp; ")"</f>
        <v>1st (50%)</v>
      </c>
      <c r="N36" s="102">
        <f>'Payout Calc'!L34</f>
        <v>725</v>
      </c>
      <c r="O36" s="226"/>
      <c r="P36" s="117" t="e">
        <f>VLOOKUP(O36,'Master Player List'!$C$2:$N$82,12,0)</f>
        <v>#N/A</v>
      </c>
      <c r="Q36" s="226"/>
      <c r="R36" s="117" t="e">
        <f>VLOOKUP(Q36,'Master Player List'!$C$2:$N$82,12,0)</f>
        <v>#N/A</v>
      </c>
      <c r="S36" s="226"/>
      <c r="T36" s="117" t="e">
        <f>VLOOKUP(S36,'Master Player List'!$C$2:$N$82,12,0)</f>
        <v>#N/A</v>
      </c>
    </row>
    <row r="37" spans="1:20" x14ac:dyDescent="0.35">
      <c r="A37" s="21">
        <v>5</v>
      </c>
      <c r="B37" s="1">
        <f xml:space="preserve"> IF('Master Player List'!L23=3,'Master Player List'!I23,"")</f>
        <v>9.5</v>
      </c>
      <c r="C37" s="1" t="str">
        <f xml:space="preserve"> IF('Master Player List'!L23=3,CONCATENATE('Master Player List'!C23," (",'Master Player List'!E23,")"),"")</f>
        <v>Kellner, Timothy  (1.5)</v>
      </c>
      <c r="D37" s="1" t="str">
        <f xml:space="preserve"> IF('Master Player List'!L23=3,CONCATENATE('Master Player List'!F23," (",'Master Player List'!H23,")"),"")</f>
        <v>Flinn, Kyle  (8)</v>
      </c>
      <c r="E37" s="89">
        <v>2100</v>
      </c>
      <c r="F37" s="110" t="s">
        <v>44</v>
      </c>
      <c r="H37" s="38" t="str">
        <f xml:space="preserve"> "2nd (" &amp; (TEXT('Payout Calc'!$K$5, "0%")) &amp; ")"</f>
        <v>2nd (30%)</v>
      </c>
      <c r="I37" s="102">
        <f>'Payout Calc'!L25</f>
        <v>2435</v>
      </c>
      <c r="J37" s="226" t="s">
        <v>45</v>
      </c>
      <c r="K37" s="117" t="str">
        <f>VLOOKUP(J37,'Master Player List'!$C$2:$N$82,12,0)</f>
        <v xml:space="preserve">Vidrine, Scot </v>
      </c>
      <c r="M37" s="38" t="str">
        <f xml:space="preserve"> "2nd (" &amp; (TEXT('Payout Calc'!$I$5, "0%")) &amp; ")"</f>
        <v>2nd (30%)</v>
      </c>
      <c r="N37" s="102">
        <f>'Payout Calc'!L35</f>
        <v>435</v>
      </c>
      <c r="O37" s="226"/>
      <c r="P37" s="117" t="e">
        <f>VLOOKUP(O37,'Master Player List'!$C$2:$N$82,12,0)</f>
        <v>#N/A</v>
      </c>
      <c r="Q37" s="226"/>
      <c r="R37" s="117" t="e">
        <f>VLOOKUP(Q37,'Master Player List'!$C$2:$N$82,12,0)</f>
        <v>#N/A</v>
      </c>
      <c r="S37" s="226"/>
      <c r="T37" s="117" t="e">
        <f>VLOOKUP(S37,'Master Player List'!$C$2:$N$82,12,0)</f>
        <v>#N/A</v>
      </c>
    </row>
    <row r="38" spans="1:20" x14ac:dyDescent="0.35">
      <c r="A38" s="21">
        <v>6</v>
      </c>
      <c r="B38" s="1">
        <f xml:space="preserve"> IF('Master Player List'!L24=3,'Master Player List'!I24,"")</f>
        <v>9.6999999999999993</v>
      </c>
      <c r="C38" s="1" t="str">
        <f xml:space="preserve"> IF('Master Player List'!L24=3,CONCATENATE('Master Player List'!C24," (",'Master Player List'!E24,")"),"")</f>
        <v>Kromis, Daniel  (4.5)</v>
      </c>
      <c r="D38" s="1" t="str">
        <f xml:space="preserve"> IF('Master Player List'!L24=3,CONCATENATE('Master Player List'!F24," (",'Master Player List'!H24,")"),"")</f>
        <v>Wilson, David  (5.2)</v>
      </c>
      <c r="E38" s="89">
        <v>1800</v>
      </c>
      <c r="F38" s="110" t="s">
        <v>46</v>
      </c>
      <c r="H38" s="38" t="str">
        <f xml:space="preserve"> "3rd (" &amp; (TEXT('Payout Calc'!$K$6, "0%")) &amp; ")"</f>
        <v>3rd (20%)</v>
      </c>
      <c r="I38" s="102">
        <f>'Payout Calc'!L26</f>
        <v>1625</v>
      </c>
      <c r="J38" s="226"/>
      <c r="K38" s="117" t="e">
        <f>VLOOKUP(J38,'Master Player List'!$C$2:$N$82,12,0)</f>
        <v>#N/A</v>
      </c>
      <c r="M38" s="38" t="str">
        <f xml:space="preserve"> "3rd (" &amp; (TEXT('Payout Calc'!$I$6, "0%")) &amp; ")"</f>
        <v>3rd (20%)</v>
      </c>
      <c r="N38" s="102">
        <f>'Payout Calc'!L36</f>
        <v>290</v>
      </c>
      <c r="O38" s="226" t="s">
        <v>43</v>
      </c>
      <c r="P38" s="117" t="str">
        <f>VLOOKUP(O38,'Master Player List'!$C$2:$N$82,12,0)</f>
        <v xml:space="preserve">Scott, Jonathan </v>
      </c>
      <c r="Q38" s="226"/>
      <c r="R38" s="117" t="e">
        <f>VLOOKUP(Q38,'Master Player List'!$C$2:$N$82,12,0)</f>
        <v>#N/A</v>
      </c>
      <c r="S38" s="226"/>
      <c r="T38" s="117" t="e">
        <f>VLOOKUP(S38,'Master Player List'!$C$2:$N$82,12,0)</f>
        <v>#N/A</v>
      </c>
    </row>
    <row r="39" spans="1:20" x14ac:dyDescent="0.35">
      <c r="A39" s="21">
        <v>7</v>
      </c>
      <c r="B39" s="1">
        <f xml:space="preserve"> IF('Master Player List'!L25=3,'Master Player List'!I25,"")</f>
        <v>10.3</v>
      </c>
      <c r="C39" s="1" t="str">
        <f xml:space="preserve"> IF('Master Player List'!L25=3,CONCATENATE('Master Player List'!C25," (",'Master Player List'!E25,")"),"")</f>
        <v>Sherman, Michael  (7.5)</v>
      </c>
      <c r="D39" s="1" t="str">
        <f xml:space="preserve"> IF('Master Player List'!L25=3,CONCATENATE('Master Player List'!F25," (",'Master Player List'!H25,")"),"")</f>
        <v>Elvers, Nate  (2.8)</v>
      </c>
      <c r="E39" s="89">
        <v>1900</v>
      </c>
      <c r="F39" s="110" t="s">
        <v>30</v>
      </c>
      <c r="H39" s="40"/>
      <c r="I39" s="161"/>
      <c r="J39" s="162"/>
      <c r="K39" s="160"/>
      <c r="M39" s="172"/>
      <c r="N39" s="240"/>
      <c r="O39" s="239"/>
      <c r="P39" s="160"/>
      <c r="Q39" s="236"/>
      <c r="R39" s="190"/>
      <c r="S39" s="191"/>
      <c r="T39" s="192"/>
    </row>
    <row r="40" spans="1:20" x14ac:dyDescent="0.35">
      <c r="A40" s="21">
        <v>8</v>
      </c>
      <c r="B40" s="1">
        <f xml:space="preserve"> IF('Master Player List'!L26=3,'Master Player List'!I26,"")</f>
        <v>10.3</v>
      </c>
      <c r="C40" s="1" t="str">
        <f xml:space="preserve"> IF('Master Player List'!L26=3,CONCATENATE('Master Player List'!C26," (",'Master Player List'!E26,")"),"")</f>
        <v>Jones, Jason  (4.9)</v>
      </c>
      <c r="D40" s="1" t="str">
        <f xml:space="preserve"> IF('Master Player List'!L26=3,CONCATENATE('Master Player List'!F26," (",'Master Player List'!H26,")"),"")</f>
        <v>Qualls, Michael  (5.4)</v>
      </c>
      <c r="E40" s="89">
        <v>1400</v>
      </c>
      <c r="F40" s="110" t="s">
        <v>36</v>
      </c>
      <c r="M40" s="18"/>
      <c r="N40" s="157"/>
      <c r="O40" s="19"/>
      <c r="P40" s="1"/>
      <c r="Q40" s="45"/>
      <c r="R40" s="1"/>
      <c r="S40" s="45"/>
      <c r="T40" s="1"/>
    </row>
    <row r="41" spans="1:20" ht="15" thickBot="1" x14ac:dyDescent="0.4">
      <c r="A41" s="21"/>
      <c r="D41" s="1" t="s">
        <v>28</v>
      </c>
      <c r="E41" s="89">
        <f>SUM(E33:E40)</f>
        <v>13400</v>
      </c>
      <c r="F41" s="110"/>
      <c r="M41" s="18"/>
      <c r="N41" s="157"/>
      <c r="P41" s="1"/>
      <c r="Q41" s="19"/>
      <c r="R41" s="1"/>
      <c r="S41" s="19"/>
      <c r="T41" s="1"/>
    </row>
    <row r="42" spans="1:20" ht="21" x14ac:dyDescent="0.5">
      <c r="A42" s="265" t="s">
        <v>47</v>
      </c>
      <c r="B42" s="266"/>
      <c r="C42" s="266"/>
      <c r="D42" s="267"/>
      <c r="E42" s="253"/>
      <c r="F42" s="264"/>
    </row>
    <row r="43" spans="1:20" ht="15" thickBot="1" x14ac:dyDescent="0.4">
      <c r="A43" s="27" t="s">
        <v>11</v>
      </c>
      <c r="B43" s="28" t="s">
        <v>12</v>
      </c>
      <c r="C43" s="28" t="s">
        <v>2</v>
      </c>
      <c r="D43" s="28" t="s">
        <v>13</v>
      </c>
      <c r="E43" s="27" t="s">
        <v>14</v>
      </c>
      <c r="F43" s="29" t="s">
        <v>15</v>
      </c>
    </row>
    <row r="44" spans="1:20" ht="21.5" thickBot="1" x14ac:dyDescent="0.5">
      <c r="A44" s="21">
        <v>1</v>
      </c>
      <c r="B44" s="1">
        <f xml:space="preserve"> IF('Master Player List'!L27=4,'Master Player List'!I27,"")</f>
        <v>10.4</v>
      </c>
      <c r="C44" s="1" t="str">
        <f xml:space="preserve"> IF('Master Player List'!L27=4,CONCATENATE('Master Player List'!C27," (",'Master Player List'!E27,")"),"")</f>
        <v>Brymer, Cory  (4.4)</v>
      </c>
      <c r="D44" s="1" t="str">
        <f xml:space="preserve"> IF('Master Player List'!L27=4,CONCATENATE('Master Player List'!F27," (",'Master Player List'!H27,")"),"")</f>
        <v>Manas, Shane  (6)</v>
      </c>
      <c r="E44" s="89">
        <v>1900</v>
      </c>
      <c r="F44" s="110" t="s">
        <v>48</v>
      </c>
      <c r="H44" s="83" t="s">
        <v>49</v>
      </c>
      <c r="I44" s="137">
        <f>SUM(E44:E51)</f>
        <v>19500</v>
      </c>
      <c r="J44" s="137"/>
      <c r="K44" s="51"/>
      <c r="L44" s="37"/>
      <c r="M44" s="134" t="s">
        <v>17</v>
      </c>
      <c r="N44" s="135"/>
      <c r="O44" s="135"/>
      <c r="P44" s="135"/>
      <c r="Q44" s="135"/>
      <c r="R44" s="135"/>
      <c r="S44" s="135"/>
      <c r="T44" s="136"/>
    </row>
    <row r="45" spans="1:20" ht="15" thickBot="1" x14ac:dyDescent="0.4">
      <c r="A45" s="21">
        <v>2</v>
      </c>
      <c r="B45" s="1">
        <f xml:space="preserve"> IF('Master Player List'!L28=4,'Master Player List'!I28,"")</f>
        <v>10.399999999999999</v>
      </c>
      <c r="C45" s="1" t="str">
        <f xml:space="preserve"> IF('Master Player List'!L28=4,CONCATENATE('Master Player List'!C28," (",'Master Player List'!E28,")"),"")</f>
        <v>Ledet, Jim  (4.6)</v>
      </c>
      <c r="D45" s="1" t="str">
        <f xml:space="preserve"> IF('Master Player List'!L28=4,CONCATENATE('Master Player List'!F28," (",'Master Player List'!H28,")"),"")</f>
        <v>Doucet, Jamie  (5.8)</v>
      </c>
      <c r="E45" s="89">
        <v>5100</v>
      </c>
      <c r="F45" s="110" t="s">
        <v>9</v>
      </c>
      <c r="H45" s="138" t="s">
        <v>19</v>
      </c>
      <c r="I45" s="139"/>
      <c r="J45" s="139"/>
      <c r="K45" s="140"/>
      <c r="L45" s="37"/>
      <c r="M45" s="167"/>
      <c r="N45" s="168"/>
      <c r="O45" s="271" t="s">
        <v>20</v>
      </c>
      <c r="P45" s="272"/>
      <c r="Q45" s="271" t="s">
        <v>21</v>
      </c>
      <c r="R45" s="272"/>
      <c r="S45" s="269" t="s">
        <v>22</v>
      </c>
      <c r="T45" s="270"/>
    </row>
    <row r="46" spans="1:20" x14ac:dyDescent="0.35">
      <c r="A46" s="21">
        <v>3</v>
      </c>
      <c r="B46" s="1">
        <f xml:space="preserve"> IF('Master Player List'!L29=4,'Master Player List'!I29,"")</f>
        <v>10.600000000000001</v>
      </c>
      <c r="C46" s="1" t="str">
        <f xml:space="preserve"> IF('Master Player List'!L29=4,CONCATENATE('Master Player List'!C29," (",'Master Player List'!E29,")"),"")</f>
        <v>Nugent, Tim  (6.9)</v>
      </c>
      <c r="D46" s="1" t="str">
        <f xml:space="preserve"> IF('Master Player List'!L29=4,CONCATENATE('Master Player List'!F29," (",'Master Player List'!H29,")"),"")</f>
        <v>Williams, Jeff  (3.7)</v>
      </c>
      <c r="E46" s="89">
        <v>1600</v>
      </c>
      <c r="F46" s="110" t="s">
        <v>44</v>
      </c>
      <c r="H46" s="129"/>
      <c r="I46" s="130"/>
      <c r="J46" s="131" t="s">
        <v>2</v>
      </c>
      <c r="K46" s="133" t="s">
        <v>3</v>
      </c>
      <c r="L46" s="3"/>
      <c r="M46" s="169"/>
      <c r="N46" s="1"/>
      <c r="O46" s="237" t="s">
        <v>2</v>
      </c>
      <c r="P46" s="238" t="s">
        <v>3</v>
      </c>
      <c r="Q46" s="235" t="s">
        <v>2</v>
      </c>
      <c r="R46" s="118" t="s">
        <v>3</v>
      </c>
      <c r="S46" s="235" t="s">
        <v>2</v>
      </c>
      <c r="T46" s="170" t="s">
        <v>3</v>
      </c>
    </row>
    <row r="47" spans="1:20" x14ac:dyDescent="0.35">
      <c r="A47" s="21">
        <v>4</v>
      </c>
      <c r="B47" s="1">
        <f xml:space="preserve"> IF('Master Player List'!L30=4,'Master Player List'!I30,"")</f>
        <v>10.8</v>
      </c>
      <c r="C47" s="1" t="str">
        <f xml:space="preserve"> IF('Master Player List'!L30=4,CONCATENATE('Master Player List'!C30," (",'Master Player List'!E30,")"),"")</f>
        <v>Dietz, Jeffrey  (5.2)</v>
      </c>
      <c r="D47" s="1" t="str">
        <f xml:space="preserve"> IF('Master Player List'!L30=4,CONCATENATE('Master Player List'!F30," (",'Master Player List'!H30,")"),"")</f>
        <v>Morris, Brian  (5.6)</v>
      </c>
      <c r="E47" s="89">
        <v>3600</v>
      </c>
      <c r="F47" s="110" t="s">
        <v>9</v>
      </c>
      <c r="H47" s="38" t="str">
        <f xml:space="preserve"> "1st (" &amp; (TEXT('Payout Calc'!$K$4, "0%")) &amp; ")"</f>
        <v>1st (50%)</v>
      </c>
      <c r="I47" s="102">
        <f>'Payout Calc'!P24</f>
        <v>5925</v>
      </c>
      <c r="J47" s="119" t="s">
        <v>50</v>
      </c>
      <c r="K47" s="117" t="str">
        <f>VLOOKUP(J47,'Master Player List'!$C$2:$N$82,12,0)</f>
        <v xml:space="preserve">Aghazadeh, Abdol </v>
      </c>
      <c r="M47" s="38" t="str">
        <f xml:space="preserve"> "1st (" &amp; (TEXT('Payout Calc'!$I$4, "0%")) &amp; ")"</f>
        <v>1st (50%)</v>
      </c>
      <c r="N47" s="102">
        <f>'Payout Calc'!P34</f>
        <v>1060</v>
      </c>
      <c r="O47" s="119"/>
      <c r="P47" s="117" t="e">
        <f>VLOOKUP(O47,'Master Player List'!$C$2:$N$82,12,0)</f>
        <v>#N/A</v>
      </c>
      <c r="Q47" s="119"/>
      <c r="R47" s="117" t="e">
        <f>VLOOKUP(Q47,'Master Player List'!$C$2:$N$82,12,0)</f>
        <v>#N/A</v>
      </c>
      <c r="S47" s="119"/>
      <c r="T47" s="117" t="e">
        <f>VLOOKUP(S47,'Master Player List'!$C$2:$N$82,12,0)</f>
        <v>#N/A</v>
      </c>
    </row>
    <row r="48" spans="1:20" x14ac:dyDescent="0.35">
      <c r="A48" s="21">
        <v>5</v>
      </c>
      <c r="B48" s="1">
        <f xml:space="preserve"> IF('Master Player List'!L31=4,'Master Player List'!I31,"")</f>
        <v>11</v>
      </c>
      <c r="C48" s="1" t="str">
        <f xml:space="preserve"> IF('Master Player List'!L31=4,CONCATENATE('Master Player List'!C31," (",'Master Player List'!E31,")"),"")</f>
        <v>Tionloc, Alex  (6)</v>
      </c>
      <c r="D48" s="1" t="str">
        <f xml:space="preserve"> IF('Master Player List'!L31=4,CONCATENATE('Master Player List'!F31," (",'Master Player List'!H31,")"),"")</f>
        <v>Hicks, Clay  (5)</v>
      </c>
      <c r="E48" s="89">
        <v>2000</v>
      </c>
      <c r="F48" s="110" t="s">
        <v>27</v>
      </c>
      <c r="H48" s="38" t="str">
        <f xml:space="preserve"> "2nd (" &amp; (TEXT('Payout Calc'!$K$5, "0%")) &amp; ")"</f>
        <v>2nd (30%)</v>
      </c>
      <c r="I48" s="102">
        <f>'Payout Calc'!P25</f>
        <v>3555</v>
      </c>
      <c r="J48" s="119" t="s">
        <v>51</v>
      </c>
      <c r="K48" s="117" t="str">
        <f>VLOOKUP(J48,'Master Player List'!$C$2:$N$82,12,0)</f>
        <v xml:space="preserve">Vidrine, Scot </v>
      </c>
      <c r="M48" s="38" t="str">
        <f xml:space="preserve"> "2nd (" &amp; (TEXT('Payout Calc'!$I$5, "0%")) &amp; ")"</f>
        <v>2nd (30%)</v>
      </c>
      <c r="N48" s="102">
        <f>'Payout Calc'!P35</f>
        <v>635</v>
      </c>
      <c r="O48" s="119"/>
      <c r="P48" s="117" t="e">
        <f>VLOOKUP(O48,'Master Player List'!$C$2:$N$82,12,0)</f>
        <v>#N/A</v>
      </c>
      <c r="Q48" s="119"/>
      <c r="R48" s="117" t="e">
        <f>VLOOKUP(Q48,'Master Player List'!$C$2:$N$82,12,0)</f>
        <v>#N/A</v>
      </c>
      <c r="S48" s="119"/>
      <c r="T48" s="117" t="e">
        <f>VLOOKUP(S48,'Master Player List'!$C$2:$N$82,12,0)</f>
        <v>#N/A</v>
      </c>
    </row>
    <row r="49" spans="1:20" x14ac:dyDescent="0.35">
      <c r="A49" s="21">
        <v>6</v>
      </c>
      <c r="B49" s="1">
        <f xml:space="preserve"> IF('Master Player List'!L32=4,'Master Player List'!I32,"")</f>
        <v>11.8</v>
      </c>
      <c r="C49" s="1" t="str">
        <f xml:space="preserve"> IF('Master Player List'!L32=4,CONCATENATE('Master Player List'!C32," (",'Master Player List'!E32,")"),"")</f>
        <v>Redding, Scott  (5.8)</v>
      </c>
      <c r="D49" s="1" t="str">
        <f xml:space="preserve"> IF('Master Player List'!L32=4,CONCATENATE('Master Player List'!F32," (",'Master Player List'!H32,")"),"")</f>
        <v>Redding, David  (6)</v>
      </c>
      <c r="E49" s="89">
        <v>1600</v>
      </c>
      <c r="F49" s="110" t="s">
        <v>44</v>
      </c>
      <c r="H49" s="38" t="str">
        <f xml:space="preserve"> "3rd (" &amp; (TEXT('Payout Calc'!$K$6, "0%")) &amp; ")"</f>
        <v>3rd (20%)</v>
      </c>
      <c r="I49" s="102">
        <f>'Payout Calc'!P26</f>
        <v>2370</v>
      </c>
      <c r="J49" s="119" t="s">
        <v>52</v>
      </c>
      <c r="K49" s="117" t="str">
        <f>VLOOKUP(J49,'Master Player List'!$C$2:$N$82,12,0)</f>
        <v xml:space="preserve">Vaughn, Earl </v>
      </c>
      <c r="M49" s="38" t="str">
        <f xml:space="preserve"> "3rd (" &amp; (TEXT('Payout Calc'!$I$6, "0%")) &amp; ")"</f>
        <v>3rd (20%)</v>
      </c>
      <c r="N49" s="102">
        <f>'Payout Calc'!P36</f>
        <v>425</v>
      </c>
      <c r="O49" s="119"/>
      <c r="P49" s="117" t="e">
        <f>VLOOKUP(O49,'Master Player List'!$C$2:$N$82,12,0)</f>
        <v>#N/A</v>
      </c>
      <c r="Q49" s="119"/>
      <c r="R49" s="117" t="e">
        <f>VLOOKUP(Q49,'Master Player List'!$C$2:$N$82,12,0)</f>
        <v>#N/A</v>
      </c>
      <c r="S49" s="119"/>
      <c r="T49" s="117" t="e">
        <f>VLOOKUP(S49,'Master Player List'!$C$2:$N$82,12,0)</f>
        <v>#N/A</v>
      </c>
    </row>
    <row r="50" spans="1:20" x14ac:dyDescent="0.35">
      <c r="A50" s="21">
        <v>7</v>
      </c>
      <c r="B50" s="1">
        <f xml:space="preserve"> IF('Master Player List'!L33=4,'Master Player List'!I33,"")</f>
        <v>12</v>
      </c>
      <c r="C50" s="1" t="str">
        <f xml:space="preserve"> IF('Master Player List'!L33=4,CONCATENATE('Master Player List'!C33," (",'Master Player List'!E33,")"),"")</f>
        <v>Waclawsky, Paul  (3.7)</v>
      </c>
      <c r="D50" s="1" t="str">
        <f xml:space="preserve"> IF('Master Player List'!L33=4,CONCATENATE('Master Player List'!F33," (",'Master Player List'!H33,")"),"")</f>
        <v>Anderson, John  (8.3)</v>
      </c>
      <c r="E50" s="89">
        <v>1600</v>
      </c>
      <c r="F50" s="110" t="s">
        <v>9</v>
      </c>
      <c r="H50" s="40"/>
      <c r="I50" s="161"/>
      <c r="J50" s="162"/>
      <c r="K50" s="160"/>
      <c r="M50" s="172"/>
      <c r="N50" s="240"/>
      <c r="O50" s="239"/>
      <c r="P50" s="160"/>
      <c r="Q50" s="236"/>
      <c r="R50" s="190"/>
      <c r="S50" s="191"/>
      <c r="T50" s="192"/>
    </row>
    <row r="51" spans="1:20" x14ac:dyDescent="0.35">
      <c r="A51" s="21">
        <v>8</v>
      </c>
      <c r="B51" s="1">
        <f xml:space="preserve"> IF('Master Player List'!L34=4,'Master Player List'!I34,"")</f>
        <v>12.3</v>
      </c>
      <c r="C51" s="1" t="str">
        <f xml:space="preserve"> IF('Master Player List'!L34=4,CONCATENATE('Master Player List'!C34," (",'Master Player List'!E34,")"),"")</f>
        <v>Erickson, Nick  (+0.1)</v>
      </c>
      <c r="D51" s="1" t="str">
        <f xml:space="preserve"> IF('Master Player List'!L34=4,CONCATENATE('Master Player List'!F34," (",'Master Player List'!H34,")"),"")</f>
        <v>Erickson, Michael  (12.4)</v>
      </c>
      <c r="E51" s="89">
        <v>2100</v>
      </c>
      <c r="F51" s="110" t="s">
        <v>53</v>
      </c>
      <c r="M51" s="18"/>
      <c r="N51" s="157"/>
      <c r="O51" s="19"/>
      <c r="P51" s="1"/>
      <c r="Q51" s="45"/>
      <c r="R51" s="1"/>
      <c r="S51" s="45"/>
      <c r="T51" s="1"/>
    </row>
    <row r="52" spans="1:20" ht="15" thickBot="1" x14ac:dyDescent="0.4">
      <c r="A52" s="21"/>
      <c r="D52" s="1" t="s">
        <v>28</v>
      </c>
      <c r="E52" s="89">
        <f>SUM(E44:E51)</f>
        <v>19500</v>
      </c>
      <c r="F52" s="110"/>
      <c r="M52" s="18"/>
      <c r="N52" s="157"/>
      <c r="P52" s="1"/>
      <c r="Q52" s="19"/>
      <c r="R52" s="1"/>
      <c r="S52" s="19"/>
      <c r="T52" s="1"/>
    </row>
    <row r="53" spans="1:20" ht="21" x14ac:dyDescent="0.5">
      <c r="A53" s="265" t="s">
        <v>54</v>
      </c>
      <c r="B53" s="266"/>
      <c r="C53" s="266"/>
      <c r="D53" s="267"/>
      <c r="E53" s="253"/>
      <c r="F53" s="264"/>
    </row>
    <row r="54" spans="1:20" ht="15" thickBot="1" x14ac:dyDescent="0.4">
      <c r="A54" s="27" t="s">
        <v>11</v>
      </c>
      <c r="B54" s="28" t="s">
        <v>12</v>
      </c>
      <c r="C54" s="28" t="s">
        <v>2</v>
      </c>
      <c r="D54" s="28" t="s">
        <v>13</v>
      </c>
      <c r="E54" s="27" t="s">
        <v>14</v>
      </c>
      <c r="F54" s="29" t="s">
        <v>15</v>
      </c>
    </row>
    <row r="55" spans="1:20" ht="21.5" thickBot="1" x14ac:dyDescent="0.5">
      <c r="A55" s="21">
        <v>1</v>
      </c>
      <c r="B55" s="1">
        <f xml:space="preserve"> IF('Master Player List'!L35=5,'Master Player List'!I35,"")</f>
        <v>12.5</v>
      </c>
      <c r="C55" s="1" t="str">
        <f xml:space="preserve"> IF('Master Player List'!L35=5,CONCATENATE('Master Player List'!C35," (",'Master Player List'!E35,")"),"")</f>
        <v>Scott, Paul  (11)</v>
      </c>
      <c r="D55" s="1" t="str">
        <f xml:space="preserve"> IF('Master Player List'!L35=5,CONCATENATE('Master Player List'!F35," (",'Master Player List'!H35,")"),"")</f>
        <v>Stopnik, Sean  (1.5)</v>
      </c>
      <c r="E55" s="89">
        <v>2000</v>
      </c>
      <c r="F55" s="110" t="s">
        <v>55</v>
      </c>
      <c r="H55" s="83" t="s">
        <v>56</v>
      </c>
      <c r="I55" s="137">
        <f>SUM(E55:E62)</f>
        <v>12000</v>
      </c>
      <c r="J55" s="137"/>
      <c r="K55" s="51"/>
      <c r="M55" s="134" t="s">
        <v>17</v>
      </c>
      <c r="N55" s="135"/>
      <c r="O55" s="135"/>
      <c r="P55" s="135"/>
      <c r="Q55" s="135"/>
      <c r="R55" s="135"/>
      <c r="S55" s="135"/>
      <c r="T55" s="136"/>
    </row>
    <row r="56" spans="1:20" ht="15" thickBot="1" x14ac:dyDescent="0.4">
      <c r="A56" s="21">
        <v>2</v>
      </c>
      <c r="B56" s="1">
        <f xml:space="preserve"> IF('Master Player List'!L36=5,'Master Player List'!I36,"")</f>
        <v>12.8</v>
      </c>
      <c r="C56" s="1" t="str">
        <f xml:space="preserve"> IF('Master Player List'!L36=5,CONCATENATE('Master Player List'!C36," (",'Master Player List'!E36,")"),"")</f>
        <v>Marusco, Austin  (9.1)</v>
      </c>
      <c r="D56" s="1" t="str">
        <f xml:space="preserve"> IF('Master Player List'!L36=5,CONCATENATE('Master Player List'!F36," (",'Master Player List'!H36,")"),"")</f>
        <v>Joyce, Brendan  (3.7)</v>
      </c>
      <c r="E56" s="89">
        <v>1900</v>
      </c>
      <c r="F56" s="110" t="s">
        <v>57</v>
      </c>
      <c r="H56" s="138" t="s">
        <v>19</v>
      </c>
      <c r="I56" s="139"/>
      <c r="J56" s="139"/>
      <c r="K56" s="140"/>
      <c r="M56" s="167"/>
      <c r="N56" s="168"/>
      <c r="O56" s="271" t="s">
        <v>20</v>
      </c>
      <c r="P56" s="272"/>
      <c r="Q56" s="271" t="s">
        <v>21</v>
      </c>
      <c r="R56" s="272"/>
      <c r="S56" s="269" t="s">
        <v>22</v>
      </c>
      <c r="T56" s="270"/>
    </row>
    <row r="57" spans="1:20" x14ac:dyDescent="0.35">
      <c r="A57" s="21">
        <v>3</v>
      </c>
      <c r="B57" s="1">
        <f xml:space="preserve"> IF('Master Player List'!L37=5,'Master Player List'!I37,"")</f>
        <v>12.899999999999999</v>
      </c>
      <c r="C57" s="1" t="str">
        <f xml:space="preserve"> IF('Master Player List'!L37=5,CONCATENATE('Master Player List'!C37," (",'Master Player List'!E37,")"),"")</f>
        <v>Butler, Gregory  (7.1)</v>
      </c>
      <c r="D57" s="1" t="str">
        <f xml:space="preserve"> IF('Master Player List'!L37=5,CONCATENATE('Master Player List'!F37," (",'Master Player List'!H37,")"),"")</f>
        <v>Butler, Jonathan  (5.8)</v>
      </c>
      <c r="E57" s="89">
        <v>1100</v>
      </c>
      <c r="F57" s="110" t="s">
        <v>58</v>
      </c>
      <c r="H57" s="129"/>
      <c r="I57" s="130"/>
      <c r="J57" s="131" t="s">
        <v>2</v>
      </c>
      <c r="K57" s="133" t="s">
        <v>3</v>
      </c>
      <c r="M57" s="169"/>
      <c r="N57" s="1"/>
      <c r="O57" s="237" t="s">
        <v>2</v>
      </c>
      <c r="P57" s="238" t="s">
        <v>3</v>
      </c>
      <c r="Q57" s="235" t="s">
        <v>2</v>
      </c>
      <c r="R57" s="118" t="s">
        <v>3</v>
      </c>
      <c r="S57" s="235" t="s">
        <v>2</v>
      </c>
      <c r="T57" s="170" t="s">
        <v>3</v>
      </c>
    </row>
    <row r="58" spans="1:20" x14ac:dyDescent="0.35">
      <c r="A58" s="21">
        <v>4</v>
      </c>
      <c r="B58" s="1">
        <f xml:space="preserve"> IF('Master Player List'!L38=5,'Master Player List'!I38,"")</f>
        <v>13.2</v>
      </c>
      <c r="C58" s="1" t="str">
        <f xml:space="preserve"> IF('Master Player List'!L38=5,CONCATENATE('Master Player List'!C38," (",'Master Player List'!E38,")"),"")</f>
        <v>Drain, Zip  (8)</v>
      </c>
      <c r="D58" s="1" t="str">
        <f xml:space="preserve"> IF('Master Player List'!L38=5,CONCATENATE('Master Player List'!F38," (",'Master Player List'!H38,")"),"")</f>
        <v>Lange, Mark  (5.2)</v>
      </c>
      <c r="E58" s="89">
        <v>1400</v>
      </c>
      <c r="F58" s="110" t="s">
        <v>59</v>
      </c>
      <c r="H58" s="38" t="str">
        <f xml:space="preserve"> "1st (" &amp; (TEXT('Payout Calc'!$K$4, "0%")) &amp; ")"</f>
        <v>1st (50%)</v>
      </c>
      <c r="I58" s="102">
        <f>'Payout Calc'!T24</f>
        <v>3635</v>
      </c>
      <c r="J58" s="119" t="s">
        <v>59</v>
      </c>
      <c r="K58" s="117" t="str">
        <f>VLOOKUP(J58,'Master Player List'!$C$2:$N$82,12,0)</f>
        <v xml:space="preserve">Capone, Michael </v>
      </c>
      <c r="M58" s="165" t="str">
        <f xml:space="preserve"> "1st (" &amp; (TEXT('Payout Calc'!$I$4, "0%")) &amp; ")"</f>
        <v>1st (50%)</v>
      </c>
      <c r="N58" s="102">
        <f>'Payout Calc'!T34</f>
        <v>650</v>
      </c>
      <c r="O58" s="119" t="s">
        <v>59</v>
      </c>
      <c r="P58" s="117" t="str">
        <f>VLOOKUP(O58,'Master Player List'!$C$2:$N$82,12,0)</f>
        <v xml:space="preserve">Capone, Michael </v>
      </c>
      <c r="Q58" s="119"/>
      <c r="R58" s="117" t="e">
        <f>VLOOKUP(Q58,'Master Player List'!$C$2:$N$82,12,0)</f>
        <v>#N/A</v>
      </c>
      <c r="S58" s="119"/>
      <c r="T58" s="117" t="e">
        <f>VLOOKUP(S58,'Master Player List'!$C$2:$N$82,12,0)</f>
        <v>#N/A</v>
      </c>
    </row>
    <row r="59" spans="1:20" x14ac:dyDescent="0.35">
      <c r="A59" s="21">
        <v>5</v>
      </c>
      <c r="B59" s="1">
        <f xml:space="preserve"> IF('Master Player List'!L39=5,'Master Player List'!I39,"")</f>
        <v>13.3</v>
      </c>
      <c r="C59" s="1" t="str">
        <f xml:space="preserve"> IF('Master Player List'!L39=5,CONCATENATE('Master Player List'!C39," (",'Master Player List'!E39,")"),"")</f>
        <v>Turner, Trevor  (4)</v>
      </c>
      <c r="D59" s="1" t="str">
        <f xml:space="preserve"> IF('Master Player List'!L39=5,CONCATENATE('Master Player List'!F39," (",'Master Player List'!H39,")"),"")</f>
        <v>Sherman, John  (9.3)</v>
      </c>
      <c r="E59" s="89">
        <v>1400</v>
      </c>
      <c r="F59" s="110" t="s">
        <v>36</v>
      </c>
      <c r="H59" s="38" t="str">
        <f xml:space="preserve"> "2nd (" &amp; (TEXT('Payout Calc'!$K$5, "0%")) &amp; ")"</f>
        <v>2nd (30%)</v>
      </c>
      <c r="I59" s="102">
        <f>'Payout Calc'!T25</f>
        <v>2180</v>
      </c>
      <c r="J59" s="119" t="s">
        <v>60</v>
      </c>
      <c r="K59" s="117" t="str">
        <f>VLOOKUP(J59,'Master Player List'!$C$2:$N$82,12,0)</f>
        <v xml:space="preserve">Fulmer, Austen </v>
      </c>
      <c r="M59" s="165" t="str">
        <f xml:space="preserve"> "2nd (" &amp; (TEXT('Payout Calc'!$I$5, "0%")) &amp; ")"</f>
        <v>2nd (30%)</v>
      </c>
      <c r="N59" s="102">
        <f>'Payout Calc'!T35</f>
        <v>390</v>
      </c>
      <c r="O59" s="119"/>
      <c r="P59" s="117" t="e">
        <f>VLOOKUP(O59,'Master Player List'!$C$2:$N$82,12,0)</f>
        <v>#N/A</v>
      </c>
      <c r="Q59" s="119"/>
      <c r="R59" s="117" t="e">
        <f>VLOOKUP(Q59,'Master Player List'!$C$2:$N$82,12,0)</f>
        <v>#N/A</v>
      </c>
      <c r="S59" s="119"/>
      <c r="T59" s="117" t="e">
        <f>VLOOKUP(S59,'Master Player List'!$C$2:$N$82,12,0)</f>
        <v>#N/A</v>
      </c>
    </row>
    <row r="60" spans="1:20" x14ac:dyDescent="0.35">
      <c r="A60" s="21">
        <v>6</v>
      </c>
      <c r="B60" s="1">
        <f xml:space="preserve"> IF('Master Player List'!L40=5,'Master Player List'!I40,"")</f>
        <v>13.5</v>
      </c>
      <c r="C60" s="1" t="str">
        <f xml:space="preserve"> IF('Master Player List'!L40=5,CONCATENATE('Master Player List'!C40," (",'Master Player List'!E40,")"),"")</f>
        <v>Spisak, Brian  (6.9)</v>
      </c>
      <c r="D60" s="1" t="str">
        <f xml:space="preserve"> IF('Master Player List'!L40=5,CONCATENATE('Master Player List'!F40," (",'Master Player List'!H40,")"),"")</f>
        <v>Haarberg, Casey  (6.6)</v>
      </c>
      <c r="E60" s="89">
        <v>1300</v>
      </c>
      <c r="F60" s="110" t="s">
        <v>61</v>
      </c>
      <c r="H60" s="38" t="str">
        <f xml:space="preserve"> "3rd (" &amp; (TEXT('Payout Calc'!$K$6, "0%")) &amp; ")"</f>
        <v>3rd (20%)</v>
      </c>
      <c r="I60" s="102">
        <f>'Payout Calc'!T26</f>
        <v>1450</v>
      </c>
      <c r="J60" s="119" t="s">
        <v>62</v>
      </c>
      <c r="K60" s="117" t="str">
        <f>VLOOKUP(J60,'Master Player List'!$C$2:$N$82,12,0)</f>
        <v xml:space="preserve">Schnautz, David </v>
      </c>
      <c r="M60" s="165" t="str">
        <f xml:space="preserve"> "3rd (" &amp; (TEXT('Payout Calc'!$I$6, "0%")) &amp; ")"</f>
        <v>3rd (20%)</v>
      </c>
      <c r="N60" s="102">
        <f>'Payout Calc'!T36</f>
        <v>260</v>
      </c>
      <c r="O60" s="119"/>
      <c r="P60" s="117" t="e">
        <f>VLOOKUP(O60,'Master Player List'!$C$2:$N$82,12,0)</f>
        <v>#N/A</v>
      </c>
      <c r="Q60" s="119"/>
      <c r="R60" s="117" t="e">
        <f>VLOOKUP(Q60,'Master Player List'!$C$2:$N$82,12,0)</f>
        <v>#N/A</v>
      </c>
      <c r="S60" s="119"/>
      <c r="T60" s="117" t="e">
        <f>VLOOKUP(S60,'Master Player List'!$C$2:$N$82,12,0)</f>
        <v>#N/A</v>
      </c>
    </row>
    <row r="61" spans="1:20" ht="15" thickBot="1" x14ac:dyDescent="0.4">
      <c r="A61" s="21">
        <v>7</v>
      </c>
      <c r="B61" s="1">
        <f xml:space="preserve"> IF('Master Player List'!L41=5,'Master Player List'!I41,"")</f>
        <v>13.7</v>
      </c>
      <c r="C61" s="1" t="str">
        <f xml:space="preserve"> IF('Master Player List'!L41=5,CONCATENATE('Master Player List'!C41," (",'Master Player List'!E41,")"),"")</f>
        <v>Munoz, Juan  (7.4)</v>
      </c>
      <c r="D61" s="1" t="str">
        <f xml:space="preserve"> IF('Master Player List'!L41=5,CONCATENATE('Master Player List'!F41," (",'Master Player List'!H41,")"),"")</f>
        <v>Sanchez, Bert  (6.3)</v>
      </c>
      <c r="E61" s="89">
        <v>1700</v>
      </c>
      <c r="F61" s="110" t="s">
        <v>9</v>
      </c>
      <c r="H61" s="40"/>
      <c r="I61" s="161"/>
      <c r="J61" s="162"/>
      <c r="K61" s="160"/>
      <c r="M61" s="172"/>
      <c r="N61" s="189"/>
      <c r="O61" s="242"/>
      <c r="P61" s="243"/>
      <c r="Q61" s="191"/>
      <c r="R61" s="190"/>
      <c r="S61" s="191"/>
      <c r="T61" s="192"/>
    </row>
    <row r="62" spans="1:20" x14ac:dyDescent="0.35">
      <c r="A62" s="21">
        <v>8</v>
      </c>
      <c r="B62" s="1">
        <f xml:space="preserve"> IF('Master Player List'!L42=5,'Master Player List'!I42,"")</f>
        <v>15.2</v>
      </c>
      <c r="C62" s="1" t="str">
        <f xml:space="preserve"> IF('Master Player List'!L42=5,CONCATENATE('Master Player List'!C42," (",'Master Player List'!E42,")"),"")</f>
        <v>Samsel, Steve  (2.7)</v>
      </c>
      <c r="D62" s="1" t="str">
        <f xml:space="preserve"> IF('Master Player List'!L42=5,CONCATENATE('Master Player List'!F42," (",'Master Player List'!H42,")"),"")</f>
        <v>Whiston, Patrick  (12.5)</v>
      </c>
      <c r="E62" s="89">
        <v>1200</v>
      </c>
      <c r="F62" s="110" t="s">
        <v>63</v>
      </c>
      <c r="M62" s="18"/>
      <c r="N62" s="157"/>
      <c r="O62" s="19"/>
      <c r="P62" s="1"/>
      <c r="Q62" s="45"/>
      <c r="R62" s="1"/>
      <c r="S62" s="45"/>
      <c r="T62" s="1"/>
    </row>
    <row r="63" spans="1:20" ht="15" thickBot="1" x14ac:dyDescent="0.4">
      <c r="A63" s="21"/>
      <c r="D63" s="1" t="s">
        <v>28</v>
      </c>
      <c r="E63" s="89">
        <f>SUM(E55:E62)</f>
        <v>12000</v>
      </c>
      <c r="F63" s="110"/>
    </row>
    <row r="64" spans="1:20" ht="21" x14ac:dyDescent="0.5">
      <c r="A64" s="265" t="s">
        <v>64</v>
      </c>
      <c r="B64" s="266"/>
      <c r="C64" s="266"/>
      <c r="D64" s="267"/>
      <c r="E64" s="262"/>
      <c r="F64" s="264"/>
    </row>
    <row r="65" spans="1:20" ht="15" thickBot="1" x14ac:dyDescent="0.4">
      <c r="A65" s="27" t="s">
        <v>11</v>
      </c>
      <c r="B65" s="28" t="s">
        <v>65</v>
      </c>
      <c r="C65" s="28" t="s">
        <v>2</v>
      </c>
      <c r="D65" s="29" t="s">
        <v>13</v>
      </c>
      <c r="E65" s="2" t="s">
        <v>14</v>
      </c>
      <c r="F65" s="20" t="s">
        <v>15</v>
      </c>
    </row>
    <row r="66" spans="1:20" ht="21.5" thickBot="1" x14ac:dyDescent="0.5">
      <c r="A66" s="21">
        <v>1</v>
      </c>
      <c r="B66" s="1">
        <f xml:space="preserve"> IF('Master Player List'!L43=6,'Master Player List'!I43,"")</f>
        <v>15.2</v>
      </c>
      <c r="C66" s="1" t="str">
        <f xml:space="preserve"> IF('Master Player List'!L43=6,CONCATENATE('Master Player List'!C43," (",'Master Player List'!E43,")"),"")</f>
        <v>French, Arthur  (10.4)</v>
      </c>
      <c r="D66" s="1" t="str">
        <f xml:space="preserve"> IF('Master Player List'!L43=6,CONCATENATE('Master Player List'!F43," (",'Master Player List'!H43,")"),"")</f>
        <v>Reese, Brian  (4.8)</v>
      </c>
      <c r="E66" s="88">
        <v>1000</v>
      </c>
      <c r="F66" s="109" t="s">
        <v>66</v>
      </c>
      <c r="H66" s="83" t="s">
        <v>67</v>
      </c>
      <c r="I66" s="137">
        <f>SUM(E66:E73)</f>
        <v>11400</v>
      </c>
      <c r="J66" s="137"/>
      <c r="K66" s="51"/>
      <c r="M66" s="134" t="s">
        <v>17</v>
      </c>
      <c r="N66" s="135"/>
      <c r="O66" s="135"/>
      <c r="P66" s="135"/>
      <c r="Q66" s="135"/>
      <c r="R66" s="135"/>
      <c r="S66" s="135"/>
      <c r="T66" s="136"/>
    </row>
    <row r="67" spans="1:20" ht="15" thickBot="1" x14ac:dyDescent="0.4">
      <c r="A67" s="21">
        <v>2</v>
      </c>
      <c r="B67" s="1">
        <f xml:space="preserve"> IF('Master Player List'!L44=6,'Master Player List'!I44,"")</f>
        <v>15.5</v>
      </c>
      <c r="C67" s="1" t="str">
        <f xml:space="preserve"> IF('Master Player List'!L44=6,CONCATENATE('Master Player List'!C44," (",'Master Player List'!E44,")"),"")</f>
        <v>Aghazadeh, Abdol  (5.3)</v>
      </c>
      <c r="D67" s="1" t="str">
        <f xml:space="preserve"> IF('Master Player List'!L44=6,CONCATENATE('Master Player List'!F44," (",'Master Player List'!H44,")"),"")</f>
        <v>Khorzad, Kaveh  (10.2)</v>
      </c>
      <c r="E67" s="89">
        <v>2500</v>
      </c>
      <c r="F67" s="110" t="s">
        <v>30</v>
      </c>
      <c r="H67" s="138" t="s">
        <v>19</v>
      </c>
      <c r="I67" s="139"/>
      <c r="J67" s="139"/>
      <c r="K67" s="140"/>
      <c r="M67" s="167"/>
      <c r="N67" s="168"/>
      <c r="O67" s="271" t="s">
        <v>20</v>
      </c>
      <c r="P67" s="272"/>
      <c r="Q67" s="271" t="s">
        <v>21</v>
      </c>
      <c r="R67" s="272"/>
      <c r="S67" s="269" t="s">
        <v>22</v>
      </c>
      <c r="T67" s="270"/>
    </row>
    <row r="68" spans="1:20" x14ac:dyDescent="0.35">
      <c r="A68" s="21">
        <v>3</v>
      </c>
      <c r="B68" s="1">
        <f xml:space="preserve"> IF('Master Player List'!L45=6,'Master Player List'!I45,"")</f>
        <v>15.8</v>
      </c>
      <c r="C68" s="1" t="str">
        <f xml:space="preserve"> IF('Master Player List'!L45=6,CONCATENATE('Master Player List'!C45," (",'Master Player List'!E45,")"),"")</f>
        <v>Burton, Aaron  (5.7)</v>
      </c>
      <c r="D68" s="1" t="str">
        <f xml:space="preserve"> IF('Master Player List'!L45=6,CONCATENATE('Master Player List'!F45," (",'Master Player List'!H45,")"),"")</f>
        <v>Krueger, Kyle  (10.1)</v>
      </c>
      <c r="E68" s="89">
        <v>1500</v>
      </c>
      <c r="F68" s="110" t="s">
        <v>44</v>
      </c>
      <c r="H68" s="129"/>
      <c r="I68" s="130"/>
      <c r="J68" s="131" t="s">
        <v>2</v>
      </c>
      <c r="K68" s="133" t="s">
        <v>3</v>
      </c>
      <c r="M68" s="169"/>
      <c r="N68" s="1"/>
      <c r="O68" s="237" t="s">
        <v>2</v>
      </c>
      <c r="P68" s="238" t="s">
        <v>3</v>
      </c>
      <c r="Q68" s="235" t="s">
        <v>2</v>
      </c>
      <c r="R68" s="118" t="s">
        <v>3</v>
      </c>
      <c r="S68" s="235" t="s">
        <v>2</v>
      </c>
      <c r="T68" s="170" t="s">
        <v>3</v>
      </c>
    </row>
    <row r="69" spans="1:20" x14ac:dyDescent="0.35">
      <c r="A69" s="21">
        <v>4</v>
      </c>
      <c r="B69" s="1">
        <f xml:space="preserve"> IF('Master Player List'!L46=6,'Master Player List'!I46,"")</f>
        <v>15.9</v>
      </c>
      <c r="C69" s="1" t="str">
        <f xml:space="preserve"> IF('Master Player List'!L46=6,CONCATENATE('Master Player List'!C46," (",'Master Player List'!E46,")"),"")</f>
        <v>Crutcher, Ian  (3.5)</v>
      </c>
      <c r="D69" s="1" t="str">
        <f xml:space="preserve"> IF('Master Player List'!L46=6,CONCATENATE('Master Player List'!F46," (",'Master Player List'!H46,")"),"")</f>
        <v>Crutcher, Jonathan  (12.4)</v>
      </c>
      <c r="E69" s="89">
        <v>1500</v>
      </c>
      <c r="F69" s="110" t="s">
        <v>68</v>
      </c>
      <c r="H69" s="38" t="str">
        <f xml:space="preserve"> "1st (" &amp; (TEXT('Payout Calc'!$K$4, "0%")) &amp; ")"</f>
        <v>1st (50%)</v>
      </c>
      <c r="I69" s="102">
        <f>'Payout Calc'!D57</f>
        <v>3450</v>
      </c>
      <c r="J69" s="119" t="s">
        <v>69</v>
      </c>
      <c r="K69" s="117" t="str">
        <f>VLOOKUP(J69,'Master Player List'!$C$2:$N$82,12,0)</f>
        <v xml:space="preserve">Fulmer, Austen </v>
      </c>
      <c r="M69" s="165" t="str">
        <f xml:space="preserve"> "1st (" &amp; (TEXT('Payout Calc'!$I$4, "0%")) &amp; ")"</f>
        <v>1st (50%)</v>
      </c>
      <c r="N69" s="102">
        <f>'Payout Calc'!D67</f>
        <v>615</v>
      </c>
      <c r="O69" s="119" t="s">
        <v>68</v>
      </c>
      <c r="P69" s="117" t="str">
        <f>VLOOKUP(O69,'Master Player List'!$C$2:$N$82,12,0)</f>
        <v xml:space="preserve">Crutcher, Ian </v>
      </c>
      <c r="Q69" s="119"/>
      <c r="R69" s="117" t="e">
        <f>VLOOKUP(Q69,'Master Player List'!$C$2:$N$82,12,0)</f>
        <v>#N/A</v>
      </c>
      <c r="S69" s="119" t="s">
        <v>66</v>
      </c>
      <c r="T69" s="117" t="str">
        <f>VLOOKUP(S69,'Master Player List'!$C$2:$N$82,12,0)</f>
        <v xml:space="preserve">French, Arthur </v>
      </c>
    </row>
    <row r="70" spans="1:20" x14ac:dyDescent="0.35">
      <c r="A70" s="21">
        <v>5</v>
      </c>
      <c r="B70" s="1">
        <f xml:space="preserve"> IF('Master Player List'!L47=6,'Master Player List'!I47,"")</f>
        <v>16</v>
      </c>
      <c r="C70" s="1" t="str">
        <f xml:space="preserve"> IF('Master Player List'!L47=6,CONCATENATE('Master Player List'!C47," (",'Master Player List'!E47,")"),"")</f>
        <v>Shulman, Brandon  (10.1)</v>
      </c>
      <c r="D70" s="1" t="str">
        <f xml:space="preserve"> IF('Master Player List'!L47=6,CONCATENATE('Master Player List'!F47," (",'Master Player List'!H47,")"),"")</f>
        <v>Schietinger, John  (5.9)</v>
      </c>
      <c r="E70" s="89">
        <v>1000</v>
      </c>
      <c r="F70" s="110" t="s">
        <v>70</v>
      </c>
      <c r="H70" s="38" t="str">
        <f xml:space="preserve"> "2nd (" &amp; (TEXT('Payout Calc'!$K$5, "0%")) &amp; ")"</f>
        <v>2nd (30%)</v>
      </c>
      <c r="I70" s="102">
        <f>'Payout Calc'!D58</f>
        <v>2070</v>
      </c>
      <c r="J70" s="119"/>
      <c r="K70" s="117" t="e">
        <f>VLOOKUP(J70,'Master Player List'!$C$2:$N$82,12,0)</f>
        <v>#N/A</v>
      </c>
      <c r="M70" s="165" t="str">
        <f xml:space="preserve"> "2nd (" &amp; (TEXT('Payout Calc'!$I$5, "0%")) &amp; ")"</f>
        <v>2nd (30%)</v>
      </c>
      <c r="N70" s="102">
        <f>'Payout Calc'!D68</f>
        <v>370</v>
      </c>
      <c r="O70" s="119"/>
      <c r="P70" s="117" t="e">
        <f>VLOOKUP(O70,'Master Player List'!$C$2:$N$82,12,0)</f>
        <v>#N/A</v>
      </c>
      <c r="Q70" s="119" t="s">
        <v>71</v>
      </c>
      <c r="R70" s="117" t="str">
        <f>VLOOKUP(Q70,'Master Player List'!$C$2:$N$82,12,0)</f>
        <v xml:space="preserve">Grantham, Mark </v>
      </c>
      <c r="S70" s="119"/>
      <c r="T70" s="117" t="e">
        <f>VLOOKUP(S70,'Master Player List'!$C$2:$N$82,12,0)</f>
        <v>#N/A</v>
      </c>
    </row>
    <row r="71" spans="1:20" x14ac:dyDescent="0.35">
      <c r="A71" s="21">
        <v>6</v>
      </c>
      <c r="B71" s="1">
        <f xml:space="preserve"> IF('Master Player List'!L48=6,'Master Player List'!I48,"")</f>
        <v>16</v>
      </c>
      <c r="C71" s="1" t="str">
        <f xml:space="preserve"> IF('Master Player List'!L48=6,CONCATENATE('Master Player List'!C48," (",'Master Player List'!E48,")"),"")</f>
        <v>Sawyer, Ryan  (7.5)</v>
      </c>
      <c r="D71" s="1" t="str">
        <f xml:space="preserve"> IF('Master Player List'!L48=6,CONCATENATE('Master Player List'!F48," (",'Master Player List'!H48,")"),"")</f>
        <v>Resnick, Dan  (8.5)</v>
      </c>
      <c r="E71" s="89">
        <v>1300</v>
      </c>
      <c r="F71" s="110" t="s">
        <v>36</v>
      </c>
      <c r="H71" s="38" t="str">
        <f xml:space="preserve"> "3rd (" &amp; (TEXT('Payout Calc'!$K$6, "0%")) &amp; ")"</f>
        <v>3rd (20%)</v>
      </c>
      <c r="I71" s="102">
        <f>'Payout Calc'!D59</f>
        <v>1380</v>
      </c>
      <c r="J71" s="119" t="s">
        <v>72</v>
      </c>
      <c r="K71" s="117" t="str">
        <f>VLOOKUP(J71,'Master Player List'!$C$2:$N$82,12,0)</f>
        <v>Drain, Zip</v>
      </c>
      <c r="M71" s="165" t="str">
        <f xml:space="preserve"> "3rd (" &amp; (TEXT('Payout Calc'!$I$6, "0%")) &amp; ")"</f>
        <v>3rd (20%)</v>
      </c>
      <c r="N71" s="102">
        <f>'Payout Calc'!D69</f>
        <v>245</v>
      </c>
      <c r="O71" s="119"/>
      <c r="P71" s="117" t="e">
        <f>VLOOKUP(O71,'Master Player List'!$C$2:$N$82,12,0)</f>
        <v>#N/A</v>
      </c>
      <c r="Q71" s="119"/>
      <c r="R71" s="117" t="e">
        <f>VLOOKUP(Q71,'Master Player List'!$C$2:$N$82,12,0)</f>
        <v>#N/A</v>
      </c>
      <c r="S71" s="119"/>
      <c r="T71" s="117" t="e">
        <f>VLOOKUP(S71,'Master Player List'!$C$2:$N$82,12,0)</f>
        <v>#N/A</v>
      </c>
    </row>
    <row r="72" spans="1:20" x14ac:dyDescent="0.35">
      <c r="A72" s="21">
        <v>7</v>
      </c>
      <c r="B72" s="1">
        <f xml:space="preserve"> IF('Master Player List'!L49=6,'Master Player List'!I49,"")</f>
        <v>16.600000000000001</v>
      </c>
      <c r="C72" s="1" t="str">
        <f xml:space="preserve"> IF('Master Player List'!L49=6,CONCATENATE('Master Player List'!C49," (",'Master Player List'!E49,")"),"")</f>
        <v>O'Farrell, Patrick  (2.3)</v>
      </c>
      <c r="D72" s="1" t="str">
        <f xml:space="preserve"> IF('Master Player List'!L49=6,CONCATENATE('Master Player List'!F49," (",'Master Player List'!H49,")"),"")</f>
        <v>Elder, Forrest  (14.3)</v>
      </c>
      <c r="E72" s="89">
        <v>1400</v>
      </c>
      <c r="F72" s="110" t="s">
        <v>73</v>
      </c>
      <c r="H72" s="40"/>
      <c r="I72" s="161"/>
      <c r="J72" s="162"/>
      <c r="K72" s="160"/>
      <c r="M72" s="172"/>
      <c r="N72" s="240"/>
      <c r="O72" s="239"/>
      <c r="P72" s="160"/>
      <c r="Q72" s="236"/>
      <c r="R72" s="190"/>
      <c r="S72" s="191"/>
      <c r="T72" s="192"/>
    </row>
    <row r="73" spans="1:20" x14ac:dyDescent="0.35">
      <c r="A73" s="21">
        <v>8</v>
      </c>
      <c r="B73" s="1">
        <f xml:space="preserve"> IF('Master Player List'!L50=6,'Master Player List'!I50,"")</f>
        <v>16.7</v>
      </c>
      <c r="C73" s="1" t="str">
        <f xml:space="preserve"> IF('Master Player List'!L50=6,CONCATENATE('Master Player List'!C50," (",'Master Player List'!E50,")"),"")</f>
        <v>Vidrine, Scot  (5.5)</v>
      </c>
      <c r="D73" s="1" t="str">
        <f xml:space="preserve"> IF('Master Player List'!L50=6,CONCATENATE('Master Player List'!F50," (",'Master Player List'!H50,")"),"")</f>
        <v>Nicholson, Scott  (11.2)</v>
      </c>
      <c r="E73" s="89">
        <v>1200</v>
      </c>
      <c r="F73" s="110" t="s">
        <v>74</v>
      </c>
      <c r="M73" s="18"/>
      <c r="N73" s="157"/>
      <c r="O73" s="19"/>
      <c r="P73" s="1"/>
      <c r="Q73" s="45"/>
      <c r="R73" s="1"/>
      <c r="S73" s="45"/>
      <c r="T73" s="1"/>
    </row>
    <row r="74" spans="1:20" ht="15" thickBot="1" x14ac:dyDescent="0.4">
      <c r="A74" s="21"/>
      <c r="D74" s="1" t="s">
        <v>28</v>
      </c>
      <c r="E74" s="204">
        <f>SUM(E66:E73)</f>
        <v>11400</v>
      </c>
      <c r="F74" s="156"/>
      <c r="L74" s="39"/>
      <c r="M74" s="39"/>
      <c r="N74" s="39"/>
    </row>
    <row r="75" spans="1:20" ht="21" x14ac:dyDescent="0.5">
      <c r="A75" s="265" t="s">
        <v>75</v>
      </c>
      <c r="B75" s="266"/>
      <c r="C75" s="266"/>
      <c r="D75" s="267"/>
      <c r="E75" s="253"/>
      <c r="F75" s="264"/>
      <c r="L75" s="15"/>
      <c r="M75" s="15"/>
      <c r="N75" s="15"/>
      <c r="O75" s="17"/>
      <c r="P75" s="17"/>
      <c r="Q75" s="17"/>
    </row>
    <row r="76" spans="1:20" ht="15" thickBot="1" x14ac:dyDescent="0.4">
      <c r="A76" s="27" t="s">
        <v>11</v>
      </c>
      <c r="B76" s="28" t="s">
        <v>12</v>
      </c>
      <c r="C76" s="28" t="s">
        <v>2</v>
      </c>
      <c r="D76" s="28" t="s">
        <v>13</v>
      </c>
      <c r="E76" s="27" t="s">
        <v>14</v>
      </c>
      <c r="F76" s="29" t="s">
        <v>15</v>
      </c>
      <c r="L76" s="37"/>
      <c r="M76" s="37"/>
      <c r="N76" s="37"/>
      <c r="O76" s="3"/>
      <c r="P76" s="3"/>
      <c r="Q76" s="3"/>
    </row>
    <row r="77" spans="1:20" ht="21.5" thickBot="1" x14ac:dyDescent="0.5">
      <c r="A77" s="21">
        <v>1</v>
      </c>
      <c r="B77" s="1">
        <f xml:space="preserve"> IF('Master Player List'!L51=7,'Master Player List'!I51,"")</f>
        <v>17.100000000000001</v>
      </c>
      <c r="C77" s="1" t="str">
        <f xml:space="preserve"> IF('Master Player List'!L51=7,CONCATENATE('Master Player List'!C51," (",'Master Player List'!E51,")"),"")</f>
        <v>Rzepniewski, Jason  (7.2)</v>
      </c>
      <c r="D77" s="1" t="str">
        <f xml:space="preserve"> IF('Master Player List'!L51=7,CONCATENATE('Master Player List'!F51," (",'Master Player List'!H51,")"),"")</f>
        <v>VanNoller, John  (9.9)</v>
      </c>
      <c r="E77" s="89">
        <v>1500</v>
      </c>
      <c r="F77" s="110" t="s">
        <v>76</v>
      </c>
      <c r="H77" s="83" t="s">
        <v>77</v>
      </c>
      <c r="I77" s="137">
        <f>SUM(E77:E84)</f>
        <v>10300</v>
      </c>
      <c r="J77" s="137"/>
      <c r="K77" s="51"/>
      <c r="L77" s="37"/>
      <c r="M77" s="134" t="s">
        <v>17</v>
      </c>
      <c r="N77" s="135"/>
      <c r="O77" s="135"/>
      <c r="P77" s="135"/>
      <c r="Q77" s="135"/>
      <c r="R77" s="135"/>
      <c r="S77" s="135"/>
      <c r="T77" s="136"/>
    </row>
    <row r="78" spans="1:20" ht="15" thickBot="1" x14ac:dyDescent="0.4">
      <c r="A78" s="21">
        <v>2</v>
      </c>
      <c r="B78" s="1">
        <f xml:space="preserve"> IF('Master Player List'!L52=7,'Master Player List'!I52,"")</f>
        <v>17.100000000000001</v>
      </c>
      <c r="C78" s="1" t="str">
        <f xml:space="preserve"> IF('Master Player List'!L52=7,CONCATENATE('Master Player List'!C52," (",'Master Player List'!E52,")"),"")</f>
        <v>Patel, Bhav  (8)</v>
      </c>
      <c r="D78" s="1" t="str">
        <f xml:space="preserve"> IF('Master Player List'!L52=7,CONCATENATE('Master Player List'!F52," (",'Master Player List'!H52,")"),"")</f>
        <v>Ballou, Bob  (9.1)</v>
      </c>
      <c r="E78" s="89">
        <v>1500</v>
      </c>
      <c r="F78" s="110" t="s">
        <v>39</v>
      </c>
      <c r="H78" s="138" t="s">
        <v>19</v>
      </c>
      <c r="I78" s="139"/>
      <c r="J78" s="139"/>
      <c r="K78" s="140"/>
      <c r="M78" s="167"/>
      <c r="N78" s="168"/>
      <c r="O78" s="271" t="s">
        <v>20</v>
      </c>
      <c r="P78" s="272"/>
      <c r="Q78" s="271" t="s">
        <v>21</v>
      </c>
      <c r="R78" s="272"/>
      <c r="S78" s="269" t="s">
        <v>22</v>
      </c>
      <c r="T78" s="270"/>
    </row>
    <row r="79" spans="1:20" x14ac:dyDescent="0.35">
      <c r="A79" s="21">
        <v>3</v>
      </c>
      <c r="B79" s="1">
        <f xml:space="preserve"> IF('Master Player List'!L53=7,'Master Player List'!I53,"")</f>
        <v>17.399999999999999</v>
      </c>
      <c r="C79" s="1" t="str">
        <f xml:space="preserve"> IF('Master Player List'!L53=7,CONCATENATE('Master Player List'!C53," (",'Master Player List'!E53,")"),"")</f>
        <v>Ryan, Mike  (10.1)</v>
      </c>
      <c r="D79" s="1" t="str">
        <f xml:space="preserve"> IF('Master Player List'!L53=7,CONCATENATE('Master Player List'!F53," (",'Master Player List'!H53,")"),"")</f>
        <v>Enberg, Erik  (7.3)</v>
      </c>
      <c r="E79" s="89">
        <v>1200</v>
      </c>
      <c r="F79" s="110" t="s">
        <v>70</v>
      </c>
      <c r="H79" s="129"/>
      <c r="I79" s="130"/>
      <c r="J79" s="131" t="s">
        <v>2</v>
      </c>
      <c r="K79" s="133" t="s">
        <v>3</v>
      </c>
      <c r="M79" s="169"/>
      <c r="N79" s="1"/>
      <c r="O79" s="237" t="s">
        <v>2</v>
      </c>
      <c r="P79" s="238" t="s">
        <v>3</v>
      </c>
      <c r="Q79" s="235" t="s">
        <v>2</v>
      </c>
      <c r="R79" s="118" t="s">
        <v>3</v>
      </c>
      <c r="S79" s="235" t="s">
        <v>2</v>
      </c>
      <c r="T79" s="170" t="s">
        <v>3</v>
      </c>
    </row>
    <row r="80" spans="1:20" x14ac:dyDescent="0.35">
      <c r="A80" s="21">
        <v>4</v>
      </c>
      <c r="B80" s="1">
        <f xml:space="preserve"> IF('Master Player List'!L54=7,'Master Player List'!I54,"")</f>
        <v>17.399999999999999</v>
      </c>
      <c r="C80" s="1" t="str">
        <f xml:space="preserve"> IF('Master Player List'!L54=7,CONCATENATE('Master Player List'!C54," (",'Master Player List'!E54,")"),"")</f>
        <v>Toombs, Chris  (8.4)</v>
      </c>
      <c r="D80" s="1" t="str">
        <f xml:space="preserve"> IF('Master Player List'!L54=7,CONCATENATE('Master Player List'!F54," (",'Master Player List'!H54,")"),"")</f>
        <v>March, James  (9)</v>
      </c>
      <c r="E80" s="89">
        <v>900</v>
      </c>
      <c r="F80" s="110" t="s">
        <v>57</v>
      </c>
      <c r="H80" s="38" t="str">
        <f xml:space="preserve"> "1st (" &amp; (TEXT('Payout Calc'!$K$4, "0%")) &amp; ")"</f>
        <v>1st (50%)</v>
      </c>
      <c r="I80" s="102">
        <f>'Payout Calc'!H57</f>
        <v>3115</v>
      </c>
      <c r="J80" s="119" t="s">
        <v>25</v>
      </c>
      <c r="K80" s="117" t="str">
        <f>VLOOKUP(J80,'Master Player List'!$C$2:$N$82,12,0)</f>
        <v xml:space="preserve">Edwards, Patric </v>
      </c>
      <c r="M80" s="165" t="str">
        <f xml:space="preserve"> "1st (" &amp; (TEXT('Payout Calc'!$I$4, "0%")) &amp; ")"</f>
        <v>1st (50%)</v>
      </c>
      <c r="N80" s="102">
        <f>'Payout Calc'!H67</f>
        <v>555</v>
      </c>
      <c r="O80" s="119" t="s">
        <v>78</v>
      </c>
      <c r="P80" s="117" t="str">
        <f>VLOOKUP(O80,'Master Player List'!$C$2:$N$82,12,0)</f>
        <v xml:space="preserve">Wedgeworth, Cliff </v>
      </c>
      <c r="Q80" s="119" t="s">
        <v>78</v>
      </c>
      <c r="R80" s="117" t="str">
        <f>VLOOKUP(Q80,'Master Player List'!$C$2:$N$82,12,0)</f>
        <v xml:space="preserve">Wedgeworth, Cliff </v>
      </c>
      <c r="S80" s="119"/>
      <c r="T80" s="117" t="e">
        <f>VLOOKUP(S80,'Master Player List'!$C$2:$N$82,12,0)</f>
        <v>#N/A</v>
      </c>
    </row>
    <row r="81" spans="1:20" x14ac:dyDescent="0.35">
      <c r="A81" s="21">
        <v>5</v>
      </c>
      <c r="B81" s="1">
        <f xml:space="preserve"> IF('Master Player List'!L55=7,'Master Player List'!I55,"")</f>
        <v>17.5</v>
      </c>
      <c r="C81" s="1" t="str">
        <f xml:space="preserve"> IF('Master Player List'!L55=7,CONCATENATE('Master Player List'!C55," (",'Master Player List'!E55,")"),"")</f>
        <v>Conwell, Jerry  (3.4)</v>
      </c>
      <c r="D81" s="1" t="str">
        <f xml:space="preserve"> IF('Master Player List'!L55=7,CONCATENATE('Master Player List'!F55," (",'Master Player List'!H55,")"),"")</f>
        <v>Kendrick, Collin  (14.1)</v>
      </c>
      <c r="E81" s="89">
        <v>2200</v>
      </c>
      <c r="F81" s="110" t="s">
        <v>55</v>
      </c>
      <c r="H81" s="38" t="str">
        <f xml:space="preserve"> "2nd (" &amp; (TEXT('Payout Calc'!$K$5, "0%")) &amp; ")"</f>
        <v>2nd (30%)</v>
      </c>
      <c r="I81" s="102">
        <f>'Payout Calc'!H58</f>
        <v>1865</v>
      </c>
      <c r="J81" s="119" t="s">
        <v>76</v>
      </c>
      <c r="K81" s="117" t="str">
        <f>VLOOKUP(J81,'Master Player List'!$C$2:$N$82,12,0)</f>
        <v xml:space="preserve">Rzepniewski, Jason </v>
      </c>
      <c r="M81" s="165" t="str">
        <f xml:space="preserve"> "2nd (" &amp; (TEXT('Payout Calc'!$I$5, "0%")) &amp; ")"</f>
        <v>2nd (30%)</v>
      </c>
      <c r="N81" s="102">
        <f>'Payout Calc'!H68</f>
        <v>335</v>
      </c>
      <c r="O81" s="119" t="s">
        <v>79</v>
      </c>
      <c r="P81" s="117" t="str">
        <f>VLOOKUP(O81,'Master Player List'!$C$2:$N$82,12,0)</f>
        <v xml:space="preserve">Grantham, Mark </v>
      </c>
      <c r="Q81" s="119"/>
      <c r="R81" s="117" t="e">
        <f>VLOOKUP(Q81,'Master Player List'!$C$2:$N$82,12,0)</f>
        <v>#N/A</v>
      </c>
      <c r="S81" s="119" t="s">
        <v>80</v>
      </c>
      <c r="T81" s="117" t="str">
        <f>VLOOKUP(S81,'Master Player List'!$C$2:$N$82,12,0)</f>
        <v xml:space="preserve">Aghazadeh, Abdol </v>
      </c>
    </row>
    <row r="82" spans="1:20" x14ac:dyDescent="0.35">
      <c r="A82" s="21">
        <v>6</v>
      </c>
      <c r="B82" s="1">
        <f xml:space="preserve"> IF('Master Player List'!L56=7,'Master Player List'!I56,"")</f>
        <v>18.100000000000001</v>
      </c>
      <c r="C82" s="1" t="str">
        <f xml:space="preserve"> IF('Master Player List'!L56=7,CONCATENATE('Master Player List'!C56," (",'Master Player List'!E56,")"),"")</f>
        <v>Oster, Neil  (6.9)</v>
      </c>
      <c r="D82" s="1" t="str">
        <f xml:space="preserve"> IF('Master Player List'!L56=7,CONCATENATE('Master Player List'!F56," (",'Master Player List'!H56,")"),"")</f>
        <v>Clark, Andrew  (11.2)</v>
      </c>
      <c r="E82" s="89">
        <v>1200</v>
      </c>
      <c r="F82" s="110" t="s">
        <v>9</v>
      </c>
      <c r="H82" s="38" t="str">
        <f xml:space="preserve"> "3rd (" &amp; (TEXT('Payout Calc'!$K$6, "0%")) &amp; ")"</f>
        <v>3rd (20%)</v>
      </c>
      <c r="I82" s="102">
        <f>'Payout Calc'!H59</f>
        <v>1245</v>
      </c>
      <c r="J82" s="119" t="s">
        <v>81</v>
      </c>
      <c r="K82" s="117" t="str">
        <f>VLOOKUP(J82,'Master Player List'!$C$2:$N$82,12,0)</f>
        <v xml:space="preserve">Parent, Brian </v>
      </c>
      <c r="M82" s="165" t="str">
        <f xml:space="preserve"> "3rd (" &amp; (TEXT('Payout Calc'!$I$6, "0%")) &amp; ")"</f>
        <v>3rd (20%)</v>
      </c>
      <c r="N82" s="102">
        <f>'Payout Calc'!H69</f>
        <v>220</v>
      </c>
      <c r="O82" s="119"/>
      <c r="P82" s="117" t="e">
        <f>VLOOKUP(O82,'Master Player List'!$C$2:$N$82,12,0)</f>
        <v>#N/A</v>
      </c>
      <c r="Q82" s="119"/>
      <c r="R82" s="117" t="e">
        <f>VLOOKUP(Q82,'Master Player List'!$C$2:$N$82,12,0)</f>
        <v>#N/A</v>
      </c>
      <c r="S82" s="119"/>
      <c r="T82" s="117" t="e">
        <f>VLOOKUP(S82,'Master Player List'!$C$2:$N$82,12,0)</f>
        <v>#N/A</v>
      </c>
    </row>
    <row r="83" spans="1:20" x14ac:dyDescent="0.35">
      <c r="A83" s="21">
        <v>7</v>
      </c>
      <c r="B83" s="1">
        <f xml:space="preserve"> IF('Master Player List'!L57=7,'Master Player List'!I57,"")</f>
        <v>18.100000000000001</v>
      </c>
      <c r="C83" s="1" t="str">
        <f xml:space="preserve"> IF('Master Player List'!L57=7,CONCATENATE('Master Player List'!C57," (",'Master Player List'!E57,")"),"")</f>
        <v>Godhania, Vikas  (9.4)</v>
      </c>
      <c r="D83" s="1" t="str">
        <f xml:space="preserve"> IF('Master Player List'!L57=7,CONCATENATE('Master Player List'!F57," (",'Master Player List'!H57,")"),"")</f>
        <v>Mosqueda, Scott  (8.7)</v>
      </c>
      <c r="E83" s="89">
        <v>1000</v>
      </c>
      <c r="F83" s="110" t="s">
        <v>18</v>
      </c>
      <c r="H83" s="40"/>
      <c r="I83" s="161"/>
      <c r="J83" s="162"/>
      <c r="K83" s="160"/>
      <c r="M83" s="172"/>
      <c r="N83" s="240"/>
      <c r="O83" s="239"/>
      <c r="P83" s="160"/>
      <c r="Q83" s="236"/>
      <c r="R83" s="190"/>
      <c r="S83" s="191"/>
      <c r="T83" s="192"/>
    </row>
    <row r="84" spans="1:20" x14ac:dyDescent="0.35">
      <c r="A84" s="21">
        <v>8</v>
      </c>
      <c r="B84" s="1">
        <f xml:space="preserve"> IF('Master Player List'!L58=7,'Master Player List'!I58,"")</f>
        <v>18.399999999999999</v>
      </c>
      <c r="C84" s="1" t="str">
        <f xml:space="preserve"> IF('Master Player List'!L58=7,CONCATENATE('Master Player List'!C58," (",'Master Player List'!E58,")"),"")</f>
        <v>Edwards, Patric  (8.8)</v>
      </c>
      <c r="D84" s="1" t="str">
        <f xml:space="preserve"> IF('Master Player List'!L58=7,CONCATENATE('Master Player List'!F58," (",'Master Player List'!H58,")"),"")</f>
        <v>Lorts, Anthony  (9.6)</v>
      </c>
      <c r="E84" s="89">
        <v>800</v>
      </c>
      <c r="F84" s="110" t="s">
        <v>18</v>
      </c>
      <c r="M84" s="18"/>
      <c r="N84" s="157"/>
      <c r="O84" s="19"/>
      <c r="P84" s="1"/>
      <c r="Q84" s="45"/>
      <c r="R84" s="1"/>
      <c r="S84" s="45"/>
      <c r="T84" s="1"/>
    </row>
    <row r="85" spans="1:20" ht="15" thickBot="1" x14ac:dyDescent="0.4">
      <c r="A85" s="21"/>
      <c r="D85" s="1" t="s">
        <v>28</v>
      </c>
      <c r="E85" s="89">
        <f>SUM(E77:E84)</f>
        <v>10300</v>
      </c>
      <c r="F85" s="110"/>
    </row>
    <row r="86" spans="1:20" ht="21" x14ac:dyDescent="0.5">
      <c r="A86" s="265" t="s">
        <v>82</v>
      </c>
      <c r="B86" s="266"/>
      <c r="C86" s="266"/>
      <c r="D86" s="267"/>
      <c r="E86" s="253"/>
      <c r="F86" s="264"/>
    </row>
    <row r="87" spans="1:20" ht="15" thickBot="1" x14ac:dyDescent="0.4">
      <c r="A87" s="27" t="s">
        <v>11</v>
      </c>
      <c r="B87" s="28" t="s">
        <v>12</v>
      </c>
      <c r="C87" s="28" t="s">
        <v>2</v>
      </c>
      <c r="D87" s="28" t="s">
        <v>13</v>
      </c>
      <c r="E87" s="27" t="s">
        <v>14</v>
      </c>
      <c r="F87" s="29" t="s">
        <v>15</v>
      </c>
    </row>
    <row r="88" spans="1:20" ht="21.5" thickBot="1" x14ac:dyDescent="0.5">
      <c r="A88" s="21">
        <v>1</v>
      </c>
      <c r="B88" s="1">
        <f xml:space="preserve"> IF('Master Player List'!L59=8,'Master Player List'!I59,"")</f>
        <v>18.8</v>
      </c>
      <c r="C88" s="1" t="str">
        <f xml:space="preserve"> IF('Master Player List'!L59=8,CONCATENATE('Master Player List'!C59," (",'Master Player List'!E59,")"),"")</f>
        <v>Jackson, Eric  (9.8)</v>
      </c>
      <c r="D88" s="1" t="str">
        <f xml:space="preserve"> IF('Master Player List'!L59=8,CONCATENATE('Master Player List'!F59," (",'Master Player List'!H59,")"),"")</f>
        <v>Jackson, Paul  (9)</v>
      </c>
      <c r="E88" s="89">
        <v>600</v>
      </c>
      <c r="F88" s="110" t="s">
        <v>9</v>
      </c>
      <c r="H88" s="83" t="s">
        <v>83</v>
      </c>
      <c r="I88" s="137">
        <f>SUM(E88:E95)</f>
        <v>9300</v>
      </c>
      <c r="J88" s="137"/>
      <c r="K88" s="51"/>
      <c r="M88" s="134" t="s">
        <v>17</v>
      </c>
      <c r="N88" s="135"/>
      <c r="O88" s="135"/>
      <c r="P88" s="135"/>
      <c r="Q88" s="135"/>
      <c r="R88" s="135"/>
      <c r="S88" s="135"/>
      <c r="T88" s="136"/>
    </row>
    <row r="89" spans="1:20" ht="15" thickBot="1" x14ac:dyDescent="0.4">
      <c r="A89" s="21">
        <v>2</v>
      </c>
      <c r="B89" s="1">
        <f xml:space="preserve"> IF('Master Player List'!L60=8,'Master Player List'!I60,"")</f>
        <v>19.2</v>
      </c>
      <c r="C89" s="1" t="str">
        <f xml:space="preserve"> IF('Master Player List'!L60=8,CONCATENATE('Master Player List'!C60," (",'Master Player List'!E60,")"),"")</f>
        <v>Kandala, Ravi  (6.2)</v>
      </c>
      <c r="D89" s="1" t="str">
        <f xml:space="preserve"> IF('Master Player List'!L60=8,CONCATENATE('Master Player List'!F60," (",'Master Player List'!H60,")"),"")</f>
        <v>Reddy, Shireesh  (13)</v>
      </c>
      <c r="E89" s="89">
        <v>1100</v>
      </c>
      <c r="F89" s="110" t="s">
        <v>84</v>
      </c>
      <c r="H89" s="138" t="s">
        <v>19</v>
      </c>
      <c r="I89" s="139"/>
      <c r="J89" s="139"/>
      <c r="K89" s="140"/>
      <c r="M89" s="167"/>
      <c r="N89" s="168"/>
      <c r="O89" s="271" t="s">
        <v>20</v>
      </c>
      <c r="P89" s="272"/>
      <c r="Q89" s="271" t="s">
        <v>21</v>
      </c>
      <c r="R89" s="272"/>
      <c r="S89" s="269" t="s">
        <v>22</v>
      </c>
      <c r="T89" s="270"/>
    </row>
    <row r="90" spans="1:20" x14ac:dyDescent="0.35">
      <c r="A90" s="21">
        <v>3</v>
      </c>
      <c r="B90" s="1">
        <f xml:space="preserve"> IF('Master Player List'!L61=8,'Master Player List'!I61,"")</f>
        <v>19.600000000000001</v>
      </c>
      <c r="C90" s="1" t="str">
        <f xml:space="preserve"> IF('Master Player List'!L61=8,CONCATENATE('Master Player List'!C61," (",'Master Player List'!E61,")"),"")</f>
        <v>Korndorffer, Blake  (2.6)</v>
      </c>
      <c r="D90" s="1" t="str">
        <f xml:space="preserve"> IF('Master Player List'!L61=8,CONCATENATE('Master Player List'!F61," (",'Master Player List'!H61,")"),"")</f>
        <v>Korndorffer, Brad  (17)</v>
      </c>
      <c r="E90" s="89">
        <v>1500</v>
      </c>
      <c r="F90" s="110" t="s">
        <v>9</v>
      </c>
      <c r="H90" s="129"/>
      <c r="I90" s="130"/>
      <c r="J90" s="131" t="s">
        <v>2</v>
      </c>
      <c r="K90" s="133" t="s">
        <v>3</v>
      </c>
      <c r="M90" s="169"/>
      <c r="N90" s="1"/>
      <c r="O90" s="237" t="s">
        <v>2</v>
      </c>
      <c r="P90" s="238" t="s">
        <v>3</v>
      </c>
      <c r="Q90" s="235" t="s">
        <v>2</v>
      </c>
      <c r="R90" s="118" t="s">
        <v>3</v>
      </c>
      <c r="S90" s="235" t="s">
        <v>2</v>
      </c>
      <c r="T90" s="170" t="s">
        <v>3</v>
      </c>
    </row>
    <row r="91" spans="1:20" x14ac:dyDescent="0.35">
      <c r="A91" s="21">
        <v>4</v>
      </c>
      <c r="B91" s="1">
        <f xml:space="preserve"> IF('Master Player List'!L62=8,'Master Player List'!I62,"")</f>
        <v>20</v>
      </c>
      <c r="C91" s="1" t="str">
        <f xml:space="preserve"> IF('Master Player List'!L62=8,CONCATENATE('Master Player List'!C62," (",'Master Player List'!E62,")"),"")</f>
        <v>McDonald, David  (6.2)</v>
      </c>
      <c r="D91" s="1" t="str">
        <f xml:space="preserve"> IF('Master Player List'!L62=8,CONCATENATE('Master Player List'!F62," (",'Master Player List'!H62,")"),"")</f>
        <v>Williams, Drew  (13.8)</v>
      </c>
      <c r="E91" s="89">
        <v>1000</v>
      </c>
      <c r="F91" s="110" t="s">
        <v>55</v>
      </c>
      <c r="H91" s="38" t="str">
        <f xml:space="preserve"> "1st (" &amp; (TEXT('Payout Calc'!$K$4, "0%")) &amp; ")"</f>
        <v>1st (50%)</v>
      </c>
      <c r="I91" s="102">
        <f>'Payout Calc'!L57</f>
        <v>2810</v>
      </c>
      <c r="J91" s="119" t="s">
        <v>85</v>
      </c>
      <c r="K91" s="117" t="str">
        <f>VLOOKUP(J91,'Master Player List'!$C$2:$N$82,12,0)</f>
        <v xml:space="preserve">Schnautz, David </v>
      </c>
      <c r="M91" s="165" t="str">
        <f xml:space="preserve"> "1st (" &amp; (TEXT('Payout Calc'!$I$4, "0%")) &amp; ")"</f>
        <v>1st (50%)</v>
      </c>
      <c r="N91" s="102">
        <f>'Payout Calc'!L67</f>
        <v>500</v>
      </c>
      <c r="O91" s="119"/>
      <c r="P91" s="117" t="e">
        <f>VLOOKUP(O91,'Master Player List'!$C$2:$N$82,12,0)</f>
        <v>#N/A</v>
      </c>
      <c r="Q91" s="119" t="s">
        <v>58</v>
      </c>
      <c r="R91" s="117" t="str">
        <f>VLOOKUP(Q91,'Master Player List'!$C$2:$N$82,12,0)</f>
        <v xml:space="preserve">Capone, Michael </v>
      </c>
      <c r="S91" s="119"/>
      <c r="T91" s="117" t="e">
        <f>VLOOKUP(S91,'Master Player List'!$C$2:$N$82,12,0)</f>
        <v>#N/A</v>
      </c>
    </row>
    <row r="92" spans="1:20" x14ac:dyDescent="0.35">
      <c r="A92" s="21">
        <v>5</v>
      </c>
      <c r="B92" s="1">
        <f xml:space="preserve"> IF('Master Player List'!L63=8,'Master Player List'!I63,"")</f>
        <v>20.2</v>
      </c>
      <c r="C92" s="1" t="str">
        <f xml:space="preserve"> IF('Master Player List'!L63=8,CONCATENATE('Master Player List'!C63," (",'Master Player List'!E63,")"),"")</f>
        <v>Schedler, Chris  (12.1)</v>
      </c>
      <c r="D92" s="1" t="str">
        <f xml:space="preserve"> IF('Master Player List'!L63=8,CONCATENATE('Master Player List'!F63," (",'Master Player List'!H63,")"),"")</f>
        <v>Barrs, Eric  (8.1)</v>
      </c>
      <c r="E92" s="89">
        <v>1300</v>
      </c>
      <c r="F92" s="110" t="s">
        <v>7</v>
      </c>
      <c r="H92" s="38" t="str">
        <f xml:space="preserve"> "2nd (" &amp; (TEXT('Payout Calc'!$K$5, "0%")) &amp; ")"</f>
        <v>2nd (30%)</v>
      </c>
      <c r="I92" s="102">
        <f>'Payout Calc'!L58</f>
        <v>1685</v>
      </c>
      <c r="J92" s="119" t="s">
        <v>86</v>
      </c>
      <c r="K92" s="117" t="str">
        <f>VLOOKUP(J92,'Master Player List'!$C$2:$N$82,12,0)</f>
        <v xml:space="preserve">Aghazadeh, Abdol </v>
      </c>
      <c r="M92" s="165" t="str">
        <f xml:space="preserve"> "2nd (" &amp; (TEXT('Payout Calc'!$I$5, "0%")) &amp; ")"</f>
        <v>2nd (30%)</v>
      </c>
      <c r="N92" s="102">
        <f>'Payout Calc'!L68</f>
        <v>300</v>
      </c>
      <c r="O92" s="119" t="s">
        <v>87</v>
      </c>
      <c r="P92" s="117" t="str">
        <f>VLOOKUP(O92,'Master Player List'!$C$2:$N$82,12,0)</f>
        <v xml:space="preserve">Weaver, Brian </v>
      </c>
      <c r="Q92" s="119"/>
      <c r="R92" s="117" t="e">
        <f>VLOOKUP(Q92,'Master Player List'!$C$2:$N$82,12,0)</f>
        <v>#N/A</v>
      </c>
      <c r="S92" s="119"/>
      <c r="T92" s="117" t="e">
        <f>VLOOKUP(S92,'Master Player List'!$C$2:$N$82,12,0)</f>
        <v>#N/A</v>
      </c>
    </row>
    <row r="93" spans="1:20" x14ac:dyDescent="0.35">
      <c r="A93" s="21">
        <v>6</v>
      </c>
      <c r="B93" s="1">
        <f xml:space="preserve"> IF('Master Player List'!L64=8,'Master Player List'!I64,"")</f>
        <v>20.5</v>
      </c>
      <c r="C93" s="1" t="str">
        <f xml:space="preserve"> IF('Master Player List'!L64=8,CONCATENATE('Master Player List'!C64," (",'Master Player List'!E64,")"),"")</f>
        <v>Weaver, Brian  (15.9)</v>
      </c>
      <c r="D93" s="1" t="str">
        <f xml:space="preserve"> IF('Master Player List'!L64=8,CONCATENATE('Master Player List'!F64," (",'Master Player List'!H64,")"),"")</f>
        <v>Kenney, Michael  (4.6)</v>
      </c>
      <c r="E93" s="89">
        <v>1000</v>
      </c>
      <c r="F93" s="110" t="s">
        <v>87</v>
      </c>
      <c r="H93" s="38" t="str">
        <f xml:space="preserve"> "3rd (" &amp; (TEXT('Payout Calc'!$K$6, "0%")) &amp; ")"</f>
        <v>3rd (20%)</v>
      </c>
      <c r="I93" s="102">
        <f>'Payout Calc'!L59</f>
        <v>1120</v>
      </c>
      <c r="J93" s="119" t="s">
        <v>58</v>
      </c>
      <c r="K93" s="117" t="str">
        <f>VLOOKUP(J93,'Master Player List'!$C$2:$N$82,12,0)</f>
        <v xml:space="preserve">Capone, Michael </v>
      </c>
      <c r="M93" s="165" t="str">
        <f xml:space="preserve"> "3rd (" &amp; (TEXT('Payout Calc'!$I$6, "0%")) &amp; ")"</f>
        <v>3rd (20%)</v>
      </c>
      <c r="N93" s="102">
        <f>'Payout Calc'!L69</f>
        <v>200</v>
      </c>
      <c r="O93" s="119"/>
      <c r="P93" s="117" t="e">
        <f>VLOOKUP(O93,'Master Player List'!$C$2:$N$82,12,0)</f>
        <v>#N/A</v>
      </c>
      <c r="Q93" s="119"/>
      <c r="R93" s="117" t="e">
        <f>VLOOKUP(Q93,'Master Player List'!$C$2:$N$82,12,0)</f>
        <v>#N/A</v>
      </c>
      <c r="S93" s="119" t="s">
        <v>84</v>
      </c>
      <c r="T93" s="117" t="str">
        <f>VLOOKUP(S93,'Master Player List'!$C$2:$N$82,12,0)</f>
        <v xml:space="preserve">Kandala, Ravi </v>
      </c>
    </row>
    <row r="94" spans="1:20" x14ac:dyDescent="0.35">
      <c r="A94" s="21">
        <v>7</v>
      </c>
      <c r="B94" s="1">
        <f xml:space="preserve"> IF('Master Player List'!L65=8,'Master Player List'!I65,"")</f>
        <v>21.4</v>
      </c>
      <c r="C94" s="1" t="str">
        <f xml:space="preserve"> IF('Master Player List'!L65=8,CONCATENATE('Master Player List'!C65," (",'Master Player List'!E65,")"),"")</f>
        <v>Capone, Michael  (16.3)</v>
      </c>
      <c r="D94" s="1" t="str">
        <f xml:space="preserve"> IF('Master Player List'!L65=8,CONCATENATE('Master Player List'!F65," (",'Master Player List'!H65,")"),"")</f>
        <v>Simpson, Corey  (5.1)</v>
      </c>
      <c r="E94" s="89">
        <v>1100</v>
      </c>
      <c r="F94" s="110" t="s">
        <v>58</v>
      </c>
      <c r="H94" s="40"/>
      <c r="I94" s="161"/>
      <c r="J94" s="162"/>
      <c r="K94" s="160"/>
      <c r="M94" s="172"/>
      <c r="N94" s="240"/>
      <c r="O94" s="239"/>
      <c r="P94" s="160"/>
      <c r="Q94" s="236"/>
      <c r="R94" s="190"/>
      <c r="S94" s="191"/>
      <c r="T94" s="192"/>
    </row>
    <row r="95" spans="1:20" x14ac:dyDescent="0.35">
      <c r="A95" s="21">
        <v>8</v>
      </c>
      <c r="B95" s="1">
        <f xml:space="preserve"> IF('Master Player List'!L66=8,'Master Player List'!I66,"")</f>
        <v>22.3</v>
      </c>
      <c r="C95" s="1" t="str">
        <f xml:space="preserve"> IF('Master Player List'!L66=8,CONCATENATE('Master Player List'!C66," (",'Master Player List'!E66,")"),"")</f>
        <v>Manganaro, Tony  (8.8)</v>
      </c>
      <c r="D95" s="1" t="str">
        <f xml:space="preserve"> IF('Master Player List'!L66=8,CONCATENATE('Master Player List'!F66," (",'Master Player List'!H66,")"),"")</f>
        <v>Richgels, Kevin  (13.5)</v>
      </c>
      <c r="E95" s="89">
        <v>1700</v>
      </c>
      <c r="F95" s="110" t="s">
        <v>30</v>
      </c>
      <c r="M95" s="18"/>
      <c r="N95" s="157"/>
      <c r="O95" s="19"/>
      <c r="P95" s="1"/>
      <c r="Q95" s="45"/>
      <c r="R95" s="1"/>
      <c r="S95" s="45"/>
      <c r="T95" s="1"/>
    </row>
    <row r="96" spans="1:20" ht="15" thickBot="1" x14ac:dyDescent="0.4">
      <c r="A96" s="21"/>
      <c r="D96" s="1" t="s">
        <v>28</v>
      </c>
      <c r="E96" s="89">
        <f>SUM(E88:E95)</f>
        <v>9300</v>
      </c>
      <c r="F96" s="110"/>
    </row>
    <row r="97" spans="1:20" ht="21" x14ac:dyDescent="0.5">
      <c r="A97" s="265" t="s">
        <v>88</v>
      </c>
      <c r="B97" s="266"/>
      <c r="C97" s="266"/>
      <c r="D97" s="267"/>
      <c r="E97" s="262"/>
      <c r="F97" s="264"/>
    </row>
    <row r="98" spans="1:20" ht="15" thickBot="1" x14ac:dyDescent="0.4">
      <c r="A98" s="27" t="s">
        <v>11</v>
      </c>
      <c r="B98" s="28" t="s">
        <v>12</v>
      </c>
      <c r="C98" s="28" t="s">
        <v>2</v>
      </c>
      <c r="D98" s="29" t="s">
        <v>13</v>
      </c>
      <c r="E98" s="2" t="s">
        <v>14</v>
      </c>
      <c r="F98" s="29" t="s">
        <v>15</v>
      </c>
    </row>
    <row r="99" spans="1:20" ht="21.5" thickBot="1" x14ac:dyDescent="0.5">
      <c r="A99" s="21">
        <v>1</v>
      </c>
      <c r="B99" s="1">
        <f xml:space="preserve"> IF('Master Player List'!L67=9,'Master Player List'!I67,"")</f>
        <v>22.7</v>
      </c>
      <c r="C99" s="1" t="str">
        <f xml:space="preserve"> IF('Master Player List'!L67=9,CONCATENATE('Master Player List'!C67," (",'Master Player List'!E67,")"),"")</f>
        <v>Cress, Pj  (8.6)</v>
      </c>
      <c r="D99" s="1" t="str">
        <f xml:space="preserve"> IF('Master Player List'!L67=9,CONCATENATE('Master Player List'!F67," (",'Master Player List'!H67,")"),"")</f>
        <v>Rojas, Juan  (14.1)</v>
      </c>
      <c r="E99" s="88">
        <v>1000</v>
      </c>
      <c r="F99" s="109" t="s">
        <v>58</v>
      </c>
      <c r="H99" s="83" t="s">
        <v>89</v>
      </c>
      <c r="I99" s="137">
        <f>SUM(E99:E106)</f>
        <v>9300</v>
      </c>
      <c r="J99" s="137"/>
      <c r="K99" s="51"/>
      <c r="M99" s="134" t="s">
        <v>17</v>
      </c>
      <c r="N99" s="135"/>
      <c r="O99" s="135"/>
      <c r="P99" s="135"/>
      <c r="Q99" s="135"/>
      <c r="R99" s="135"/>
      <c r="S99" s="135"/>
      <c r="T99" s="136"/>
    </row>
    <row r="100" spans="1:20" ht="15" thickBot="1" x14ac:dyDescent="0.4">
      <c r="A100" s="21">
        <v>2</v>
      </c>
      <c r="B100" s="1">
        <f xml:space="preserve"> IF('Master Player List'!L68=9,'Master Player List'!I68,"")</f>
        <v>23</v>
      </c>
      <c r="C100" s="1" t="str">
        <f xml:space="preserve"> IF('Master Player List'!L68=9,CONCATENATE('Master Player List'!C68," (",'Master Player List'!E68,")"),"")</f>
        <v>Bohnen, John  (5.1)</v>
      </c>
      <c r="D100" s="1" t="str">
        <f xml:space="preserve"> IF('Master Player List'!L68=9,CONCATENATE('Master Player List'!F68," (",'Master Player List'!H68,")"),"")</f>
        <v>Cobb, Tony  (17.9)</v>
      </c>
      <c r="E100" s="89">
        <v>1300</v>
      </c>
      <c r="F100" s="110" t="s">
        <v>32</v>
      </c>
      <c r="H100" s="138" t="s">
        <v>19</v>
      </c>
      <c r="I100" s="139"/>
      <c r="J100" s="139"/>
      <c r="K100" s="140"/>
      <c r="M100" s="167"/>
      <c r="N100" s="168"/>
      <c r="O100" s="271" t="s">
        <v>20</v>
      </c>
      <c r="P100" s="272"/>
      <c r="Q100" s="271" t="s">
        <v>21</v>
      </c>
      <c r="R100" s="272"/>
      <c r="S100" s="269" t="s">
        <v>22</v>
      </c>
      <c r="T100" s="270"/>
    </row>
    <row r="101" spans="1:20" x14ac:dyDescent="0.35">
      <c r="A101" s="21">
        <v>3</v>
      </c>
      <c r="B101" s="1">
        <f xml:space="preserve"> IF('Master Player List'!L69=9,'Master Player List'!I69,"")</f>
        <v>23.700000000000003</v>
      </c>
      <c r="C101" s="1" t="str">
        <f xml:space="preserve"> IF('Master Player List'!L69=9,CONCATENATE('Master Player List'!C69," (",'Master Player List'!E69,")"),"")</f>
        <v>Clements, Jake  (13.4)</v>
      </c>
      <c r="D101" s="1" t="str">
        <f xml:space="preserve"> IF('Master Player List'!L69=9,CONCATENATE('Master Player List'!F69," (",'Master Player List'!H69,")"),"")</f>
        <v>Clements, Roy  (10.3)</v>
      </c>
      <c r="E101" s="89">
        <v>800</v>
      </c>
      <c r="F101" s="110" t="s">
        <v>44</v>
      </c>
      <c r="H101" s="129"/>
      <c r="I101" s="130"/>
      <c r="J101" s="131" t="s">
        <v>2</v>
      </c>
      <c r="K101" s="133" t="s">
        <v>3</v>
      </c>
      <c r="M101" s="169"/>
      <c r="N101" s="1"/>
      <c r="O101" s="237" t="s">
        <v>2</v>
      </c>
      <c r="P101" s="238" t="s">
        <v>3</v>
      </c>
      <c r="Q101" s="235" t="s">
        <v>2</v>
      </c>
      <c r="R101" s="118" t="s">
        <v>3</v>
      </c>
      <c r="S101" s="235" t="s">
        <v>2</v>
      </c>
      <c r="T101" s="170" t="s">
        <v>3</v>
      </c>
    </row>
    <row r="102" spans="1:20" x14ac:dyDescent="0.35">
      <c r="A102" s="21">
        <v>4</v>
      </c>
      <c r="B102" s="1">
        <f xml:space="preserve"> IF('Master Player List'!L70=9,'Master Player List'!I70,"")</f>
        <v>23.9</v>
      </c>
      <c r="C102" s="1" t="str">
        <f xml:space="preserve"> IF('Master Player List'!L70=9,CONCATENATE('Master Player List'!C70," (",'Master Player List'!E70,")"),"")</f>
        <v>Altamirano, Joe  (15.6)</v>
      </c>
      <c r="D102" s="1" t="str">
        <f xml:space="preserve"> IF('Master Player List'!L70=9,CONCATENATE('Master Player List'!F70," (",'Master Player List'!H70,")"),"")</f>
        <v>Khanna, Ashish  (8.3)</v>
      </c>
      <c r="E102" s="89">
        <v>900</v>
      </c>
      <c r="F102" s="110" t="s">
        <v>90</v>
      </c>
      <c r="H102" s="38" t="str">
        <f xml:space="preserve"> "1st (" &amp; (TEXT('Payout Calc'!$K$4, "0%")) &amp; ")"</f>
        <v>1st (50%)</v>
      </c>
      <c r="I102" s="102">
        <f>'Payout Calc'!P57</f>
        <v>2810</v>
      </c>
      <c r="J102" s="119" t="s">
        <v>91</v>
      </c>
      <c r="K102" s="117" t="str">
        <f>VLOOKUP(J102,'Master Player List'!$C$2:$N$82,12,0)</f>
        <v xml:space="preserve">Fulmer, Austen </v>
      </c>
      <c r="M102" s="165" t="str">
        <f xml:space="preserve"> "1st (" &amp; (TEXT('Payout Calc'!$I$4, "0%")) &amp; ")"</f>
        <v>1st (50%)</v>
      </c>
      <c r="N102" s="102">
        <f>'Payout Calc'!P67</f>
        <v>500</v>
      </c>
      <c r="O102" s="119" t="s">
        <v>32</v>
      </c>
      <c r="P102" s="117" t="str">
        <f>VLOOKUP(O102,'Master Player List'!$C$2:$N$82,12,0)</f>
        <v xml:space="preserve">Bohnen, John </v>
      </c>
      <c r="Q102" s="119" t="s">
        <v>55</v>
      </c>
      <c r="R102" s="117" t="str">
        <f>VLOOKUP(Q102,'Master Player List'!$C$2:$N$82,12,0)</f>
        <v xml:space="preserve">Schnautz, David </v>
      </c>
      <c r="S102" s="119" t="s">
        <v>90</v>
      </c>
      <c r="T102" s="117" t="str">
        <f>VLOOKUP(S102,'Master Player List'!$C$2:$N$82,12,0)</f>
        <v xml:space="preserve">Altamirano, Joe </v>
      </c>
    </row>
    <row r="103" spans="1:20" x14ac:dyDescent="0.35">
      <c r="A103" s="21">
        <v>5</v>
      </c>
      <c r="B103" s="1">
        <f xml:space="preserve"> IF('Master Player List'!L71=9,'Master Player List'!I71,"")</f>
        <v>24.1</v>
      </c>
      <c r="C103" s="1" t="str">
        <f xml:space="preserve"> IF('Master Player List'!L71=9,CONCATENATE('Master Player List'!C71," (",'Master Player List'!E71,")"),"")</f>
        <v>Barney, Jorge  (6.4)</v>
      </c>
      <c r="D103" s="1" t="str">
        <f xml:space="preserve"> IF('Master Player List'!L71=9,CONCATENATE('Master Player List'!F71," (",'Master Player List'!H71,")"),"")</f>
        <v>Barney, Robert  (17.7)</v>
      </c>
      <c r="E103" s="89">
        <v>1400</v>
      </c>
      <c r="F103" s="110" t="s">
        <v>18</v>
      </c>
      <c r="H103" s="38" t="str">
        <f xml:space="preserve"> "2nd (" &amp; (TEXT('Payout Calc'!$K$5, "0%")) &amp; ")"</f>
        <v>2nd (30%)</v>
      </c>
      <c r="I103" s="102">
        <f>'Payout Calc'!P58</f>
        <v>1685</v>
      </c>
      <c r="J103" s="119" t="s">
        <v>70</v>
      </c>
      <c r="K103" s="117" t="str">
        <f>VLOOKUP(J103,'Master Player List'!$C$2:$N$82,12,0)</f>
        <v xml:space="preserve">Grantham, Mark </v>
      </c>
      <c r="M103" s="165" t="str">
        <f xml:space="preserve"> "2nd (" &amp; (TEXT('Payout Calc'!$I$5, "0%")) &amp; ")"</f>
        <v>2nd (30%)</v>
      </c>
      <c r="N103" s="102">
        <f>'Payout Calc'!P68</f>
        <v>300</v>
      </c>
      <c r="O103" s="119"/>
      <c r="P103" s="117" t="e">
        <f>VLOOKUP(O103,'Master Player List'!$C$2:$N$82,12,0)</f>
        <v>#N/A</v>
      </c>
      <c r="Q103" s="119" t="s">
        <v>90</v>
      </c>
      <c r="R103" s="117" t="str">
        <f>VLOOKUP(Q103,'Master Player List'!$C$2:$N$82,12,0)</f>
        <v xml:space="preserve">Altamirano, Joe </v>
      </c>
      <c r="S103" s="119"/>
      <c r="T103" s="117" t="e">
        <f>VLOOKUP(S103,'Master Player List'!$C$2:$N$82,12,0)</f>
        <v>#N/A</v>
      </c>
    </row>
    <row r="104" spans="1:20" x14ac:dyDescent="0.35">
      <c r="A104" s="21">
        <v>6</v>
      </c>
      <c r="B104" s="1">
        <f xml:space="preserve"> IF('Master Player List'!L72=9,'Master Player List'!I72,"")</f>
        <v>24.1</v>
      </c>
      <c r="C104" s="1" t="str">
        <f xml:space="preserve"> IF('Master Player List'!L72=9,CONCATENATE('Master Player List'!C72," (",'Master Player List'!E72,")"),"")</f>
        <v>Schnautz, David  (17.7)</v>
      </c>
      <c r="D104" s="1" t="str">
        <f xml:space="preserve"> IF('Master Player List'!L72=9,CONCATENATE('Master Player List'!F72," (",'Master Player List'!H72,")"),"")</f>
        <v>Pierson, Kevin  (6.4)</v>
      </c>
      <c r="E104" s="89">
        <v>1100</v>
      </c>
      <c r="F104" s="110" t="s">
        <v>55</v>
      </c>
      <c r="H104" s="38" t="str">
        <f xml:space="preserve"> "3rd (" &amp; (TEXT('Payout Calc'!$K$6, "0%")) &amp; ")"</f>
        <v>3rd (20%)</v>
      </c>
      <c r="I104" s="102">
        <f>'Payout Calc'!P59</f>
        <v>1120</v>
      </c>
      <c r="J104" s="119" t="s">
        <v>92</v>
      </c>
      <c r="K104" s="117" t="str">
        <f>VLOOKUP(J104,'Master Player List'!$C$2:$N$82,12,0)</f>
        <v xml:space="preserve">Vaughn, Earl </v>
      </c>
      <c r="M104" s="165" t="str">
        <f xml:space="preserve"> "3rd (" &amp; (TEXT('Payout Calc'!$I$6, "0%")) &amp; ")"</f>
        <v>3rd (20%)</v>
      </c>
      <c r="N104" s="102">
        <f>'Payout Calc'!P69</f>
        <v>200</v>
      </c>
      <c r="O104" s="119"/>
      <c r="P104" s="117" t="e">
        <f>VLOOKUP(O104,'Master Player List'!$C$2:$N$82,12,0)</f>
        <v>#N/A</v>
      </c>
      <c r="Q104" s="119"/>
      <c r="R104" s="117" t="e">
        <f>VLOOKUP(Q104,'Master Player List'!$C$2:$N$82,12,0)</f>
        <v>#N/A</v>
      </c>
      <c r="S104" s="119" t="s">
        <v>93</v>
      </c>
      <c r="T104" s="117" t="str">
        <f>VLOOKUP(S104,'Master Player List'!$C$2:$N$82,12,0)</f>
        <v xml:space="preserve">Edwards, Patric </v>
      </c>
    </row>
    <row r="105" spans="1:20" x14ac:dyDescent="0.35">
      <c r="A105" s="21">
        <v>7</v>
      </c>
      <c r="B105" s="1">
        <f xml:space="preserve"> IF('Master Player List'!L73=9,'Master Player List'!I73,"")</f>
        <v>25.5</v>
      </c>
      <c r="C105" s="1" t="str">
        <f xml:space="preserve"> IF('Master Player List'!L73=9,CONCATENATE('Master Player List'!C73," (",'Master Player List'!E73,")"),"")</f>
        <v>Grantham, Mark  (13)</v>
      </c>
      <c r="D105" s="1" t="str">
        <f xml:space="preserve"> IF('Master Player List'!L73=9,CONCATENATE('Master Player List'!F73," (",'Master Player List'!H73,")"),"")</f>
        <v>Shaw, Stuart  (12.5)</v>
      </c>
      <c r="E105" s="89">
        <v>1100</v>
      </c>
      <c r="F105" s="110" t="s">
        <v>70</v>
      </c>
      <c r="H105" s="40"/>
      <c r="I105" s="161"/>
      <c r="J105" s="162"/>
      <c r="K105" s="160"/>
      <c r="M105" s="172"/>
      <c r="N105" s="240"/>
      <c r="O105" s="239"/>
      <c r="P105" s="160"/>
      <c r="Q105" s="236"/>
      <c r="R105" s="190"/>
      <c r="S105" s="191"/>
      <c r="T105" s="192"/>
    </row>
    <row r="106" spans="1:20" x14ac:dyDescent="0.35">
      <c r="A106" s="21">
        <v>8</v>
      </c>
      <c r="B106" s="1">
        <f xml:space="preserve"> IF('Master Player List'!L74=9,'Master Player List'!I74,"")</f>
        <v>27.200000000000003</v>
      </c>
      <c r="C106" s="1" t="str">
        <f xml:space="preserve"> IF('Master Player List'!L74=9,CONCATENATE('Master Player List'!C74," (",'Master Player List'!E74,")"),"")</f>
        <v>Kruchowsky, Tim  (12.4)</v>
      </c>
      <c r="D106" s="1" t="str">
        <f xml:space="preserve"> IF('Master Player List'!L74=9,CONCATENATE('Master Player List'!F74," (",'Master Player List'!H74,")"),"")</f>
        <v>Mathers, Jb  (14.8)</v>
      </c>
      <c r="E106" s="89">
        <v>1700</v>
      </c>
      <c r="F106" s="110" t="s">
        <v>36</v>
      </c>
      <c r="M106" s="18"/>
      <c r="N106" s="157"/>
      <c r="O106" s="19"/>
      <c r="P106" s="1"/>
      <c r="Q106" s="45"/>
      <c r="R106" s="1"/>
      <c r="S106" s="45"/>
      <c r="T106" s="1"/>
    </row>
    <row r="107" spans="1:20" ht="15" thickBot="1" x14ac:dyDescent="0.4">
      <c r="A107" s="21"/>
      <c r="D107" s="1" t="s">
        <v>28</v>
      </c>
      <c r="E107" s="203">
        <f>SUM(E99:E106)</f>
        <v>9300</v>
      </c>
      <c r="F107" s="155"/>
      <c r="G107" s="19"/>
    </row>
    <row r="108" spans="1:20" ht="21" x14ac:dyDescent="0.5">
      <c r="A108" s="265" t="s">
        <v>94</v>
      </c>
      <c r="B108" s="266"/>
      <c r="C108" s="266"/>
      <c r="D108" s="267"/>
      <c r="E108" s="154"/>
      <c r="F108" s="153"/>
      <c r="G108" s="19"/>
    </row>
    <row r="109" spans="1:20" ht="15" thickBot="1" x14ac:dyDescent="0.4">
      <c r="A109" s="116" t="s">
        <v>11</v>
      </c>
      <c r="B109" s="2" t="s">
        <v>12</v>
      </c>
      <c r="C109" s="2" t="s">
        <v>2</v>
      </c>
      <c r="D109" s="20" t="s">
        <v>13</v>
      </c>
      <c r="E109" s="2" t="s">
        <v>14</v>
      </c>
      <c r="F109" s="20" t="s">
        <v>15</v>
      </c>
      <c r="G109" s="19"/>
    </row>
    <row r="110" spans="1:20" ht="21.5" thickBot="1" x14ac:dyDescent="0.5">
      <c r="A110" s="225">
        <v>1</v>
      </c>
      <c r="B110" s="130">
        <f xml:space="preserve"> IF('Master Player List'!L75=10,'Master Player List'!I75,"")</f>
        <v>27.7</v>
      </c>
      <c r="C110" s="130" t="str">
        <f xml:space="preserve"> IF('Master Player List'!L75=10,CONCATENATE('Master Player List'!C75," (",'Master Player List'!E75,")"),"")</f>
        <v>Deangelis, Adam  (10)</v>
      </c>
      <c r="D110" s="130" t="str">
        <f xml:space="preserve"> IF('Master Player List'!L75=10,CONCATENATE('Master Player List'!F75," (",'Master Player List'!H75,")"),"")</f>
        <v>Carter, William  (17.7)</v>
      </c>
      <c r="E110" s="88">
        <v>1400</v>
      </c>
      <c r="F110" s="109" t="s">
        <v>44</v>
      </c>
      <c r="G110" s="19"/>
      <c r="H110" s="83" t="s">
        <v>95</v>
      </c>
      <c r="I110" s="137">
        <f>SUM(E110:E117)</f>
        <v>8300</v>
      </c>
      <c r="J110" s="137"/>
      <c r="K110" s="51"/>
      <c r="M110" s="134" t="s">
        <v>17</v>
      </c>
      <c r="N110" s="135"/>
      <c r="O110" s="135"/>
      <c r="P110" s="135"/>
      <c r="Q110" s="135"/>
      <c r="R110" s="135"/>
      <c r="S110" s="135"/>
      <c r="T110" s="136"/>
    </row>
    <row r="111" spans="1:20" ht="15" thickBot="1" x14ac:dyDescent="0.4">
      <c r="A111" s="21">
        <v>2</v>
      </c>
      <c r="B111" s="1">
        <f xml:space="preserve"> IF('Master Player List'!L76=10,'Master Player List'!I76,"")</f>
        <v>29.3</v>
      </c>
      <c r="C111" s="1" t="str">
        <f xml:space="preserve"> IF('Master Player List'!L76=10,CONCATENATE('Master Player List'!C76," (",'Master Player List'!E76,")"),"")</f>
        <v>Walters, Neil  (12)</v>
      </c>
      <c r="D111" s="1" t="str">
        <f xml:space="preserve"> IF('Master Player List'!L76=10,CONCATENATE('Master Player List'!F76," (",'Master Player List'!H76,")"),"")</f>
        <v>Ballard, Tom  (17.3)</v>
      </c>
      <c r="E111" s="89">
        <v>800</v>
      </c>
      <c r="F111" s="110" t="s">
        <v>70</v>
      </c>
      <c r="G111" s="19"/>
      <c r="H111" s="138" t="s">
        <v>19</v>
      </c>
      <c r="I111" s="139"/>
      <c r="J111" s="139"/>
      <c r="K111" s="140"/>
      <c r="M111" s="167"/>
      <c r="N111" s="168"/>
      <c r="O111" s="271" t="s">
        <v>20</v>
      </c>
      <c r="P111" s="272"/>
      <c r="Q111" s="271" t="s">
        <v>21</v>
      </c>
      <c r="R111" s="272"/>
      <c r="S111" s="269" t="s">
        <v>22</v>
      </c>
      <c r="T111" s="270"/>
    </row>
    <row r="112" spans="1:20" x14ac:dyDescent="0.35">
      <c r="A112" s="21">
        <v>3</v>
      </c>
      <c r="B112" s="1">
        <f xml:space="preserve"> IF('Master Player List'!L77=10,'Master Player List'!I77,"")</f>
        <v>30.1</v>
      </c>
      <c r="C112" s="1" t="str">
        <f xml:space="preserve"> IF('Master Player List'!L77=10,CONCATENATE('Master Player List'!C77," (",'Master Player List'!E77,")"),"")</f>
        <v>Wedgeworth, Cliff  (15.9)</v>
      </c>
      <c r="D112" s="1" t="str">
        <f xml:space="preserve"> IF('Master Player List'!L77=10,CONCATENATE('Master Player List'!F77," (",'Master Player List'!H77,")"),"")</f>
        <v>Halbert, Trey  (14.2)</v>
      </c>
      <c r="E112" s="89">
        <v>1000</v>
      </c>
      <c r="F112" s="110" t="s">
        <v>39</v>
      </c>
      <c r="G112" s="19"/>
      <c r="H112" s="129"/>
      <c r="I112" s="130"/>
      <c r="J112" s="131" t="s">
        <v>2</v>
      </c>
      <c r="K112" s="133" t="s">
        <v>3</v>
      </c>
      <c r="M112" s="169"/>
      <c r="N112" s="1"/>
      <c r="O112" s="237" t="s">
        <v>2</v>
      </c>
      <c r="P112" s="238" t="s">
        <v>3</v>
      </c>
      <c r="Q112" s="235" t="s">
        <v>2</v>
      </c>
      <c r="R112" s="118" t="s">
        <v>3</v>
      </c>
      <c r="S112" s="235" t="s">
        <v>2</v>
      </c>
      <c r="T112" s="170" t="s">
        <v>3</v>
      </c>
    </row>
    <row r="113" spans="1:20" x14ac:dyDescent="0.35">
      <c r="A113" s="21">
        <v>4</v>
      </c>
      <c r="B113" s="1">
        <f xml:space="preserve"> IF('Master Player List'!L78=10,'Master Player List'!I78,"")</f>
        <v>30.6</v>
      </c>
      <c r="C113" s="1" t="str">
        <f xml:space="preserve"> IF('Master Player List'!L78=10,CONCATENATE('Master Player List'!C78," (",'Master Player List'!E78,")"),"")</f>
        <v>Donohue, Robert  (17.1)</v>
      </c>
      <c r="D113" s="1" t="str">
        <f xml:space="preserve"> IF('Master Player List'!L78=10,CONCATENATE('Master Player List'!F78," (",'Master Player List'!H78,")"),"")</f>
        <v>Edwards, Mark  (13.5)</v>
      </c>
      <c r="E113" s="89">
        <v>800</v>
      </c>
      <c r="F113" s="110" t="s">
        <v>9</v>
      </c>
      <c r="G113" s="19"/>
      <c r="H113" s="38" t="str">
        <f xml:space="preserve"> "1st (" &amp; (TEXT('Payout Calc'!$K$4, "0%")) &amp; ")"</f>
        <v>1st (50%)</v>
      </c>
      <c r="I113" s="102">
        <f>'Payout Calc'!T57</f>
        <v>2505</v>
      </c>
      <c r="J113" s="119" t="s">
        <v>96</v>
      </c>
      <c r="K113" s="117" t="str">
        <f>VLOOKUP(J113,'Master Player List'!$C$2:$N$82,12,0)</f>
        <v xml:space="preserve">Aghazadeh, Abdol </v>
      </c>
      <c r="M113" s="165" t="str">
        <f xml:space="preserve"> "1st (" &amp; (TEXT('Payout Calc'!$I$4, "0%")) &amp; ")"</f>
        <v>1st (50%)</v>
      </c>
      <c r="N113" s="102">
        <f>'Payout Calc'!T67</f>
        <v>445</v>
      </c>
      <c r="O113" s="119" t="s">
        <v>97</v>
      </c>
      <c r="P113" s="117" t="str">
        <f>VLOOKUP(O113,'Master Player List'!$C$2:$N$82,12,0)</f>
        <v xml:space="preserve">Grantham, Mark </v>
      </c>
      <c r="Q113" s="119"/>
      <c r="R113" s="117" t="e">
        <f>VLOOKUP(Q113,'Master Player List'!$C$2:$N$82,12,0)</f>
        <v>#N/A</v>
      </c>
      <c r="S113" s="119"/>
      <c r="T113" s="117" t="e">
        <f>VLOOKUP(S113,'Master Player List'!$C$2:$N$82,12,0)</f>
        <v>#N/A</v>
      </c>
    </row>
    <row r="114" spans="1:20" x14ac:dyDescent="0.35">
      <c r="A114" s="21">
        <v>5</v>
      </c>
      <c r="B114" s="1">
        <f xml:space="preserve"> IF('Master Player List'!L79=10,'Master Player List'!I79,"")</f>
        <v>30.8</v>
      </c>
      <c r="C114" s="1" t="str">
        <f xml:space="preserve"> IF('Master Player List'!L79=10,CONCATENATE('Master Player List'!C79," (",'Master Player List'!E79,")"),"")</f>
        <v>Patterson, Taylor  (14.8)</v>
      </c>
      <c r="D114" s="1" t="str">
        <f xml:space="preserve"> IF('Master Player List'!L79=10,CONCATENATE('Master Player List'!F79," (",'Master Player List'!H79,")"),"")</f>
        <v>Perkinson, Sebastian  (16)</v>
      </c>
      <c r="E114" s="89">
        <v>1000</v>
      </c>
      <c r="F114" s="110" t="s">
        <v>18</v>
      </c>
      <c r="G114" s="19"/>
      <c r="H114" s="38" t="str">
        <f xml:space="preserve"> "2nd (" &amp; (TEXT('Payout Calc'!$K$5, "0%")) &amp; ")"</f>
        <v>2nd (30%)</v>
      </c>
      <c r="I114" s="102">
        <f>'Payout Calc'!T58</f>
        <v>1500</v>
      </c>
      <c r="J114" s="119" t="s">
        <v>39</v>
      </c>
      <c r="K114" s="117" t="str">
        <f>VLOOKUP(J114,'Master Player List'!$C$2:$N$82,12,0)</f>
        <v xml:space="preserve">Wedgeworth, Cliff </v>
      </c>
      <c r="M114" s="165" t="str">
        <f xml:space="preserve"> "2nd (" &amp; (TEXT('Payout Calc'!$I$5, "0%")) &amp; ")"</f>
        <v>2nd (30%)</v>
      </c>
      <c r="N114" s="102">
        <f>'Payout Calc'!T68</f>
        <v>265</v>
      </c>
      <c r="O114" s="119"/>
      <c r="P114" s="117" t="e">
        <f>VLOOKUP(O114,'Master Player List'!$C$2:$N$82,12,0)</f>
        <v>#N/A</v>
      </c>
      <c r="Q114" s="119" t="s">
        <v>98</v>
      </c>
      <c r="R114" s="117" t="str">
        <f>VLOOKUP(Q114,'Master Player List'!$C$2:$N$82,12,0)</f>
        <v xml:space="preserve">Edwards, Patric </v>
      </c>
      <c r="S114" s="119"/>
      <c r="T114" s="117" t="e">
        <f>VLOOKUP(S114,'Master Player List'!$C$2:$N$82,12,0)</f>
        <v>#N/A</v>
      </c>
    </row>
    <row r="115" spans="1:20" x14ac:dyDescent="0.35">
      <c r="A115" s="21">
        <v>6</v>
      </c>
      <c r="B115" s="1">
        <f xml:space="preserve"> IF('Master Player List'!L80=10,'Master Player List'!I80,"")</f>
        <v>32</v>
      </c>
      <c r="C115" s="1" t="str">
        <f xml:space="preserve"> IF('Master Player List'!L80=10,CONCATENATE('Master Player List'!C80," (",'Master Player List'!E80,")"),"")</f>
        <v>Nesbitt, David  (13.5)</v>
      </c>
      <c r="D115" s="1" t="str">
        <f xml:space="preserve"> IF('Master Player List'!L80=10,CONCATENATE('Master Player List'!F80," (",'Master Player List'!H80,")"),"")</f>
        <v>Parnell, Chris  (18.5)</v>
      </c>
      <c r="E115" s="89">
        <v>800</v>
      </c>
      <c r="F115" s="110" t="s">
        <v>53</v>
      </c>
      <c r="G115" s="19"/>
      <c r="H115" s="38" t="str">
        <f xml:space="preserve"> "3rd (" &amp; (TEXT('Payout Calc'!$K$6, "0%")) &amp; ")"</f>
        <v>3rd (20%)</v>
      </c>
      <c r="I115" s="102">
        <f>'Payout Calc'!T59</f>
        <v>1000</v>
      </c>
      <c r="J115" s="119" t="s">
        <v>97</v>
      </c>
      <c r="K115" s="117" t="str">
        <f>VLOOKUP(J115,'Master Player List'!$C$2:$N$82,12,0)</f>
        <v xml:space="preserve">Grantham, Mark </v>
      </c>
      <c r="M115" s="165" t="str">
        <f xml:space="preserve"> "3rd (" &amp; (TEXT('Payout Calc'!$I$6, "0%")) &amp; ")"</f>
        <v>3rd (20%)</v>
      </c>
      <c r="N115" s="102">
        <f>'Payout Calc'!T69</f>
        <v>175</v>
      </c>
      <c r="O115" s="119"/>
      <c r="P115" s="117" t="e">
        <f>VLOOKUP(O115,'Master Player List'!$C$2:$N$82,12,0)</f>
        <v>#N/A</v>
      </c>
      <c r="Q115" s="119"/>
      <c r="R115" s="117" t="e">
        <f>VLOOKUP(Q115,'Master Player List'!$C$2:$N$82,12,0)</f>
        <v>#N/A</v>
      </c>
      <c r="S115" s="119" t="s">
        <v>57</v>
      </c>
      <c r="T115" s="117" t="str">
        <f>VLOOKUP(S115,'Master Player List'!$C$2:$N$82,12,0)</f>
        <v xml:space="preserve">Parent, Brian </v>
      </c>
    </row>
    <row r="116" spans="1:20" x14ac:dyDescent="0.35">
      <c r="A116" s="21">
        <v>7</v>
      </c>
      <c r="B116" s="1">
        <f xml:space="preserve"> IF('Master Player List'!L81=10,'Master Player List'!I81,"")</f>
        <v>33</v>
      </c>
      <c r="C116" s="1" t="str">
        <f xml:space="preserve"> IF('Master Player List'!L81=10,CONCATENATE('Master Player List'!C81," (",'Master Player List'!E81,")"),"")</f>
        <v>Pfaffe, Kyle  (16)</v>
      </c>
      <c r="D116" s="1" t="str">
        <f xml:space="preserve"> IF('Master Player List'!L81=10,CONCATENATE('Master Player List'!F81," (",'Master Player List'!H81,")"),"")</f>
        <v>Wallace, Richard  (17)</v>
      </c>
      <c r="E116" s="89">
        <v>1400</v>
      </c>
      <c r="F116" s="110" t="s">
        <v>99</v>
      </c>
      <c r="G116" s="19"/>
      <c r="H116" s="40"/>
      <c r="I116" s="161"/>
      <c r="J116" s="162"/>
      <c r="K116" s="160"/>
      <c r="M116" s="172"/>
      <c r="N116" s="240"/>
      <c r="O116" s="239"/>
      <c r="P116" s="160"/>
      <c r="Q116" s="236"/>
      <c r="R116" s="190"/>
      <c r="S116" s="191"/>
      <c r="T116" s="192"/>
    </row>
    <row r="117" spans="1:20" x14ac:dyDescent="0.35">
      <c r="A117" s="21">
        <v>8</v>
      </c>
      <c r="B117" s="1">
        <f xml:space="preserve"> IF('Master Player List'!L82=10,'Master Player List'!I82,"")</f>
        <v>41.3</v>
      </c>
      <c r="C117" s="1" t="str">
        <f xml:space="preserve"> IF('Master Player List'!L82=10,CONCATENATE('Master Player List'!C82," (",'Master Player List'!E82,")"),"")</f>
        <v>Parent, Brian  (21.6)</v>
      </c>
      <c r="D117" s="1" t="str">
        <f xml:space="preserve"> IF('Master Player List'!L82=10,CONCATENATE('Master Player List'!F82," (",'Master Player List'!H82,")"),"")</f>
        <v>Holmes, Justin  (19.7)</v>
      </c>
      <c r="E117" s="89">
        <v>1100</v>
      </c>
      <c r="F117" s="110" t="s">
        <v>57</v>
      </c>
      <c r="G117" s="19"/>
      <c r="M117" s="18"/>
      <c r="N117" s="157"/>
      <c r="O117" s="19"/>
      <c r="P117" s="1"/>
      <c r="Q117" s="45"/>
      <c r="R117" s="1"/>
      <c r="S117" s="45"/>
      <c r="T117" s="1"/>
    </row>
    <row r="118" spans="1:20" x14ac:dyDescent="0.35">
      <c r="A118" s="23"/>
      <c r="B118" s="24"/>
      <c r="C118" s="24"/>
      <c r="D118" s="24" t="s">
        <v>28</v>
      </c>
      <c r="E118" s="90">
        <f>SUM(E110:E117)</f>
        <v>8300</v>
      </c>
      <c r="F118" s="111"/>
      <c r="G118" s="19"/>
    </row>
    <row r="119" spans="1:20" x14ac:dyDescent="0.35">
      <c r="E119" s="4"/>
      <c r="F119" s="19"/>
      <c r="G119" s="19"/>
    </row>
  </sheetData>
  <sheetProtection sheet="1" objects="1" scenarios="1"/>
  <protectedRanges>
    <protectedRange sqref="E44:F52 E55:F63 E66:F73 E77:F85 E88:F96 E99:F106 E110:F118 E11:F19 E22:F30 E33:F41" name="Bid and Owner"/>
    <protectedRange sqref="M4:M7 J14:J17 O14:O19 Q14:Q19 S14:S19 J25:J28 O25:O29 Q25:Q29 S25:S29 J36:J39 O36:O41 Q36:Q41 S36:S41 J47:J50 O47:O52 Q47:Q52 S47:S52 J58:J61 O58:O62 Q58:Q62 S58:S62 J69:J72 O69:O73 Q69:Q73 S69:S73 J80:J83 O80:O84 Q80:Q84 S80:S84 J91:J94 O91:O95 Q91:Q95 S91:S95 J102:J105 O102:O106 Q102:Q106 S102:S106 J113:J116 O113:O117 Q113:Q117 S113:S117" name="Flight and Day money winners"/>
  </protectedRanges>
  <mergeCells count="47">
    <mergeCell ref="O111:P111"/>
    <mergeCell ref="Q111:R111"/>
    <mergeCell ref="S111:T111"/>
    <mergeCell ref="O89:P89"/>
    <mergeCell ref="Q89:R89"/>
    <mergeCell ref="S89:T89"/>
    <mergeCell ref="O100:P100"/>
    <mergeCell ref="Q100:R100"/>
    <mergeCell ref="S100:T100"/>
    <mergeCell ref="O67:P67"/>
    <mergeCell ref="Q67:R67"/>
    <mergeCell ref="S67:T67"/>
    <mergeCell ref="O78:P78"/>
    <mergeCell ref="Q78:R78"/>
    <mergeCell ref="S78:T78"/>
    <mergeCell ref="O45:P45"/>
    <mergeCell ref="Q45:R45"/>
    <mergeCell ref="S45:T45"/>
    <mergeCell ref="O56:P56"/>
    <mergeCell ref="Q56:R56"/>
    <mergeCell ref="S56:T56"/>
    <mergeCell ref="O34:P34"/>
    <mergeCell ref="Q34:R34"/>
    <mergeCell ref="S34:T34"/>
    <mergeCell ref="Q12:R12"/>
    <mergeCell ref="O12:P12"/>
    <mergeCell ref="A1:Q1"/>
    <mergeCell ref="S12:T12"/>
    <mergeCell ref="O23:P23"/>
    <mergeCell ref="Q23:R23"/>
    <mergeCell ref="S23:T23"/>
    <mergeCell ref="J7:L7"/>
    <mergeCell ref="J6:L6"/>
    <mergeCell ref="J5:L5"/>
    <mergeCell ref="J4:L4"/>
    <mergeCell ref="J3:L3"/>
    <mergeCell ref="G3:I3"/>
    <mergeCell ref="A86:D86"/>
    <mergeCell ref="A97:D97"/>
    <mergeCell ref="A108:D108"/>
    <mergeCell ref="A53:D53"/>
    <mergeCell ref="A64:D64"/>
    <mergeCell ref="A42:D42"/>
    <mergeCell ref="A31:D31"/>
    <mergeCell ref="A20:D20"/>
    <mergeCell ref="A9:D9"/>
    <mergeCell ref="A75:D75"/>
  </mergeCells>
  <phoneticPr fontId="26" type="noConversion"/>
  <pageMargins left="0.7" right="0.7" top="0.75" bottom="0.75" header="0.3" footer="0.3"/>
  <pageSetup scale="40" fitToHeight="0" orientation="landscape" r:id="rId1"/>
  <headerFooter>
    <oddHeader>&amp;L&amp;"Arial"&amp;10&amp;K0000FF [AMD Official Use Only - General]&amp;1#_x000D_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3F15463A-9004-4F89-82CC-DC79115358D0}">
          <x14:formula1>
            <xm:f>'Master Player List'!$C$3:$C$82</xm:f>
          </x14:formula1>
          <xm:sqref>F11:F18 F22:F29 F33:F40 F44:F51 F55:F62 F66:F73 F77:F84 F88:F95 F99:F106 F110:F117 M4:M6</xm:sqref>
        </x14:dataValidation>
        <x14:dataValidation type="list" allowBlank="1" showInputMessage="1" showErrorMessage="1" xr:uid="{AB024F12-4E3D-4ABF-9715-8F4E758B8757}">
          <x14:formula1>
            <xm:f>'Master Player List'!$C$3:$C$10</xm:f>
          </x14:formula1>
          <xm:sqref>J14:J16 O14:O16 Q14:Q16 S14:S16</xm:sqref>
        </x14:dataValidation>
        <x14:dataValidation type="list" allowBlank="1" showInputMessage="1" showErrorMessage="1" xr:uid="{F570A975-EA36-4BB5-BD41-CE45924ABB46}">
          <x14:formula1>
            <xm:f>'Master Player List'!$C$11:$C$18</xm:f>
          </x14:formula1>
          <xm:sqref>J25:J27 O25:O27 Q25:Q27 S25:S27</xm:sqref>
        </x14:dataValidation>
        <x14:dataValidation type="list" allowBlank="1" showInputMessage="1" showErrorMessage="1" xr:uid="{E4A0DFDC-19CB-46C4-B85E-FB9C1D00FB13}">
          <x14:formula1>
            <xm:f>'Master Player List'!$C$19:$C$26</xm:f>
          </x14:formula1>
          <xm:sqref>J36:J38 O36:O38 Q36:Q38 S36:S38</xm:sqref>
        </x14:dataValidation>
        <x14:dataValidation type="list" allowBlank="1" showInputMessage="1" showErrorMessage="1" xr:uid="{958D529D-295C-4721-99F1-671928AAE723}">
          <x14:formula1>
            <xm:f>'Master Player List'!$C$27:$C$34</xm:f>
          </x14:formula1>
          <xm:sqref>J47:J49 O47:O49 Q47:Q49 S47:S49</xm:sqref>
        </x14:dataValidation>
        <x14:dataValidation type="list" allowBlank="1" showInputMessage="1" showErrorMessage="1" xr:uid="{ACB6FEFD-D0EF-455F-85B7-4AF9854856D0}">
          <x14:formula1>
            <xm:f>'Master Player List'!$C$35:$C$42</xm:f>
          </x14:formula1>
          <xm:sqref>J58:J60 O58:O60 Q58:Q60 S58:S60</xm:sqref>
        </x14:dataValidation>
        <x14:dataValidation type="list" allowBlank="1" showInputMessage="1" showErrorMessage="1" xr:uid="{88C9A27D-E5D4-4834-9BEB-631A3D3DB7E9}">
          <x14:formula1>
            <xm:f>'Master Player List'!$C$43:$C$50</xm:f>
          </x14:formula1>
          <xm:sqref>J69:J71 O69:O71 Q69:Q71 S69:S71</xm:sqref>
        </x14:dataValidation>
        <x14:dataValidation type="list" allowBlank="1" showInputMessage="1" showErrorMessage="1" xr:uid="{5BEEF75D-E9E1-4868-8BF0-4B6B7B5DF519}">
          <x14:formula1>
            <xm:f>'Master Player List'!$C$51:$C$58</xm:f>
          </x14:formula1>
          <xm:sqref>J80:J82 O80:O82 Q80:Q82 S80:S82</xm:sqref>
        </x14:dataValidation>
        <x14:dataValidation type="list" allowBlank="1" showInputMessage="1" showErrorMessage="1" xr:uid="{A1C840DA-9EEA-4EAA-A816-5B21591FBDFD}">
          <x14:formula1>
            <xm:f>'Master Player List'!$C$59:$C$66</xm:f>
          </x14:formula1>
          <xm:sqref>J91:J93 O91:O93 Q91:Q93 S91:S93</xm:sqref>
        </x14:dataValidation>
        <x14:dataValidation type="list" allowBlank="1" showInputMessage="1" showErrorMessage="1" xr:uid="{A10A7EC8-18F0-4DF9-8343-43581E4243A2}">
          <x14:formula1>
            <xm:f>'Master Player List'!$C$67:$C$74</xm:f>
          </x14:formula1>
          <xm:sqref>J102:J104 O102:O104 Q102:Q104 S102:S104</xm:sqref>
        </x14:dataValidation>
        <x14:dataValidation type="list" allowBlank="1" showInputMessage="1" showErrorMessage="1" xr:uid="{5D8CAE4D-D52C-4C2D-A988-40360BA510F7}">
          <x14:formula1>
            <xm:f>'Master Player List'!$C$75:$C$82</xm:f>
          </x14:formula1>
          <xm:sqref>J113:J115 O113:O115 Q113:Q115 S113:S115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5893-3387-427B-B6D1-F45CF6F4D943}">
  <dimension ref="A1:C222"/>
  <sheetViews>
    <sheetView workbookViewId="0">
      <selection activeCell="B3" sqref="B3:B4"/>
    </sheetView>
  </sheetViews>
  <sheetFormatPr defaultColWidth="8.81640625" defaultRowHeight="11.15" customHeight="1" x14ac:dyDescent="0.35"/>
  <cols>
    <col min="1" max="1" width="3" bestFit="1" customWidth="1"/>
    <col min="2" max="2" width="23.81640625" bestFit="1" customWidth="1"/>
    <col min="3" max="3" width="22.1796875" bestFit="1" customWidth="1"/>
  </cols>
  <sheetData>
    <row r="1" spans="1:3" ht="11.15" customHeight="1" thickBot="1" x14ac:dyDescent="0.4">
      <c r="A1" s="6"/>
      <c r="B1" s="12" t="s">
        <v>100</v>
      </c>
      <c r="C1" s="12" t="s">
        <v>13</v>
      </c>
    </row>
    <row r="2" spans="1:3" ht="11.15" customHeight="1" x14ac:dyDescent="0.35">
      <c r="A2" s="7" t="s">
        <v>101</v>
      </c>
      <c r="B2" s="8" t="s">
        <v>102</v>
      </c>
      <c r="C2" s="8" t="s">
        <v>103</v>
      </c>
    </row>
    <row r="3" spans="1:3" ht="11.15" customHeight="1" x14ac:dyDescent="0.35">
      <c r="A3" s="9"/>
      <c r="B3" s="289" t="s">
        <v>104</v>
      </c>
      <c r="C3" s="289" t="s">
        <v>105</v>
      </c>
    </row>
    <row r="4" spans="1:3" ht="11.15" customHeight="1" x14ac:dyDescent="0.35">
      <c r="A4" s="9">
        <v>1</v>
      </c>
      <c r="B4" s="290"/>
      <c r="C4" s="290"/>
    </row>
    <row r="5" spans="1:3" ht="11.15" customHeight="1" x14ac:dyDescent="0.35">
      <c r="A5" s="9"/>
      <c r="B5" s="289" t="s">
        <v>106</v>
      </c>
      <c r="C5" s="289" t="s">
        <v>107</v>
      </c>
    </row>
    <row r="6" spans="1:3" ht="11.15" customHeight="1" x14ac:dyDescent="0.35">
      <c r="A6" s="9">
        <v>2</v>
      </c>
      <c r="B6" s="290"/>
      <c r="C6" s="290"/>
    </row>
    <row r="7" spans="1:3" ht="11.15" customHeight="1" x14ac:dyDescent="0.35">
      <c r="A7" s="9"/>
      <c r="B7" s="289" t="s">
        <v>108</v>
      </c>
      <c r="C7" s="289" t="s">
        <v>109</v>
      </c>
    </row>
    <row r="8" spans="1:3" ht="11.15" customHeight="1" x14ac:dyDescent="0.35">
      <c r="A8" s="9">
        <v>3</v>
      </c>
      <c r="B8" s="290"/>
      <c r="C8" s="290"/>
    </row>
    <row r="9" spans="1:3" ht="11.15" customHeight="1" x14ac:dyDescent="0.35">
      <c r="A9" s="9"/>
      <c r="B9" s="289" t="s">
        <v>110</v>
      </c>
      <c r="C9" s="289" t="s">
        <v>111</v>
      </c>
    </row>
    <row r="10" spans="1:3" ht="11.15" customHeight="1" x14ac:dyDescent="0.35">
      <c r="A10" s="9">
        <v>4</v>
      </c>
      <c r="B10" s="290"/>
      <c r="C10" s="290"/>
    </row>
    <row r="11" spans="1:3" ht="11.15" customHeight="1" x14ac:dyDescent="0.35">
      <c r="A11" s="9"/>
      <c r="B11" s="289" t="s">
        <v>112</v>
      </c>
      <c r="C11" s="289" t="s">
        <v>113</v>
      </c>
    </row>
    <row r="12" spans="1:3" ht="11.15" customHeight="1" x14ac:dyDescent="0.35">
      <c r="A12" s="9">
        <v>5</v>
      </c>
      <c r="B12" s="290"/>
      <c r="C12" s="290"/>
    </row>
    <row r="13" spans="1:3" ht="11.15" customHeight="1" x14ac:dyDescent="0.35">
      <c r="A13" s="9"/>
      <c r="B13" s="289" t="s">
        <v>114</v>
      </c>
      <c r="C13" s="289" t="s">
        <v>115</v>
      </c>
    </row>
    <row r="14" spans="1:3" ht="11.15" customHeight="1" x14ac:dyDescent="0.35">
      <c r="A14" s="9">
        <v>6</v>
      </c>
      <c r="B14" s="290"/>
      <c r="C14" s="290"/>
    </row>
    <row r="15" spans="1:3" ht="11.15" customHeight="1" x14ac:dyDescent="0.35">
      <c r="A15" s="9"/>
      <c r="B15" s="289" t="s">
        <v>116</v>
      </c>
      <c r="C15" s="289" t="s">
        <v>117</v>
      </c>
    </row>
    <row r="16" spans="1:3" ht="11.15" customHeight="1" x14ac:dyDescent="0.35">
      <c r="A16" s="9">
        <v>7</v>
      </c>
      <c r="B16" s="290"/>
      <c r="C16" s="290"/>
    </row>
    <row r="17" spans="1:3" ht="11.15" customHeight="1" x14ac:dyDescent="0.35">
      <c r="A17" s="9"/>
      <c r="B17" s="289" t="s">
        <v>118</v>
      </c>
      <c r="C17" s="289" t="s">
        <v>119</v>
      </c>
    </row>
    <row r="18" spans="1:3" ht="11.15" customHeight="1" x14ac:dyDescent="0.35">
      <c r="A18" s="9">
        <v>8</v>
      </c>
      <c r="B18" s="290"/>
      <c r="C18" s="290"/>
    </row>
    <row r="19" spans="1:3" ht="11.15" customHeight="1" x14ac:dyDescent="0.35">
      <c r="A19" s="9"/>
      <c r="B19" s="289" t="s">
        <v>120</v>
      </c>
      <c r="C19" s="289" t="s">
        <v>121</v>
      </c>
    </row>
    <row r="20" spans="1:3" ht="11.15" customHeight="1" x14ac:dyDescent="0.35">
      <c r="A20" s="9">
        <v>9</v>
      </c>
      <c r="B20" s="290"/>
      <c r="C20" s="290"/>
    </row>
    <row r="21" spans="1:3" ht="11.15" customHeight="1" x14ac:dyDescent="0.35">
      <c r="A21" s="9"/>
      <c r="B21" s="289" t="s">
        <v>122</v>
      </c>
      <c r="C21" s="289" t="s">
        <v>123</v>
      </c>
    </row>
    <row r="22" spans="1:3" ht="11.15" customHeight="1" x14ac:dyDescent="0.35">
      <c r="A22" s="9">
        <v>10</v>
      </c>
      <c r="B22" s="290"/>
      <c r="C22" s="290"/>
    </row>
    <row r="23" spans="1:3" ht="11.15" customHeight="1" x14ac:dyDescent="0.35">
      <c r="A23" s="9"/>
      <c r="B23" s="289" t="s">
        <v>124</v>
      </c>
      <c r="C23" s="289" t="s">
        <v>125</v>
      </c>
    </row>
    <row r="24" spans="1:3" ht="11.15" customHeight="1" x14ac:dyDescent="0.35">
      <c r="A24" s="9">
        <v>11</v>
      </c>
      <c r="B24" s="290"/>
      <c r="C24" s="290"/>
    </row>
    <row r="25" spans="1:3" ht="11.15" customHeight="1" x14ac:dyDescent="0.35">
      <c r="A25" s="9"/>
      <c r="B25" s="289" t="s">
        <v>126</v>
      </c>
      <c r="C25" s="289" t="s">
        <v>127</v>
      </c>
    </row>
    <row r="26" spans="1:3" ht="11.15" customHeight="1" x14ac:dyDescent="0.35">
      <c r="A26" s="9">
        <v>12</v>
      </c>
      <c r="B26" s="290"/>
      <c r="C26" s="290"/>
    </row>
    <row r="27" spans="1:3" ht="11.15" customHeight="1" x14ac:dyDescent="0.35">
      <c r="A27" s="9"/>
      <c r="B27" s="289" t="s">
        <v>128</v>
      </c>
      <c r="C27" s="289" t="s">
        <v>129</v>
      </c>
    </row>
    <row r="28" spans="1:3" ht="11.15" customHeight="1" x14ac:dyDescent="0.35">
      <c r="A28" s="9">
        <v>13</v>
      </c>
      <c r="B28" s="290"/>
      <c r="C28" s="290"/>
    </row>
    <row r="29" spans="1:3" ht="11.15" customHeight="1" x14ac:dyDescent="0.35">
      <c r="A29" s="9"/>
      <c r="B29" s="289" t="s">
        <v>130</v>
      </c>
      <c r="C29" s="289" t="s">
        <v>131</v>
      </c>
    </row>
    <row r="30" spans="1:3" ht="11.15" customHeight="1" x14ac:dyDescent="0.35">
      <c r="A30" s="9">
        <v>14</v>
      </c>
      <c r="B30" s="290"/>
      <c r="C30" s="290"/>
    </row>
    <row r="31" spans="1:3" ht="11.15" customHeight="1" x14ac:dyDescent="0.35">
      <c r="A31" s="9"/>
      <c r="B31" s="289" t="s">
        <v>132</v>
      </c>
      <c r="C31" s="289" t="s">
        <v>133</v>
      </c>
    </row>
    <row r="32" spans="1:3" ht="11.15" customHeight="1" x14ac:dyDescent="0.35">
      <c r="A32" s="9">
        <v>15</v>
      </c>
      <c r="B32" s="290"/>
      <c r="C32" s="290"/>
    </row>
    <row r="33" spans="1:3" ht="11.15" customHeight="1" x14ac:dyDescent="0.35">
      <c r="A33" s="9"/>
      <c r="B33" s="291" t="s">
        <v>134</v>
      </c>
      <c r="C33" s="289" t="s">
        <v>135</v>
      </c>
    </row>
    <row r="34" spans="1:3" ht="11.15" customHeight="1" x14ac:dyDescent="0.35">
      <c r="A34" s="9">
        <v>16</v>
      </c>
      <c r="B34" s="292"/>
      <c r="C34" s="290"/>
    </row>
    <row r="35" spans="1:3" ht="11.15" customHeight="1" x14ac:dyDescent="0.35">
      <c r="A35" s="9"/>
      <c r="B35" s="289" t="s">
        <v>136</v>
      </c>
      <c r="C35" s="289" t="s">
        <v>137</v>
      </c>
    </row>
    <row r="36" spans="1:3" ht="11.15" customHeight="1" x14ac:dyDescent="0.35">
      <c r="A36" s="9">
        <v>17</v>
      </c>
      <c r="B36" s="290"/>
      <c r="C36" s="290"/>
    </row>
    <row r="37" spans="1:3" ht="11.15" customHeight="1" x14ac:dyDescent="0.35">
      <c r="A37" s="9"/>
      <c r="B37" s="289" t="s">
        <v>138</v>
      </c>
      <c r="C37" s="289" t="s">
        <v>139</v>
      </c>
    </row>
    <row r="38" spans="1:3" ht="11.15" customHeight="1" x14ac:dyDescent="0.35">
      <c r="A38" s="9">
        <v>18</v>
      </c>
      <c r="B38" s="290"/>
      <c r="C38" s="290"/>
    </row>
    <row r="39" spans="1:3" ht="11.15" customHeight="1" x14ac:dyDescent="0.35">
      <c r="A39" s="9"/>
      <c r="B39" s="289" t="s">
        <v>140</v>
      </c>
      <c r="C39" s="289" t="s">
        <v>141</v>
      </c>
    </row>
    <row r="40" spans="1:3" ht="11.15" customHeight="1" x14ac:dyDescent="0.35">
      <c r="A40" s="9">
        <v>19</v>
      </c>
      <c r="B40" s="290"/>
      <c r="C40" s="290"/>
    </row>
    <row r="41" spans="1:3" ht="11.15" customHeight="1" x14ac:dyDescent="0.35">
      <c r="A41" s="9"/>
      <c r="B41" s="289" t="s">
        <v>142</v>
      </c>
      <c r="C41" s="289" t="s">
        <v>143</v>
      </c>
    </row>
    <row r="42" spans="1:3" ht="11.15" customHeight="1" x14ac:dyDescent="0.35">
      <c r="A42" s="9">
        <v>20</v>
      </c>
      <c r="B42" s="290"/>
      <c r="C42" s="290"/>
    </row>
    <row r="43" spans="1:3" ht="11.15" customHeight="1" x14ac:dyDescent="0.35">
      <c r="A43" s="9"/>
      <c r="B43" s="289" t="s">
        <v>144</v>
      </c>
      <c r="C43" s="289" t="s">
        <v>145</v>
      </c>
    </row>
    <row r="44" spans="1:3" ht="11.15" customHeight="1" x14ac:dyDescent="0.35">
      <c r="A44" s="9">
        <v>21</v>
      </c>
      <c r="B44" s="290"/>
      <c r="C44" s="290"/>
    </row>
    <row r="45" spans="1:3" ht="11.15" customHeight="1" x14ac:dyDescent="0.35">
      <c r="A45" s="9"/>
      <c r="B45" s="289" t="s">
        <v>146</v>
      </c>
      <c r="C45" s="289" t="s">
        <v>147</v>
      </c>
    </row>
    <row r="46" spans="1:3" ht="11.15" customHeight="1" x14ac:dyDescent="0.35">
      <c r="A46" s="9">
        <v>22</v>
      </c>
      <c r="B46" s="290"/>
      <c r="C46" s="290"/>
    </row>
    <row r="47" spans="1:3" ht="11.15" customHeight="1" x14ac:dyDescent="0.35">
      <c r="A47" s="9"/>
      <c r="B47" s="289" t="s">
        <v>148</v>
      </c>
      <c r="C47" s="289" t="s">
        <v>149</v>
      </c>
    </row>
    <row r="48" spans="1:3" ht="11.15" customHeight="1" x14ac:dyDescent="0.35">
      <c r="A48" s="9">
        <v>23</v>
      </c>
      <c r="B48" s="290"/>
      <c r="C48" s="290"/>
    </row>
    <row r="49" spans="1:3" ht="11.15" customHeight="1" x14ac:dyDescent="0.35">
      <c r="A49" s="9"/>
      <c r="B49" s="289" t="s">
        <v>150</v>
      </c>
      <c r="C49" s="289" t="s">
        <v>151</v>
      </c>
    </row>
    <row r="50" spans="1:3" ht="11.15" customHeight="1" x14ac:dyDescent="0.35">
      <c r="A50" s="9">
        <v>24</v>
      </c>
      <c r="B50" s="290"/>
      <c r="C50" s="290"/>
    </row>
    <row r="51" spans="1:3" ht="11.15" customHeight="1" x14ac:dyDescent="0.35">
      <c r="A51" s="9"/>
      <c r="B51" s="289" t="s">
        <v>152</v>
      </c>
      <c r="C51" s="289" t="s">
        <v>153</v>
      </c>
    </row>
    <row r="52" spans="1:3" ht="11.15" customHeight="1" x14ac:dyDescent="0.35">
      <c r="A52" s="9">
        <v>25</v>
      </c>
      <c r="B52" s="290"/>
      <c r="C52" s="290"/>
    </row>
    <row r="53" spans="1:3" ht="11.15" customHeight="1" x14ac:dyDescent="0.35">
      <c r="A53" s="9"/>
      <c r="B53" s="289" t="s">
        <v>154</v>
      </c>
      <c r="C53" s="289" t="s">
        <v>155</v>
      </c>
    </row>
    <row r="54" spans="1:3" ht="11.15" customHeight="1" x14ac:dyDescent="0.35">
      <c r="A54" s="9">
        <v>26</v>
      </c>
      <c r="B54" s="290"/>
      <c r="C54" s="290"/>
    </row>
    <row r="55" spans="1:3" ht="11.15" customHeight="1" x14ac:dyDescent="0.35">
      <c r="A55" s="9"/>
      <c r="B55" s="289" t="s">
        <v>156</v>
      </c>
      <c r="C55" s="289" t="s">
        <v>157</v>
      </c>
    </row>
    <row r="56" spans="1:3" ht="11.15" customHeight="1" x14ac:dyDescent="0.35">
      <c r="A56" s="9">
        <v>27</v>
      </c>
      <c r="B56" s="290"/>
      <c r="C56" s="290"/>
    </row>
    <row r="57" spans="1:3" ht="11.15" customHeight="1" x14ac:dyDescent="0.35">
      <c r="A57" s="9"/>
      <c r="B57" s="289" t="s">
        <v>158</v>
      </c>
      <c r="C57" s="289" t="s">
        <v>159</v>
      </c>
    </row>
    <row r="58" spans="1:3" ht="11.15" customHeight="1" x14ac:dyDescent="0.35">
      <c r="A58" s="9">
        <v>28</v>
      </c>
      <c r="B58" s="290"/>
      <c r="C58" s="290"/>
    </row>
    <row r="59" spans="1:3" ht="11.15" customHeight="1" x14ac:dyDescent="0.35">
      <c r="A59" s="9"/>
      <c r="B59" s="289" t="s">
        <v>160</v>
      </c>
      <c r="C59" s="289" t="s">
        <v>161</v>
      </c>
    </row>
    <row r="60" spans="1:3" ht="11.15" customHeight="1" x14ac:dyDescent="0.35">
      <c r="A60" s="9">
        <v>29</v>
      </c>
      <c r="B60" s="290"/>
      <c r="C60" s="290"/>
    </row>
    <row r="61" spans="1:3" ht="11.15" customHeight="1" x14ac:dyDescent="0.35">
      <c r="A61" s="9"/>
      <c r="B61" s="289" t="s">
        <v>162</v>
      </c>
      <c r="C61" s="289" t="s">
        <v>163</v>
      </c>
    </row>
    <row r="62" spans="1:3" ht="11.15" customHeight="1" x14ac:dyDescent="0.35">
      <c r="A62" s="9">
        <v>30</v>
      </c>
      <c r="B62" s="290"/>
      <c r="C62" s="290"/>
    </row>
    <row r="63" spans="1:3" ht="11.15" customHeight="1" x14ac:dyDescent="0.35">
      <c r="A63" s="9"/>
      <c r="B63" s="291" t="s">
        <v>164</v>
      </c>
      <c r="C63" s="289" t="s">
        <v>165</v>
      </c>
    </row>
    <row r="64" spans="1:3" ht="11.15" customHeight="1" x14ac:dyDescent="0.35">
      <c r="A64" s="9">
        <v>31</v>
      </c>
      <c r="B64" s="292"/>
      <c r="C64" s="290"/>
    </row>
    <row r="65" spans="1:3" ht="11.15" customHeight="1" x14ac:dyDescent="0.35">
      <c r="A65" s="9"/>
      <c r="B65" s="289" t="s">
        <v>166</v>
      </c>
      <c r="C65" s="289" t="s">
        <v>167</v>
      </c>
    </row>
    <row r="66" spans="1:3" ht="11.15" customHeight="1" x14ac:dyDescent="0.35">
      <c r="A66" s="9">
        <v>32</v>
      </c>
      <c r="B66" s="290"/>
      <c r="C66" s="290"/>
    </row>
    <row r="67" spans="1:3" ht="11.15" customHeight="1" x14ac:dyDescent="0.35">
      <c r="A67" s="9"/>
      <c r="B67" s="289" t="s">
        <v>168</v>
      </c>
      <c r="C67" s="289" t="s">
        <v>169</v>
      </c>
    </row>
    <row r="68" spans="1:3" ht="11.15" customHeight="1" x14ac:dyDescent="0.35">
      <c r="A68" s="9">
        <v>33</v>
      </c>
      <c r="B68" s="290"/>
      <c r="C68" s="290"/>
    </row>
    <row r="69" spans="1:3" ht="11.15" customHeight="1" x14ac:dyDescent="0.35">
      <c r="A69" s="9"/>
      <c r="B69" s="289" t="s">
        <v>170</v>
      </c>
      <c r="C69" s="289" t="s">
        <v>171</v>
      </c>
    </row>
    <row r="70" spans="1:3" ht="11.15" customHeight="1" x14ac:dyDescent="0.35">
      <c r="A70" s="9">
        <v>34</v>
      </c>
      <c r="B70" s="290"/>
      <c r="C70" s="290"/>
    </row>
    <row r="71" spans="1:3" ht="11.15" customHeight="1" x14ac:dyDescent="0.35">
      <c r="A71" s="9"/>
      <c r="B71" s="289" t="s">
        <v>172</v>
      </c>
      <c r="C71" s="289" t="s">
        <v>173</v>
      </c>
    </row>
    <row r="72" spans="1:3" ht="11.15" customHeight="1" x14ac:dyDescent="0.35">
      <c r="A72" s="9">
        <v>35</v>
      </c>
      <c r="B72" s="290"/>
      <c r="C72" s="290"/>
    </row>
    <row r="73" spans="1:3" ht="11.15" customHeight="1" x14ac:dyDescent="0.35">
      <c r="A73" s="9"/>
      <c r="B73" s="289" t="s">
        <v>174</v>
      </c>
      <c r="C73" s="289" t="s">
        <v>175</v>
      </c>
    </row>
    <row r="74" spans="1:3" ht="11.15" customHeight="1" x14ac:dyDescent="0.35">
      <c r="A74" s="9">
        <v>36</v>
      </c>
      <c r="B74" s="290"/>
      <c r="C74" s="290"/>
    </row>
    <row r="75" spans="1:3" ht="11.15" customHeight="1" x14ac:dyDescent="0.35">
      <c r="A75" s="9"/>
      <c r="B75" s="289" t="s">
        <v>176</v>
      </c>
      <c r="C75" s="289" t="s">
        <v>177</v>
      </c>
    </row>
    <row r="76" spans="1:3" ht="11.15" customHeight="1" x14ac:dyDescent="0.35">
      <c r="A76" s="9">
        <v>37</v>
      </c>
      <c r="B76" s="290"/>
      <c r="C76" s="290"/>
    </row>
    <row r="77" spans="1:3" ht="11.15" customHeight="1" x14ac:dyDescent="0.35">
      <c r="A77" s="9"/>
      <c r="B77" s="289" t="s">
        <v>178</v>
      </c>
      <c r="C77" s="289" t="s">
        <v>179</v>
      </c>
    </row>
    <row r="78" spans="1:3" ht="11.15" customHeight="1" x14ac:dyDescent="0.35">
      <c r="A78" s="9">
        <v>38</v>
      </c>
      <c r="B78" s="290"/>
      <c r="C78" s="290"/>
    </row>
    <row r="79" spans="1:3" ht="11.15" customHeight="1" x14ac:dyDescent="0.35">
      <c r="A79" s="9"/>
      <c r="B79" s="289" t="s">
        <v>180</v>
      </c>
      <c r="C79" s="289" t="s">
        <v>181</v>
      </c>
    </row>
    <row r="80" spans="1:3" ht="11.15" customHeight="1" x14ac:dyDescent="0.35">
      <c r="A80" s="9">
        <v>39</v>
      </c>
      <c r="B80" s="290"/>
      <c r="C80" s="290"/>
    </row>
    <row r="81" spans="1:3" ht="11.15" customHeight="1" x14ac:dyDescent="0.35">
      <c r="A81" s="9"/>
      <c r="B81" s="289" t="s">
        <v>182</v>
      </c>
      <c r="C81" s="289" t="s">
        <v>183</v>
      </c>
    </row>
    <row r="82" spans="1:3" ht="11.15" customHeight="1" x14ac:dyDescent="0.35">
      <c r="A82" s="9">
        <v>40</v>
      </c>
      <c r="B82" s="290"/>
      <c r="C82" s="290"/>
    </row>
    <row r="83" spans="1:3" ht="11.15" customHeight="1" x14ac:dyDescent="0.35">
      <c r="A83" s="9"/>
      <c r="B83" s="289" t="s">
        <v>184</v>
      </c>
      <c r="C83" s="289" t="s">
        <v>185</v>
      </c>
    </row>
    <row r="84" spans="1:3" ht="11.15" customHeight="1" x14ac:dyDescent="0.35">
      <c r="A84" s="9">
        <v>41</v>
      </c>
      <c r="B84" s="290"/>
      <c r="C84" s="290"/>
    </row>
    <row r="85" spans="1:3" ht="11.15" customHeight="1" x14ac:dyDescent="0.35">
      <c r="A85" s="9"/>
      <c r="B85" s="289" t="s">
        <v>186</v>
      </c>
      <c r="C85" s="289" t="s">
        <v>187</v>
      </c>
    </row>
    <row r="86" spans="1:3" ht="11.15" customHeight="1" x14ac:dyDescent="0.35">
      <c r="A86" s="9">
        <v>42</v>
      </c>
      <c r="B86" s="290"/>
      <c r="C86" s="290"/>
    </row>
    <row r="87" spans="1:3" ht="11.15" customHeight="1" x14ac:dyDescent="0.35">
      <c r="A87" s="9"/>
      <c r="B87" s="289" t="s">
        <v>188</v>
      </c>
      <c r="C87" s="289" t="s">
        <v>189</v>
      </c>
    </row>
    <row r="88" spans="1:3" ht="11.15" customHeight="1" x14ac:dyDescent="0.35">
      <c r="A88" s="9">
        <v>43</v>
      </c>
      <c r="B88" s="290"/>
      <c r="C88" s="290"/>
    </row>
    <row r="89" spans="1:3" ht="11.15" customHeight="1" x14ac:dyDescent="0.35">
      <c r="A89" s="9"/>
      <c r="B89" s="289" t="s">
        <v>190</v>
      </c>
      <c r="C89" s="289" t="s">
        <v>191</v>
      </c>
    </row>
    <row r="90" spans="1:3" ht="11.15" customHeight="1" x14ac:dyDescent="0.35">
      <c r="A90" s="9">
        <v>44</v>
      </c>
      <c r="B90" s="290"/>
      <c r="C90" s="290"/>
    </row>
    <row r="91" spans="1:3" ht="11.15" customHeight="1" x14ac:dyDescent="0.35">
      <c r="A91" s="9"/>
      <c r="B91" s="289" t="s">
        <v>192</v>
      </c>
      <c r="C91" s="289" t="s">
        <v>193</v>
      </c>
    </row>
    <row r="92" spans="1:3" ht="11.15" customHeight="1" x14ac:dyDescent="0.35">
      <c r="A92" s="9">
        <v>45</v>
      </c>
      <c r="B92" s="290"/>
      <c r="C92" s="290"/>
    </row>
    <row r="93" spans="1:3" ht="11.15" customHeight="1" x14ac:dyDescent="0.35">
      <c r="A93" s="9"/>
      <c r="B93" s="289" t="s">
        <v>194</v>
      </c>
      <c r="C93" s="289" t="s">
        <v>195</v>
      </c>
    </row>
    <row r="94" spans="1:3" ht="11.15" customHeight="1" x14ac:dyDescent="0.35">
      <c r="A94" s="9">
        <v>46</v>
      </c>
      <c r="B94" s="290"/>
      <c r="C94" s="290"/>
    </row>
    <row r="95" spans="1:3" ht="11.15" customHeight="1" x14ac:dyDescent="0.35">
      <c r="A95" s="9"/>
      <c r="B95" s="289" t="s">
        <v>196</v>
      </c>
      <c r="C95" s="289" t="s">
        <v>197</v>
      </c>
    </row>
    <row r="96" spans="1:3" ht="11.15" customHeight="1" x14ac:dyDescent="0.35">
      <c r="A96" s="9">
        <v>47</v>
      </c>
      <c r="B96" s="290"/>
      <c r="C96" s="290"/>
    </row>
    <row r="97" spans="1:3" ht="11.15" customHeight="1" x14ac:dyDescent="0.35">
      <c r="A97" s="9"/>
      <c r="B97" s="289" t="s">
        <v>198</v>
      </c>
      <c r="C97" s="289" t="s">
        <v>199</v>
      </c>
    </row>
    <row r="98" spans="1:3" ht="11.15" customHeight="1" x14ac:dyDescent="0.35">
      <c r="A98" s="9">
        <v>48</v>
      </c>
      <c r="B98" s="290"/>
      <c r="C98" s="290"/>
    </row>
    <row r="99" spans="1:3" ht="11.15" customHeight="1" x14ac:dyDescent="0.35">
      <c r="A99" s="9"/>
      <c r="B99" s="289" t="s">
        <v>200</v>
      </c>
      <c r="C99" s="289" t="s">
        <v>201</v>
      </c>
    </row>
    <row r="100" spans="1:3" ht="11.15" customHeight="1" x14ac:dyDescent="0.35">
      <c r="A100" s="9">
        <v>49</v>
      </c>
      <c r="B100" s="290"/>
      <c r="C100" s="290"/>
    </row>
    <row r="101" spans="1:3" ht="11.15" customHeight="1" x14ac:dyDescent="0.35">
      <c r="A101" s="9"/>
      <c r="B101" s="289" t="s">
        <v>202</v>
      </c>
      <c r="C101" s="289" t="s">
        <v>203</v>
      </c>
    </row>
    <row r="102" spans="1:3" ht="11.15" customHeight="1" x14ac:dyDescent="0.35">
      <c r="A102" s="9">
        <v>50</v>
      </c>
      <c r="B102" s="290"/>
      <c r="C102" s="290"/>
    </row>
    <row r="103" spans="1:3" ht="11.15" customHeight="1" x14ac:dyDescent="0.35">
      <c r="A103" s="9"/>
      <c r="B103" s="289" t="s">
        <v>204</v>
      </c>
      <c r="C103" s="289" t="s">
        <v>205</v>
      </c>
    </row>
    <row r="104" spans="1:3" ht="11.15" customHeight="1" x14ac:dyDescent="0.35">
      <c r="A104" s="9">
        <v>51</v>
      </c>
      <c r="B104" s="290"/>
      <c r="C104" s="290"/>
    </row>
    <row r="105" spans="1:3" ht="11.15" customHeight="1" x14ac:dyDescent="0.35">
      <c r="A105" s="9"/>
      <c r="B105" s="289" t="s">
        <v>206</v>
      </c>
      <c r="C105" s="289" t="s">
        <v>207</v>
      </c>
    </row>
    <row r="106" spans="1:3" ht="11.15" customHeight="1" x14ac:dyDescent="0.35">
      <c r="A106" s="9">
        <v>52</v>
      </c>
      <c r="B106" s="290"/>
      <c r="C106" s="290"/>
    </row>
    <row r="107" spans="1:3" ht="11.15" customHeight="1" x14ac:dyDescent="0.35">
      <c r="A107" s="9"/>
      <c r="B107" s="289" t="s">
        <v>208</v>
      </c>
      <c r="C107" s="289" t="s">
        <v>209</v>
      </c>
    </row>
    <row r="108" spans="1:3" ht="11.15" customHeight="1" x14ac:dyDescent="0.35">
      <c r="A108" s="9">
        <v>53</v>
      </c>
      <c r="B108" s="290"/>
      <c r="C108" s="290"/>
    </row>
    <row r="109" spans="1:3" ht="11.15" customHeight="1" x14ac:dyDescent="0.35">
      <c r="A109" s="9"/>
      <c r="B109" s="289" t="s">
        <v>210</v>
      </c>
      <c r="C109" s="289" t="s">
        <v>211</v>
      </c>
    </row>
    <row r="110" spans="1:3" ht="11.15" customHeight="1" x14ac:dyDescent="0.35">
      <c r="A110" s="9">
        <v>54</v>
      </c>
      <c r="B110" s="290"/>
      <c r="C110" s="290"/>
    </row>
    <row r="111" spans="1:3" ht="11.15" customHeight="1" x14ac:dyDescent="0.35">
      <c r="A111" s="9"/>
      <c r="B111" s="289" t="s">
        <v>212</v>
      </c>
      <c r="C111" s="289" t="s">
        <v>213</v>
      </c>
    </row>
    <row r="112" spans="1:3" ht="11.15" customHeight="1" x14ac:dyDescent="0.35">
      <c r="A112" s="9">
        <v>55</v>
      </c>
      <c r="B112" s="290"/>
      <c r="C112" s="290"/>
    </row>
    <row r="113" spans="1:3" ht="11.15" customHeight="1" x14ac:dyDescent="0.35">
      <c r="A113" s="9"/>
      <c r="B113" s="289" t="s">
        <v>214</v>
      </c>
      <c r="C113" s="289" t="s">
        <v>215</v>
      </c>
    </row>
    <row r="114" spans="1:3" ht="11.15" customHeight="1" x14ac:dyDescent="0.35">
      <c r="A114" s="9">
        <v>56</v>
      </c>
      <c r="B114" s="290"/>
      <c r="C114" s="290"/>
    </row>
    <row r="115" spans="1:3" ht="11.15" customHeight="1" x14ac:dyDescent="0.35">
      <c r="A115" s="9"/>
      <c r="B115" s="289" t="s">
        <v>216</v>
      </c>
      <c r="C115" s="289" t="s">
        <v>217</v>
      </c>
    </row>
    <row r="116" spans="1:3" ht="11.15" customHeight="1" x14ac:dyDescent="0.35">
      <c r="A116" s="9">
        <v>57</v>
      </c>
      <c r="B116" s="290"/>
      <c r="C116" s="290"/>
    </row>
    <row r="117" spans="1:3" ht="11.15" customHeight="1" x14ac:dyDescent="0.35">
      <c r="A117" s="9"/>
      <c r="B117" s="289" t="s">
        <v>218</v>
      </c>
      <c r="C117" s="289" t="s">
        <v>219</v>
      </c>
    </row>
    <row r="118" spans="1:3" ht="11.15" customHeight="1" x14ac:dyDescent="0.35">
      <c r="A118" s="9">
        <v>58</v>
      </c>
      <c r="B118" s="290"/>
      <c r="C118" s="290"/>
    </row>
    <row r="119" spans="1:3" ht="11.15" customHeight="1" x14ac:dyDescent="0.35">
      <c r="A119" s="9"/>
      <c r="B119" s="289" t="s">
        <v>220</v>
      </c>
      <c r="C119" s="289" t="s">
        <v>221</v>
      </c>
    </row>
    <row r="120" spans="1:3" ht="11.15" customHeight="1" x14ac:dyDescent="0.35">
      <c r="A120" s="9">
        <v>59</v>
      </c>
      <c r="B120" s="290"/>
      <c r="C120" s="290"/>
    </row>
    <row r="121" spans="1:3" ht="11.15" customHeight="1" x14ac:dyDescent="0.35">
      <c r="A121" s="9"/>
      <c r="B121" s="289" t="s">
        <v>222</v>
      </c>
      <c r="C121" s="289" t="s">
        <v>223</v>
      </c>
    </row>
    <row r="122" spans="1:3" ht="11.15" customHeight="1" x14ac:dyDescent="0.35">
      <c r="A122" s="9">
        <v>60</v>
      </c>
      <c r="B122" s="290"/>
      <c r="C122" s="290"/>
    </row>
    <row r="123" spans="1:3" ht="11.15" customHeight="1" x14ac:dyDescent="0.35">
      <c r="A123" s="9"/>
      <c r="B123" s="289" t="s">
        <v>224</v>
      </c>
      <c r="C123" s="289" t="s">
        <v>225</v>
      </c>
    </row>
    <row r="124" spans="1:3" ht="11.15" customHeight="1" x14ac:dyDescent="0.35">
      <c r="A124" s="9">
        <v>61</v>
      </c>
      <c r="B124" s="290"/>
      <c r="C124" s="290"/>
    </row>
    <row r="125" spans="1:3" ht="11.15" customHeight="1" x14ac:dyDescent="0.35">
      <c r="A125" s="9"/>
      <c r="B125" s="289" t="s">
        <v>226</v>
      </c>
      <c r="C125" s="289" t="s">
        <v>227</v>
      </c>
    </row>
    <row r="126" spans="1:3" ht="11.15" customHeight="1" x14ac:dyDescent="0.35">
      <c r="A126" s="9">
        <v>62</v>
      </c>
      <c r="B126" s="290"/>
      <c r="C126" s="290"/>
    </row>
    <row r="127" spans="1:3" ht="11.15" customHeight="1" x14ac:dyDescent="0.35">
      <c r="A127" s="9"/>
      <c r="B127" s="289" t="s">
        <v>228</v>
      </c>
      <c r="C127" s="289" t="s">
        <v>229</v>
      </c>
    </row>
    <row r="128" spans="1:3" ht="11.15" customHeight="1" x14ac:dyDescent="0.35">
      <c r="A128" s="9">
        <v>63</v>
      </c>
      <c r="B128" s="290"/>
      <c r="C128" s="290"/>
    </row>
    <row r="129" spans="1:3" ht="11.15" customHeight="1" x14ac:dyDescent="0.35">
      <c r="A129" s="9"/>
      <c r="B129" s="289" t="s">
        <v>230</v>
      </c>
      <c r="C129" s="289" t="s">
        <v>231</v>
      </c>
    </row>
    <row r="130" spans="1:3" ht="11.15" customHeight="1" x14ac:dyDescent="0.35">
      <c r="A130" s="9">
        <v>64</v>
      </c>
      <c r="B130" s="290"/>
      <c r="C130" s="290"/>
    </row>
    <row r="131" spans="1:3" ht="11.15" customHeight="1" x14ac:dyDescent="0.35">
      <c r="A131" s="9"/>
      <c r="B131" s="289" t="s">
        <v>232</v>
      </c>
      <c r="C131" s="289" t="s">
        <v>233</v>
      </c>
    </row>
    <row r="132" spans="1:3" ht="11.15" customHeight="1" x14ac:dyDescent="0.35">
      <c r="A132" s="9">
        <v>65</v>
      </c>
      <c r="B132" s="290"/>
      <c r="C132" s="290"/>
    </row>
    <row r="133" spans="1:3" ht="11.15" customHeight="1" x14ac:dyDescent="0.35">
      <c r="A133" s="9"/>
      <c r="B133" s="289" t="s">
        <v>234</v>
      </c>
      <c r="C133" s="289" t="s">
        <v>235</v>
      </c>
    </row>
    <row r="134" spans="1:3" ht="11.15" customHeight="1" x14ac:dyDescent="0.35">
      <c r="A134" s="9">
        <v>66</v>
      </c>
      <c r="B134" s="290"/>
      <c r="C134" s="290"/>
    </row>
    <row r="135" spans="1:3" ht="11.15" customHeight="1" x14ac:dyDescent="0.35">
      <c r="A135" s="9"/>
      <c r="B135" s="289" t="s">
        <v>236</v>
      </c>
      <c r="C135" s="289" t="s">
        <v>237</v>
      </c>
    </row>
    <row r="136" spans="1:3" ht="11.15" customHeight="1" x14ac:dyDescent="0.35">
      <c r="A136" s="9">
        <v>67</v>
      </c>
      <c r="B136" s="290"/>
      <c r="C136" s="290"/>
    </row>
    <row r="137" spans="1:3" ht="11.15" customHeight="1" x14ac:dyDescent="0.35">
      <c r="A137" s="9"/>
      <c r="B137" s="289" t="s">
        <v>238</v>
      </c>
      <c r="C137" s="289" t="s">
        <v>239</v>
      </c>
    </row>
    <row r="138" spans="1:3" ht="11.15" customHeight="1" x14ac:dyDescent="0.35">
      <c r="A138" s="9">
        <v>68</v>
      </c>
      <c r="B138" s="290"/>
      <c r="C138" s="290"/>
    </row>
    <row r="139" spans="1:3" ht="11.15" customHeight="1" x14ac:dyDescent="0.35">
      <c r="A139" s="9"/>
      <c r="B139" s="289" t="s">
        <v>240</v>
      </c>
      <c r="C139" s="289" t="s">
        <v>241</v>
      </c>
    </row>
    <row r="140" spans="1:3" ht="11.15" customHeight="1" x14ac:dyDescent="0.35">
      <c r="A140" s="9">
        <v>69</v>
      </c>
      <c r="B140" s="290"/>
      <c r="C140" s="290"/>
    </row>
    <row r="141" spans="1:3" ht="11.15" customHeight="1" x14ac:dyDescent="0.35">
      <c r="A141" s="9"/>
      <c r="B141" s="289" t="s">
        <v>242</v>
      </c>
      <c r="C141" s="289" t="s">
        <v>243</v>
      </c>
    </row>
    <row r="142" spans="1:3" ht="11.15" customHeight="1" x14ac:dyDescent="0.35">
      <c r="A142" s="9">
        <v>70</v>
      </c>
      <c r="B142" s="290"/>
      <c r="C142" s="290"/>
    </row>
    <row r="143" spans="1:3" ht="11.15" customHeight="1" x14ac:dyDescent="0.35">
      <c r="A143" s="9"/>
      <c r="B143" s="291" t="s">
        <v>244</v>
      </c>
      <c r="C143" s="289" t="s">
        <v>245</v>
      </c>
    </row>
    <row r="144" spans="1:3" ht="11.15" customHeight="1" x14ac:dyDescent="0.35">
      <c r="A144" s="9">
        <v>71</v>
      </c>
      <c r="B144" s="292"/>
      <c r="C144" s="290"/>
    </row>
    <row r="145" spans="1:3" ht="11.15" customHeight="1" x14ac:dyDescent="0.35">
      <c r="A145" s="9"/>
      <c r="B145" s="289" t="s">
        <v>246</v>
      </c>
      <c r="C145" s="289" t="s">
        <v>247</v>
      </c>
    </row>
    <row r="146" spans="1:3" ht="11.15" customHeight="1" x14ac:dyDescent="0.35">
      <c r="A146" s="9">
        <v>72</v>
      </c>
      <c r="B146" s="290"/>
      <c r="C146" s="290"/>
    </row>
    <row r="147" spans="1:3" ht="11.15" customHeight="1" x14ac:dyDescent="0.35">
      <c r="A147" s="9"/>
      <c r="B147" s="289" t="s">
        <v>248</v>
      </c>
      <c r="C147" s="289" t="s">
        <v>249</v>
      </c>
    </row>
    <row r="148" spans="1:3" ht="11.15" customHeight="1" x14ac:dyDescent="0.35">
      <c r="A148" s="9">
        <v>73</v>
      </c>
      <c r="B148" s="290"/>
      <c r="C148" s="290"/>
    </row>
    <row r="149" spans="1:3" ht="11.15" customHeight="1" x14ac:dyDescent="0.35">
      <c r="A149" s="9"/>
      <c r="B149" s="289" t="s">
        <v>250</v>
      </c>
      <c r="C149" s="289" t="s">
        <v>251</v>
      </c>
    </row>
    <row r="150" spans="1:3" ht="11.15" customHeight="1" x14ac:dyDescent="0.35">
      <c r="A150" s="9">
        <v>74</v>
      </c>
      <c r="B150" s="290"/>
      <c r="C150" s="290"/>
    </row>
    <row r="151" spans="1:3" ht="11.15" customHeight="1" x14ac:dyDescent="0.35">
      <c r="A151" s="9"/>
      <c r="B151" s="289" t="s">
        <v>252</v>
      </c>
      <c r="C151" s="289" t="s">
        <v>253</v>
      </c>
    </row>
    <row r="152" spans="1:3" ht="11.15" customHeight="1" x14ac:dyDescent="0.35">
      <c r="A152" s="9">
        <v>75</v>
      </c>
      <c r="B152" s="290"/>
      <c r="C152" s="290"/>
    </row>
    <row r="153" spans="1:3" ht="11.15" customHeight="1" x14ac:dyDescent="0.35">
      <c r="A153" s="9"/>
      <c r="B153" s="289" t="s">
        <v>254</v>
      </c>
      <c r="C153" s="289" t="s">
        <v>255</v>
      </c>
    </row>
    <row r="154" spans="1:3" ht="11.15" customHeight="1" x14ac:dyDescent="0.35">
      <c r="A154" s="9">
        <v>76</v>
      </c>
      <c r="B154" s="290"/>
      <c r="C154" s="290"/>
    </row>
    <row r="155" spans="1:3" ht="11.15" customHeight="1" x14ac:dyDescent="0.35">
      <c r="A155" s="9"/>
      <c r="B155" s="289" t="s">
        <v>256</v>
      </c>
      <c r="C155" s="289" t="s">
        <v>257</v>
      </c>
    </row>
    <row r="156" spans="1:3" ht="11.15" customHeight="1" x14ac:dyDescent="0.35">
      <c r="A156" s="9">
        <v>77</v>
      </c>
      <c r="B156" s="290"/>
      <c r="C156" s="290"/>
    </row>
    <row r="157" spans="1:3" ht="11.15" customHeight="1" x14ac:dyDescent="0.35">
      <c r="A157" s="9"/>
      <c r="B157" s="289" t="s">
        <v>258</v>
      </c>
      <c r="C157" s="289" t="s">
        <v>259</v>
      </c>
    </row>
    <row r="158" spans="1:3" ht="11.15" customHeight="1" x14ac:dyDescent="0.35">
      <c r="A158" s="9">
        <v>78</v>
      </c>
      <c r="B158" s="290"/>
      <c r="C158" s="290"/>
    </row>
    <row r="159" spans="1:3" ht="11.15" customHeight="1" x14ac:dyDescent="0.35">
      <c r="A159" s="9"/>
      <c r="B159" s="289" t="s">
        <v>260</v>
      </c>
      <c r="C159" s="289" t="s">
        <v>261</v>
      </c>
    </row>
    <row r="160" spans="1:3" ht="11.15" customHeight="1" x14ac:dyDescent="0.35">
      <c r="A160" s="9">
        <v>79</v>
      </c>
      <c r="B160" s="290"/>
      <c r="C160" s="290"/>
    </row>
    <row r="161" spans="1:3" ht="11.15" customHeight="1" x14ac:dyDescent="0.35">
      <c r="A161" s="9"/>
      <c r="B161" s="289" t="s">
        <v>262</v>
      </c>
      <c r="C161" s="289" t="s">
        <v>263</v>
      </c>
    </row>
    <row r="162" spans="1:3" ht="11.15" customHeight="1" x14ac:dyDescent="0.35">
      <c r="A162" s="9">
        <v>80</v>
      </c>
      <c r="B162" s="290"/>
      <c r="C162" s="290"/>
    </row>
    <row r="163" spans="1:3" ht="11.15" customHeight="1" x14ac:dyDescent="0.35">
      <c r="A163" s="9"/>
      <c r="B163" s="289" t="s">
        <v>264</v>
      </c>
      <c r="C163" s="289" t="s">
        <v>265</v>
      </c>
    </row>
    <row r="164" spans="1:3" ht="11.15" customHeight="1" x14ac:dyDescent="0.35">
      <c r="A164" s="9">
        <v>81</v>
      </c>
      <c r="B164" s="290"/>
      <c r="C164" s="290"/>
    </row>
    <row r="165" spans="1:3" ht="11.15" customHeight="1" x14ac:dyDescent="0.35">
      <c r="A165" s="9"/>
      <c r="B165" s="289" t="s">
        <v>266</v>
      </c>
      <c r="C165" s="289" t="s">
        <v>267</v>
      </c>
    </row>
    <row r="166" spans="1:3" ht="11.15" customHeight="1" x14ac:dyDescent="0.35">
      <c r="A166" s="9">
        <v>82</v>
      </c>
      <c r="B166" s="290"/>
      <c r="C166" s="290"/>
    </row>
    <row r="167" spans="1:3" ht="11.15" customHeight="1" x14ac:dyDescent="0.35">
      <c r="A167" s="9"/>
      <c r="B167" s="289" t="s">
        <v>268</v>
      </c>
      <c r="C167" s="289" t="s">
        <v>269</v>
      </c>
    </row>
    <row r="168" spans="1:3" ht="11.15" customHeight="1" x14ac:dyDescent="0.35">
      <c r="A168" s="9">
        <v>83</v>
      </c>
      <c r="B168" s="290"/>
      <c r="C168" s="290"/>
    </row>
    <row r="169" spans="1:3" ht="11.15" customHeight="1" x14ac:dyDescent="0.35">
      <c r="A169" s="9"/>
      <c r="B169" s="289" t="s">
        <v>270</v>
      </c>
      <c r="C169" s="289" t="s">
        <v>271</v>
      </c>
    </row>
    <row r="170" spans="1:3" ht="11.15" customHeight="1" x14ac:dyDescent="0.35">
      <c r="A170" s="9">
        <v>84</v>
      </c>
      <c r="B170" s="290"/>
      <c r="C170" s="290"/>
    </row>
    <row r="171" spans="1:3" ht="11.15" customHeight="1" x14ac:dyDescent="0.35">
      <c r="A171" s="9"/>
      <c r="B171" s="289" t="s">
        <v>272</v>
      </c>
      <c r="C171" s="289" t="s">
        <v>273</v>
      </c>
    </row>
    <row r="172" spans="1:3" ht="11.15" customHeight="1" x14ac:dyDescent="0.35">
      <c r="A172" s="9">
        <v>85</v>
      </c>
      <c r="B172" s="290"/>
      <c r="C172" s="290"/>
    </row>
    <row r="173" spans="1:3" ht="11.15" customHeight="1" x14ac:dyDescent="0.35">
      <c r="A173" s="9"/>
      <c r="B173" s="289" t="s">
        <v>274</v>
      </c>
      <c r="C173" s="289" t="s">
        <v>275</v>
      </c>
    </row>
    <row r="174" spans="1:3" ht="11.15" customHeight="1" x14ac:dyDescent="0.35">
      <c r="A174" s="9">
        <v>86</v>
      </c>
      <c r="B174" s="290"/>
      <c r="C174" s="290"/>
    </row>
    <row r="175" spans="1:3" ht="11.15" customHeight="1" x14ac:dyDescent="0.35">
      <c r="A175" s="9"/>
      <c r="B175" s="289" t="s">
        <v>276</v>
      </c>
      <c r="C175" s="289" t="s">
        <v>277</v>
      </c>
    </row>
    <row r="176" spans="1:3" ht="11.15" customHeight="1" x14ac:dyDescent="0.35">
      <c r="A176" s="9">
        <v>87</v>
      </c>
      <c r="B176" s="290"/>
      <c r="C176" s="290"/>
    </row>
    <row r="177" spans="1:3" ht="11.15" customHeight="1" x14ac:dyDescent="0.35">
      <c r="A177" s="9"/>
      <c r="B177" s="289" t="s">
        <v>278</v>
      </c>
      <c r="C177" s="289" t="s">
        <v>279</v>
      </c>
    </row>
    <row r="178" spans="1:3" ht="11.15" customHeight="1" x14ac:dyDescent="0.35">
      <c r="A178" s="9">
        <v>88</v>
      </c>
      <c r="B178" s="290"/>
      <c r="C178" s="290"/>
    </row>
    <row r="179" spans="1:3" ht="11.15" customHeight="1" x14ac:dyDescent="0.35">
      <c r="A179" s="9"/>
      <c r="B179" s="289" t="s">
        <v>280</v>
      </c>
      <c r="C179" s="289" t="s">
        <v>281</v>
      </c>
    </row>
    <row r="180" spans="1:3" ht="11.15" customHeight="1" x14ac:dyDescent="0.35">
      <c r="A180" s="9">
        <v>89</v>
      </c>
      <c r="B180" s="290"/>
      <c r="C180" s="290"/>
    </row>
    <row r="181" spans="1:3" ht="11.15" customHeight="1" x14ac:dyDescent="0.35">
      <c r="A181" s="9"/>
      <c r="B181" s="289" t="s">
        <v>282</v>
      </c>
      <c r="C181" s="289" t="s">
        <v>283</v>
      </c>
    </row>
    <row r="182" spans="1:3" ht="11.15" customHeight="1" x14ac:dyDescent="0.35">
      <c r="A182" s="9">
        <v>90</v>
      </c>
      <c r="B182" s="290"/>
      <c r="C182" s="290"/>
    </row>
    <row r="183" spans="1:3" ht="11.15" customHeight="1" x14ac:dyDescent="0.35">
      <c r="A183" s="9"/>
      <c r="B183" s="289" t="s">
        <v>284</v>
      </c>
      <c r="C183" s="299" t="s">
        <v>285</v>
      </c>
    </row>
    <row r="184" spans="1:3" ht="11.15" customHeight="1" x14ac:dyDescent="0.35">
      <c r="A184" s="9">
        <v>91</v>
      </c>
      <c r="B184" s="290"/>
      <c r="C184" s="300"/>
    </row>
    <row r="185" spans="1:3" ht="11.15" customHeight="1" x14ac:dyDescent="0.35">
      <c r="A185" s="9"/>
      <c r="B185" s="289" t="s">
        <v>286</v>
      </c>
      <c r="C185" s="289" t="s">
        <v>287</v>
      </c>
    </row>
    <row r="186" spans="1:3" ht="11.15" customHeight="1" x14ac:dyDescent="0.35">
      <c r="A186" s="9">
        <v>92</v>
      </c>
      <c r="B186" s="290"/>
      <c r="C186" s="290"/>
    </row>
    <row r="187" spans="1:3" ht="11.15" customHeight="1" x14ac:dyDescent="0.35">
      <c r="A187" s="9"/>
      <c r="B187" s="291" t="s">
        <v>288</v>
      </c>
      <c r="C187" s="289" t="s">
        <v>289</v>
      </c>
    </row>
    <row r="188" spans="1:3" ht="11.15" customHeight="1" x14ac:dyDescent="0.35">
      <c r="A188" s="9">
        <v>93</v>
      </c>
      <c r="B188" s="292"/>
      <c r="C188" s="290"/>
    </row>
    <row r="189" spans="1:3" ht="11.15" customHeight="1" x14ac:dyDescent="0.35">
      <c r="A189" s="9"/>
      <c r="B189" s="291" t="s">
        <v>290</v>
      </c>
      <c r="C189" s="289" t="s">
        <v>291</v>
      </c>
    </row>
    <row r="190" spans="1:3" ht="11.15" customHeight="1" x14ac:dyDescent="0.35">
      <c r="A190" s="9">
        <v>94</v>
      </c>
      <c r="B190" s="293"/>
      <c r="C190" s="290"/>
    </row>
    <row r="191" spans="1:3" ht="11.15" customHeight="1" x14ac:dyDescent="0.35">
      <c r="A191" s="9"/>
      <c r="B191" s="294" t="s">
        <v>292</v>
      </c>
      <c r="C191" s="295" t="s">
        <v>293</v>
      </c>
    </row>
    <row r="192" spans="1:3" ht="11.15" customHeight="1" x14ac:dyDescent="0.35">
      <c r="A192" s="9">
        <v>95</v>
      </c>
      <c r="B192" s="294"/>
      <c r="C192" s="296"/>
    </row>
    <row r="193" spans="1:3" ht="11.15" customHeight="1" x14ac:dyDescent="0.35">
      <c r="A193" s="9"/>
      <c r="B193" s="297" t="s">
        <v>294</v>
      </c>
      <c r="C193" s="295" t="s">
        <v>295</v>
      </c>
    </row>
    <row r="194" spans="1:3" ht="11.15" customHeight="1" x14ac:dyDescent="0.35">
      <c r="A194" s="9">
        <v>96</v>
      </c>
      <c r="B194" s="297"/>
      <c r="C194" s="298"/>
    </row>
    <row r="195" spans="1:3" ht="11.15" customHeight="1" thickBot="1" x14ac:dyDescent="0.4">
      <c r="A195" s="306" t="s">
        <v>296</v>
      </c>
      <c r="B195" s="307"/>
      <c r="C195" s="308"/>
    </row>
    <row r="196" spans="1:3" ht="11.15" customHeight="1" x14ac:dyDescent="0.35">
      <c r="A196" s="11"/>
      <c r="B196" s="301" t="s">
        <v>297</v>
      </c>
      <c r="C196" s="309"/>
    </row>
    <row r="197" spans="1:3" ht="11.15" customHeight="1" x14ac:dyDescent="0.35">
      <c r="A197" s="11"/>
      <c r="B197" s="302"/>
      <c r="C197" s="310"/>
    </row>
    <row r="198" spans="1:3" ht="11.15" customHeight="1" x14ac:dyDescent="0.35">
      <c r="A198" s="10"/>
      <c r="B198" s="301"/>
      <c r="C198" s="311"/>
    </row>
    <row r="199" spans="1:3" ht="11.15" customHeight="1" x14ac:dyDescent="0.35">
      <c r="A199" s="10"/>
      <c r="B199" s="302"/>
      <c r="C199" s="302"/>
    </row>
    <row r="200" spans="1:3" ht="11.15" customHeight="1" x14ac:dyDescent="0.35">
      <c r="A200" s="10"/>
      <c r="B200" s="312"/>
      <c r="C200" s="256"/>
    </row>
    <row r="201" spans="1:3" ht="11.15" customHeight="1" x14ac:dyDescent="0.35">
      <c r="A201" s="10"/>
      <c r="B201" s="313"/>
      <c r="C201" s="257"/>
    </row>
    <row r="202" spans="1:3" ht="11.15" customHeight="1" x14ac:dyDescent="0.35">
      <c r="A202" s="10"/>
      <c r="B202" s="301"/>
      <c r="C202" s="256"/>
    </row>
    <row r="203" spans="1:3" ht="11.15" customHeight="1" x14ac:dyDescent="0.35">
      <c r="A203" s="10"/>
      <c r="B203" s="302"/>
      <c r="C203" s="257"/>
    </row>
    <row r="204" spans="1:3" ht="11.15" customHeight="1" x14ac:dyDescent="0.35">
      <c r="A204" s="303"/>
      <c r="B204" s="301"/>
      <c r="C204" s="256"/>
    </row>
    <row r="205" spans="1:3" ht="11.15" customHeight="1" x14ac:dyDescent="0.35">
      <c r="A205" s="303"/>
      <c r="B205" s="302"/>
      <c r="C205" s="257"/>
    </row>
    <row r="206" spans="1:3" ht="11.15" customHeight="1" x14ac:dyDescent="0.35">
      <c r="A206" s="303"/>
      <c r="B206" s="301"/>
      <c r="C206" s="256"/>
    </row>
    <row r="207" spans="1:3" ht="11.15" customHeight="1" x14ac:dyDescent="0.35">
      <c r="A207" s="303"/>
      <c r="B207" s="302"/>
      <c r="C207" s="257"/>
    </row>
    <row r="208" spans="1:3" ht="11.15" customHeight="1" x14ac:dyDescent="0.35">
      <c r="A208" s="303"/>
      <c r="B208" s="301"/>
      <c r="C208" s="256"/>
    </row>
    <row r="209" spans="1:3" ht="11.15" customHeight="1" thickBot="1" x14ac:dyDescent="0.4">
      <c r="A209" s="304"/>
      <c r="B209" s="305"/>
      <c r="C209" s="258"/>
    </row>
    <row r="210" spans="1:3" ht="11.15" customHeight="1" thickBot="1" x14ac:dyDescent="0.4">
      <c r="A210" s="315" t="s">
        <v>298</v>
      </c>
      <c r="B210" s="316"/>
      <c r="C210" s="316"/>
    </row>
    <row r="211" spans="1:3" ht="11.15" customHeight="1" x14ac:dyDescent="0.35">
      <c r="A211" s="13"/>
      <c r="B211" s="317" t="s">
        <v>299</v>
      </c>
      <c r="C211" s="317" t="s">
        <v>300</v>
      </c>
    </row>
    <row r="212" spans="1:3" ht="11.15" customHeight="1" x14ac:dyDescent="0.35">
      <c r="A212" s="14"/>
      <c r="B212" s="290"/>
      <c r="C212" s="290"/>
    </row>
    <row r="213" spans="1:3" ht="11.15" customHeight="1" x14ac:dyDescent="0.35">
      <c r="A213" s="14"/>
      <c r="B213" s="289" t="s">
        <v>301</v>
      </c>
      <c r="C213" s="289" t="s">
        <v>302</v>
      </c>
    </row>
    <row r="214" spans="1:3" ht="11.15" customHeight="1" x14ac:dyDescent="0.35">
      <c r="A214" s="14"/>
      <c r="B214" s="290"/>
      <c r="C214" s="290"/>
    </row>
    <row r="215" spans="1:3" ht="11.15" customHeight="1" x14ac:dyDescent="0.35">
      <c r="A215" s="14"/>
      <c r="B215" s="291" t="s">
        <v>303</v>
      </c>
      <c r="C215" s="254"/>
    </row>
    <row r="216" spans="1:3" ht="11.15" customHeight="1" x14ac:dyDescent="0.35">
      <c r="A216" s="14"/>
      <c r="B216" s="292"/>
      <c r="C216" s="255" t="s">
        <v>304</v>
      </c>
    </row>
    <row r="217" spans="1:3" ht="11.15" customHeight="1" x14ac:dyDescent="0.35">
      <c r="A217" s="14"/>
      <c r="B217" s="289" t="s">
        <v>305</v>
      </c>
      <c r="C217" s="254"/>
    </row>
    <row r="218" spans="1:3" ht="11.15" customHeight="1" x14ac:dyDescent="0.35">
      <c r="A218" s="14"/>
      <c r="B218" s="290"/>
      <c r="C218" s="255" t="s">
        <v>306</v>
      </c>
    </row>
    <row r="219" spans="1:3" ht="11.15" customHeight="1" x14ac:dyDescent="0.35">
      <c r="A219" s="314"/>
      <c r="B219" s="289" t="s">
        <v>307</v>
      </c>
      <c r="C219" s="289" t="s">
        <v>308</v>
      </c>
    </row>
    <row r="220" spans="1:3" ht="11.15" customHeight="1" x14ac:dyDescent="0.35">
      <c r="A220" s="314"/>
      <c r="B220" s="290"/>
      <c r="C220" s="290"/>
    </row>
    <row r="221" spans="1:3" ht="11.15" customHeight="1" x14ac:dyDescent="0.35">
      <c r="A221" s="314"/>
      <c r="B221" s="289" t="s">
        <v>309</v>
      </c>
      <c r="C221" s="289" t="s">
        <v>310</v>
      </c>
    </row>
    <row r="222" spans="1:3" ht="11.15" customHeight="1" x14ac:dyDescent="0.35">
      <c r="A222" s="314"/>
      <c r="B222" s="290"/>
      <c r="C222" s="290"/>
    </row>
  </sheetData>
  <mergeCells count="218">
    <mergeCell ref="B217:B218"/>
    <mergeCell ref="A219:A220"/>
    <mergeCell ref="B219:B220"/>
    <mergeCell ref="C219:C220"/>
    <mergeCell ref="A221:A222"/>
    <mergeCell ref="B221:B222"/>
    <mergeCell ref="C221:C222"/>
    <mergeCell ref="A210:C210"/>
    <mergeCell ref="B211:B212"/>
    <mergeCell ref="C211:C212"/>
    <mergeCell ref="B213:B214"/>
    <mergeCell ref="C213:C214"/>
    <mergeCell ref="B215:B216"/>
    <mergeCell ref="B202:B203"/>
    <mergeCell ref="A204:A205"/>
    <mergeCell ref="B204:B205"/>
    <mergeCell ref="A206:A207"/>
    <mergeCell ref="B206:B207"/>
    <mergeCell ref="A208:A209"/>
    <mergeCell ref="B208:B209"/>
    <mergeCell ref="A195:C195"/>
    <mergeCell ref="B196:B197"/>
    <mergeCell ref="C196:C197"/>
    <mergeCell ref="B198:B199"/>
    <mergeCell ref="C198:C199"/>
    <mergeCell ref="B200:B201"/>
    <mergeCell ref="B189:B190"/>
    <mergeCell ref="C189:C190"/>
    <mergeCell ref="B191:B192"/>
    <mergeCell ref="C191:C192"/>
    <mergeCell ref="B193:B194"/>
    <mergeCell ref="C193:C194"/>
    <mergeCell ref="B183:B184"/>
    <mergeCell ref="C183:C184"/>
    <mergeCell ref="B185:B186"/>
    <mergeCell ref="C185:C186"/>
    <mergeCell ref="B187:B188"/>
    <mergeCell ref="C187:C188"/>
    <mergeCell ref="B177:B178"/>
    <mergeCell ref="C177:C178"/>
    <mergeCell ref="B179:B180"/>
    <mergeCell ref="C179:C180"/>
    <mergeCell ref="B181:B182"/>
    <mergeCell ref="C181:C182"/>
    <mergeCell ref="B171:B172"/>
    <mergeCell ref="C171:C172"/>
    <mergeCell ref="B173:B174"/>
    <mergeCell ref="C173:C174"/>
    <mergeCell ref="B175:B176"/>
    <mergeCell ref="C175:C176"/>
    <mergeCell ref="B165:B166"/>
    <mergeCell ref="C165:C166"/>
    <mergeCell ref="B167:B168"/>
    <mergeCell ref="C167:C168"/>
    <mergeCell ref="B169:B170"/>
    <mergeCell ref="C169:C170"/>
    <mergeCell ref="B159:B160"/>
    <mergeCell ref="C159:C160"/>
    <mergeCell ref="B161:B162"/>
    <mergeCell ref="C161:C162"/>
    <mergeCell ref="B163:B164"/>
    <mergeCell ref="C163:C164"/>
    <mergeCell ref="B153:B154"/>
    <mergeCell ref="C153:C154"/>
    <mergeCell ref="B155:B156"/>
    <mergeCell ref="C155:C156"/>
    <mergeCell ref="B157:B158"/>
    <mergeCell ref="C157:C158"/>
    <mergeCell ref="B147:B148"/>
    <mergeCell ref="C147:C148"/>
    <mergeCell ref="B149:B150"/>
    <mergeCell ref="C149:C150"/>
    <mergeCell ref="B151:B152"/>
    <mergeCell ref="C151:C152"/>
    <mergeCell ref="B141:B142"/>
    <mergeCell ref="C141:C142"/>
    <mergeCell ref="B143:B144"/>
    <mergeCell ref="C143:C144"/>
    <mergeCell ref="B145:B146"/>
    <mergeCell ref="C145:C146"/>
    <mergeCell ref="B135:B136"/>
    <mergeCell ref="C135:C136"/>
    <mergeCell ref="B137:B138"/>
    <mergeCell ref="C137:C138"/>
    <mergeCell ref="B139:B140"/>
    <mergeCell ref="C139:C140"/>
    <mergeCell ref="B129:B130"/>
    <mergeCell ref="C129:C130"/>
    <mergeCell ref="B131:B132"/>
    <mergeCell ref="C131:C132"/>
    <mergeCell ref="B133:B134"/>
    <mergeCell ref="C133:C134"/>
    <mergeCell ref="B123:B124"/>
    <mergeCell ref="C123:C124"/>
    <mergeCell ref="B125:B126"/>
    <mergeCell ref="C125:C126"/>
    <mergeCell ref="B127:B128"/>
    <mergeCell ref="C127:C128"/>
    <mergeCell ref="B117:B118"/>
    <mergeCell ref="C117:C118"/>
    <mergeCell ref="B119:B120"/>
    <mergeCell ref="C119:C120"/>
    <mergeCell ref="B121:B122"/>
    <mergeCell ref="C121:C122"/>
    <mergeCell ref="B111:B112"/>
    <mergeCell ref="C111:C112"/>
    <mergeCell ref="B113:B114"/>
    <mergeCell ref="C113:C114"/>
    <mergeCell ref="B115:B116"/>
    <mergeCell ref="C115:C116"/>
    <mergeCell ref="B105:B106"/>
    <mergeCell ref="C105:C106"/>
    <mergeCell ref="B107:B108"/>
    <mergeCell ref="C107:C108"/>
    <mergeCell ref="B109:B110"/>
    <mergeCell ref="C109:C110"/>
    <mergeCell ref="B99:B100"/>
    <mergeCell ref="C99:C100"/>
    <mergeCell ref="B101:B102"/>
    <mergeCell ref="C101:C102"/>
    <mergeCell ref="B103:B104"/>
    <mergeCell ref="C103:C104"/>
    <mergeCell ref="B93:B94"/>
    <mergeCell ref="C93:C94"/>
    <mergeCell ref="B95:B96"/>
    <mergeCell ref="C95:C96"/>
    <mergeCell ref="B97:B98"/>
    <mergeCell ref="C97:C98"/>
    <mergeCell ref="B87:B88"/>
    <mergeCell ref="C87:C88"/>
    <mergeCell ref="B89:B90"/>
    <mergeCell ref="C89:C90"/>
    <mergeCell ref="B91:B92"/>
    <mergeCell ref="C91:C92"/>
    <mergeCell ref="B81:B82"/>
    <mergeCell ref="C81:C82"/>
    <mergeCell ref="B83:B84"/>
    <mergeCell ref="C83:C84"/>
    <mergeCell ref="B85:B86"/>
    <mergeCell ref="C85:C86"/>
    <mergeCell ref="B75:B76"/>
    <mergeCell ref="C75:C76"/>
    <mergeCell ref="B77:B78"/>
    <mergeCell ref="C77:C78"/>
    <mergeCell ref="B79:B80"/>
    <mergeCell ref="C79:C80"/>
    <mergeCell ref="B69:B70"/>
    <mergeCell ref="C69:C70"/>
    <mergeCell ref="B71:B72"/>
    <mergeCell ref="C71:C72"/>
    <mergeCell ref="B73:B74"/>
    <mergeCell ref="C73:C74"/>
    <mergeCell ref="B63:B64"/>
    <mergeCell ref="C63:C64"/>
    <mergeCell ref="B65:B66"/>
    <mergeCell ref="C65:C66"/>
    <mergeCell ref="B67:B68"/>
    <mergeCell ref="C67:C68"/>
    <mergeCell ref="B57:B58"/>
    <mergeCell ref="C57:C58"/>
    <mergeCell ref="B59:B60"/>
    <mergeCell ref="C59:C60"/>
    <mergeCell ref="B61:B62"/>
    <mergeCell ref="C61:C62"/>
    <mergeCell ref="B51:B52"/>
    <mergeCell ref="C51:C52"/>
    <mergeCell ref="B53:B54"/>
    <mergeCell ref="C53:C54"/>
    <mergeCell ref="B55:B56"/>
    <mergeCell ref="C55:C56"/>
    <mergeCell ref="B45:B46"/>
    <mergeCell ref="C45:C46"/>
    <mergeCell ref="B47:B48"/>
    <mergeCell ref="C47:C48"/>
    <mergeCell ref="B49:B50"/>
    <mergeCell ref="C49:C50"/>
    <mergeCell ref="B39:B40"/>
    <mergeCell ref="C39:C40"/>
    <mergeCell ref="B41:B42"/>
    <mergeCell ref="C41:C42"/>
    <mergeCell ref="B43:B44"/>
    <mergeCell ref="C43:C44"/>
    <mergeCell ref="B33:B34"/>
    <mergeCell ref="C33:C34"/>
    <mergeCell ref="B35:B36"/>
    <mergeCell ref="C35:C36"/>
    <mergeCell ref="B37:B38"/>
    <mergeCell ref="C37:C38"/>
    <mergeCell ref="B27:B28"/>
    <mergeCell ref="C27:C28"/>
    <mergeCell ref="B29:B30"/>
    <mergeCell ref="C29:C30"/>
    <mergeCell ref="B31:B32"/>
    <mergeCell ref="C31:C32"/>
    <mergeCell ref="B21:B22"/>
    <mergeCell ref="C21:C22"/>
    <mergeCell ref="B23:B24"/>
    <mergeCell ref="C23:C24"/>
    <mergeCell ref="B25:B26"/>
    <mergeCell ref="C25:C26"/>
    <mergeCell ref="B15:B16"/>
    <mergeCell ref="C15:C16"/>
    <mergeCell ref="B17:B18"/>
    <mergeCell ref="C17:C18"/>
    <mergeCell ref="B19:B20"/>
    <mergeCell ref="C19:C20"/>
    <mergeCell ref="B9:B10"/>
    <mergeCell ref="C9:C10"/>
    <mergeCell ref="B11:B12"/>
    <mergeCell ref="C11:C12"/>
    <mergeCell ref="B13:B14"/>
    <mergeCell ref="C13:C14"/>
    <mergeCell ref="B3:B4"/>
    <mergeCell ref="C3:C4"/>
    <mergeCell ref="B5:B6"/>
    <mergeCell ref="C5:C6"/>
    <mergeCell ref="B7:B8"/>
    <mergeCell ref="C7:C8"/>
  </mergeCells>
  <pageMargins left="0.7" right="0.7" top="0.75" bottom="0.75" header="0.3" footer="0.3"/>
  <headerFooter>
    <oddHeader>&amp;L&amp;"Arial"&amp;10&amp;K0000FF [AMD Official Use Only - General]&amp;1#_x000D_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A7DE-29D1-4ADF-871B-A68385C211AF}">
  <sheetPr>
    <tabColor theme="8" tint="0.39997558519241921"/>
  </sheetPr>
  <dimension ref="B2:T84"/>
  <sheetViews>
    <sheetView zoomScaleNormal="100" workbookViewId="0">
      <selection activeCell="C10" sqref="C10"/>
    </sheetView>
  </sheetViews>
  <sheetFormatPr defaultRowHeight="14.5" x14ac:dyDescent="0.35"/>
  <cols>
    <col min="1" max="1" width="9" customWidth="1"/>
    <col min="2" max="2" width="9.81640625" bestFit="1" customWidth="1"/>
    <col min="3" max="3" width="22.26953125" customWidth="1"/>
    <col min="4" max="4" width="18.26953125" style="197" bestFit="1" customWidth="1"/>
    <col min="5" max="5" width="18.26953125" style="197" customWidth="1"/>
    <col min="6" max="6" width="26.7265625" customWidth="1"/>
    <col min="7" max="7" width="18.26953125" style="197" bestFit="1" customWidth="1"/>
    <col min="8" max="8" width="18.26953125" style="197" customWidth="1"/>
    <col min="9" max="9" width="16.81640625" style="197" bestFit="1" customWidth="1"/>
    <col min="10" max="10" width="26.81640625" style="197" bestFit="1" customWidth="1"/>
    <col min="11" max="11" width="19.26953125" style="197" bestFit="1" customWidth="1"/>
    <col min="12" max="12" width="6" bestFit="1" customWidth="1"/>
    <col min="13" max="13" width="7.54296875" bestFit="1" customWidth="1"/>
    <col min="14" max="14" width="22" bestFit="1" customWidth="1"/>
    <col min="15" max="15" width="3.26953125" customWidth="1"/>
    <col min="16" max="16" width="12.54296875" bestFit="1" customWidth="1"/>
    <col min="17" max="17" width="3.26953125" bestFit="1" customWidth="1"/>
    <col min="19" max="19" width="15.81640625" customWidth="1"/>
  </cols>
  <sheetData>
    <row r="2" spans="2:20" x14ac:dyDescent="0.35">
      <c r="B2" s="112" t="s">
        <v>11</v>
      </c>
      <c r="C2" s="148" t="s">
        <v>100</v>
      </c>
      <c r="D2" s="193" t="s">
        <v>311</v>
      </c>
      <c r="E2" s="207" t="s">
        <v>312</v>
      </c>
      <c r="F2" s="149" t="s">
        <v>13</v>
      </c>
      <c r="G2" s="193" t="s">
        <v>311</v>
      </c>
      <c r="H2" s="207" t="s">
        <v>312</v>
      </c>
      <c r="I2" s="198" t="s">
        <v>313</v>
      </c>
      <c r="J2" s="193" t="s">
        <v>314</v>
      </c>
      <c r="K2" s="244" t="s">
        <v>315</v>
      </c>
      <c r="L2" s="150" t="s">
        <v>316</v>
      </c>
      <c r="M2" s="151" t="s">
        <v>11</v>
      </c>
      <c r="N2" s="112" t="s">
        <v>15</v>
      </c>
    </row>
    <row r="3" spans="2:20" x14ac:dyDescent="0.35">
      <c r="B3" s="145">
        <v>1</v>
      </c>
      <c r="C3" s="115" t="s">
        <v>5</v>
      </c>
      <c r="D3" s="194">
        <v>-3.1</v>
      </c>
      <c r="E3" s="213" t="str">
        <f>IF(((D3)&lt;0),"+"&amp;D3*(-1)&amp;"",D3)</f>
        <v>+3.1</v>
      </c>
      <c r="F3" s="146" t="s">
        <v>317</v>
      </c>
      <c r="G3" s="194">
        <v>-2.1</v>
      </c>
      <c r="H3" s="213" t="str">
        <f>IF(((G3)&lt;0),"+"&amp;G3*(-1)&amp;"",G3)</f>
        <v>+2.1</v>
      </c>
      <c r="I3" s="213">
        <f t="shared" ref="I3:I34" si="0">D3+G3</f>
        <v>-5.2</v>
      </c>
      <c r="J3" s="216" t="str">
        <f>IF(((I3)&lt;0),"+"&amp;I3*(-1)&amp;"",I3)</f>
        <v>+5.2</v>
      </c>
      <c r="K3" s="245">
        <f>ABS(D3-G3)</f>
        <v>1</v>
      </c>
      <c r="L3" s="147">
        <v>1</v>
      </c>
      <c r="M3" s="114">
        <v>1</v>
      </c>
      <c r="N3" s="208" t="str">
        <f>IF(ISTEXT(C3), Calcutta!F11, "")</f>
        <v xml:space="preserve">Brijalba, Rufus </v>
      </c>
    </row>
    <row r="4" spans="2:20" x14ac:dyDescent="0.35">
      <c r="B4" s="35">
        <v>2</v>
      </c>
      <c r="C4" s="34" t="s">
        <v>24</v>
      </c>
      <c r="D4" s="195">
        <v>3.6</v>
      </c>
      <c r="E4" s="214">
        <f t="shared" ref="E4:E67" si="1">IF(((D4)&lt;0),"+"&amp;D4*(-1)&amp;"",D4)</f>
        <v>3.6</v>
      </c>
      <c r="F4" s="34" t="s">
        <v>318</v>
      </c>
      <c r="G4" s="195">
        <v>-4.3</v>
      </c>
      <c r="H4" s="214" t="str">
        <f t="shared" ref="H4:H67" si="2">IF(((G4)&lt;0),"+"&amp;G4*(-1)&amp;"",G4)</f>
        <v>+4.3</v>
      </c>
      <c r="I4" s="214">
        <f t="shared" si="0"/>
        <v>-0.69999999999999973</v>
      </c>
      <c r="J4" s="217" t="str">
        <f>IF(((I4)&lt;0),"+"&amp;I4*(-1)&amp;"",I4)</f>
        <v>+0.7</v>
      </c>
      <c r="K4" s="246">
        <f t="shared" ref="K4:K66" si="3">ABS(D4-G4)</f>
        <v>7.9</v>
      </c>
      <c r="L4" s="144">
        <v>1</v>
      </c>
      <c r="M4" s="32">
        <v>2</v>
      </c>
      <c r="N4" s="209" t="str">
        <f>IF(ISTEXT(C4), Calcutta!F12, "")</f>
        <v xml:space="preserve">Edwards, Patric </v>
      </c>
    </row>
    <row r="5" spans="2:20" x14ac:dyDescent="0.35">
      <c r="B5" s="35">
        <v>3</v>
      </c>
      <c r="C5" s="34" t="s">
        <v>23</v>
      </c>
      <c r="D5" s="195">
        <v>-0.5</v>
      </c>
      <c r="E5" s="214" t="str">
        <f t="shared" si="1"/>
        <v>+0.5</v>
      </c>
      <c r="F5" s="34" t="s">
        <v>319</v>
      </c>
      <c r="G5" s="195">
        <v>0.6</v>
      </c>
      <c r="H5" s="214">
        <f t="shared" si="2"/>
        <v>0.6</v>
      </c>
      <c r="I5" s="214">
        <f t="shared" si="0"/>
        <v>9.9999999999999978E-2</v>
      </c>
      <c r="J5" s="217">
        <f>IF(((I5)&lt;(-1)),"+"&amp;I5*(-1)&amp;"",I5)</f>
        <v>9.9999999999999978E-2</v>
      </c>
      <c r="K5" s="246">
        <f t="shared" si="3"/>
        <v>1.1000000000000001</v>
      </c>
      <c r="L5" s="144">
        <v>1</v>
      </c>
      <c r="M5" s="32">
        <v>3</v>
      </c>
      <c r="N5" s="209" t="str">
        <f>IF(ISTEXT(C5), Calcutta!F13, "")</f>
        <v xml:space="preserve">Harwood, Michael </v>
      </c>
      <c r="R5" t="s">
        <v>320</v>
      </c>
      <c r="T5">
        <f>COUNTA(C3:C82)</f>
        <v>80</v>
      </c>
    </row>
    <row r="6" spans="2:20" x14ac:dyDescent="0.35">
      <c r="B6" s="35">
        <v>4</v>
      </c>
      <c r="C6" s="34" t="s">
        <v>321</v>
      </c>
      <c r="D6" s="195">
        <v>0.5</v>
      </c>
      <c r="E6" s="214">
        <f t="shared" si="1"/>
        <v>0.5</v>
      </c>
      <c r="F6" s="34" t="s">
        <v>322</v>
      </c>
      <c r="G6" s="195">
        <v>1.3</v>
      </c>
      <c r="H6" s="214">
        <f t="shared" si="2"/>
        <v>1.3</v>
      </c>
      <c r="I6" s="214">
        <f t="shared" si="0"/>
        <v>1.8</v>
      </c>
      <c r="J6" s="217">
        <f t="shared" ref="J6:J37" si="4">IF((I6&lt;0),"+"&amp;I6*(-1)&amp;"",I6)</f>
        <v>1.8</v>
      </c>
      <c r="K6" s="246">
        <f t="shared" si="3"/>
        <v>0.8</v>
      </c>
      <c r="L6" s="144">
        <v>1</v>
      </c>
      <c r="M6" s="32">
        <v>4</v>
      </c>
      <c r="N6" s="209" t="str">
        <f>IF(ISTEXT(C6), Calcutta!F14, "")</f>
        <v xml:space="preserve">Aghazadeh, Abdol </v>
      </c>
      <c r="R6" t="s">
        <v>323</v>
      </c>
      <c r="T6">
        <f>T5/10</f>
        <v>8</v>
      </c>
    </row>
    <row r="7" spans="2:20" x14ac:dyDescent="0.35">
      <c r="B7" s="35">
        <v>5</v>
      </c>
      <c r="C7" s="34" t="s">
        <v>324</v>
      </c>
      <c r="D7" s="195">
        <v>2.8</v>
      </c>
      <c r="E7" s="214">
        <f t="shared" si="1"/>
        <v>2.8</v>
      </c>
      <c r="F7" s="34" t="s">
        <v>325</v>
      </c>
      <c r="G7" s="195">
        <v>0.1</v>
      </c>
      <c r="H7" s="214">
        <f t="shared" si="2"/>
        <v>0.1</v>
      </c>
      <c r="I7" s="214">
        <f t="shared" si="0"/>
        <v>2.9</v>
      </c>
      <c r="J7" s="217">
        <f t="shared" si="4"/>
        <v>2.9</v>
      </c>
      <c r="K7" s="246">
        <f t="shared" si="3"/>
        <v>2.6999999999999997</v>
      </c>
      <c r="L7" s="144">
        <v>1</v>
      </c>
      <c r="M7" s="32">
        <v>5</v>
      </c>
      <c r="N7" s="209" t="str">
        <f>IF(ISTEXT(C7), Calcutta!F15, "")</f>
        <v xml:space="preserve">Godhania, Vikas </v>
      </c>
    </row>
    <row r="8" spans="2:20" x14ac:dyDescent="0.35">
      <c r="B8" s="35">
        <v>6</v>
      </c>
      <c r="C8" s="34" t="s">
        <v>7</v>
      </c>
      <c r="D8" s="195">
        <v>-0.7</v>
      </c>
      <c r="E8" s="214" t="str">
        <f t="shared" si="1"/>
        <v>+0.7</v>
      </c>
      <c r="F8" s="34" t="s">
        <v>326</v>
      </c>
      <c r="G8" s="195">
        <v>4.5</v>
      </c>
      <c r="H8" s="214">
        <f t="shared" si="2"/>
        <v>4.5</v>
      </c>
      <c r="I8" s="214">
        <f t="shared" si="0"/>
        <v>3.8</v>
      </c>
      <c r="J8" s="217">
        <f t="shared" si="4"/>
        <v>3.8</v>
      </c>
      <c r="K8" s="246">
        <f t="shared" si="3"/>
        <v>5.2</v>
      </c>
      <c r="L8" s="144">
        <v>1</v>
      </c>
      <c r="M8" s="32">
        <v>6</v>
      </c>
      <c r="N8" s="209" t="str">
        <f>IF(ISTEXT(C8), Calcutta!F16, "")</f>
        <v xml:space="preserve">Maples, Brent </v>
      </c>
    </row>
    <row r="9" spans="2:20" x14ac:dyDescent="0.35">
      <c r="B9" s="35">
        <v>7</v>
      </c>
      <c r="C9" s="34" t="s">
        <v>26</v>
      </c>
      <c r="D9" s="195">
        <v>0.2</v>
      </c>
      <c r="E9" s="214">
        <f t="shared" si="1"/>
        <v>0.2</v>
      </c>
      <c r="F9" s="34" t="s">
        <v>327</v>
      </c>
      <c r="G9" s="195">
        <v>3.9</v>
      </c>
      <c r="H9" s="214">
        <f t="shared" si="2"/>
        <v>3.9</v>
      </c>
      <c r="I9" s="214">
        <f t="shared" si="0"/>
        <v>4.0999999999999996</v>
      </c>
      <c r="J9" s="217">
        <f t="shared" si="4"/>
        <v>4.0999999999999996</v>
      </c>
      <c r="K9" s="246">
        <f t="shared" si="3"/>
        <v>3.6999999999999997</v>
      </c>
      <c r="L9" s="144">
        <v>1</v>
      </c>
      <c r="M9" s="32">
        <v>7</v>
      </c>
      <c r="N9" s="209" t="str">
        <f>IF(ISTEXT(C9), Calcutta!F17, "")</f>
        <v xml:space="preserve">Darter, Bret </v>
      </c>
    </row>
    <row r="10" spans="2:20" x14ac:dyDescent="0.35">
      <c r="B10" s="36">
        <v>8</v>
      </c>
      <c r="C10" s="84" t="s">
        <v>328</v>
      </c>
      <c r="D10" s="196">
        <v>3.1</v>
      </c>
      <c r="E10" s="215">
        <f t="shared" si="1"/>
        <v>3.1</v>
      </c>
      <c r="F10" s="84" t="s">
        <v>329</v>
      </c>
      <c r="G10" s="196">
        <v>1.4</v>
      </c>
      <c r="H10" s="215">
        <f t="shared" si="2"/>
        <v>1.4</v>
      </c>
      <c r="I10" s="215">
        <f t="shared" si="0"/>
        <v>4.5</v>
      </c>
      <c r="J10" s="218">
        <f t="shared" si="4"/>
        <v>4.5</v>
      </c>
      <c r="K10" s="246">
        <f t="shared" si="3"/>
        <v>1.7000000000000002</v>
      </c>
      <c r="L10" s="113">
        <v>1</v>
      </c>
      <c r="M10" s="33">
        <v>8</v>
      </c>
      <c r="N10" s="211" t="str">
        <f>IF(ISTEXT(C10), Calcutta!F18, "")</f>
        <v xml:space="preserve">Vidrine, Scot </v>
      </c>
    </row>
    <row r="11" spans="2:20" x14ac:dyDescent="0.35">
      <c r="B11" s="35">
        <v>9</v>
      </c>
      <c r="C11" s="34" t="s">
        <v>74</v>
      </c>
      <c r="D11" s="195">
        <v>4.7</v>
      </c>
      <c r="E11" s="214">
        <f t="shared" si="1"/>
        <v>4.7</v>
      </c>
      <c r="F11" s="34" t="s">
        <v>330</v>
      </c>
      <c r="G11" s="195">
        <v>-0.1</v>
      </c>
      <c r="H11" s="214" t="str">
        <f t="shared" si="2"/>
        <v>+0.1</v>
      </c>
      <c r="I11" s="219">
        <f t="shared" si="0"/>
        <v>4.6000000000000005</v>
      </c>
      <c r="J11" s="220">
        <f t="shared" si="4"/>
        <v>4.6000000000000005</v>
      </c>
      <c r="K11" s="245">
        <f t="shared" si="3"/>
        <v>4.8</v>
      </c>
      <c r="L11" s="210">
        <v>2</v>
      </c>
      <c r="M11" s="32">
        <v>1</v>
      </c>
      <c r="N11" s="209" t="str">
        <f>IF(ISTEXT(C11), Calcutta!F22, "")</f>
        <v xml:space="preserve">Brymer, Cory </v>
      </c>
    </row>
    <row r="12" spans="2:20" x14ac:dyDescent="0.35">
      <c r="B12" s="35">
        <v>10</v>
      </c>
      <c r="C12" s="34" t="s">
        <v>38</v>
      </c>
      <c r="D12" s="195">
        <v>0</v>
      </c>
      <c r="E12" s="214">
        <f t="shared" si="1"/>
        <v>0</v>
      </c>
      <c r="F12" s="34" t="s">
        <v>331</v>
      </c>
      <c r="G12" s="195">
        <v>5</v>
      </c>
      <c r="H12" s="214">
        <f t="shared" si="2"/>
        <v>5</v>
      </c>
      <c r="I12" s="219">
        <f t="shared" si="0"/>
        <v>5</v>
      </c>
      <c r="J12" s="217">
        <f t="shared" si="4"/>
        <v>5</v>
      </c>
      <c r="K12" s="246">
        <f t="shared" si="3"/>
        <v>5</v>
      </c>
      <c r="L12" s="210">
        <v>2</v>
      </c>
      <c r="M12" s="32">
        <v>2</v>
      </c>
      <c r="N12" s="209" t="str">
        <f>IF(ISTEXT(C12), Calcutta!F23, "")</f>
        <v xml:space="preserve">Aghazadeh, Abdol </v>
      </c>
    </row>
    <row r="13" spans="2:20" x14ac:dyDescent="0.35">
      <c r="B13" s="35">
        <v>11</v>
      </c>
      <c r="C13" s="34" t="s">
        <v>36</v>
      </c>
      <c r="D13" s="195">
        <v>-3.4</v>
      </c>
      <c r="E13" s="214" t="str">
        <f t="shared" si="1"/>
        <v>+3.4</v>
      </c>
      <c r="F13" s="34" t="s">
        <v>332</v>
      </c>
      <c r="G13" s="195">
        <v>8.5</v>
      </c>
      <c r="H13" s="214">
        <f t="shared" si="2"/>
        <v>8.5</v>
      </c>
      <c r="I13" s="219">
        <f t="shared" si="0"/>
        <v>5.0999999999999996</v>
      </c>
      <c r="J13" s="217">
        <f t="shared" si="4"/>
        <v>5.0999999999999996</v>
      </c>
      <c r="K13" s="246">
        <f t="shared" si="3"/>
        <v>11.9</v>
      </c>
      <c r="L13" s="210">
        <v>2</v>
      </c>
      <c r="M13" s="32">
        <v>3</v>
      </c>
      <c r="N13" s="209" t="str">
        <f>IF(ISTEXT(C13), Calcutta!F24, "")</f>
        <v xml:space="preserve">Aghazadeh, Abdol </v>
      </c>
    </row>
    <row r="14" spans="2:20" x14ac:dyDescent="0.35">
      <c r="B14" s="35">
        <v>12</v>
      </c>
      <c r="C14" s="34" t="s">
        <v>34</v>
      </c>
      <c r="D14" s="195">
        <v>1.5</v>
      </c>
      <c r="E14" s="214">
        <f t="shared" si="1"/>
        <v>1.5</v>
      </c>
      <c r="F14" s="34" t="s">
        <v>333</v>
      </c>
      <c r="G14" s="195">
        <v>4.5</v>
      </c>
      <c r="H14" s="214">
        <f t="shared" si="2"/>
        <v>4.5</v>
      </c>
      <c r="I14" s="219">
        <f t="shared" si="0"/>
        <v>6</v>
      </c>
      <c r="J14" s="217">
        <f t="shared" si="4"/>
        <v>6</v>
      </c>
      <c r="K14" s="246">
        <f t="shared" si="3"/>
        <v>3</v>
      </c>
      <c r="L14" s="210">
        <v>2</v>
      </c>
      <c r="M14" s="32">
        <v>4</v>
      </c>
      <c r="N14" s="209" t="str">
        <f>IF(ISTEXT(C14), Calcutta!F25, "")</f>
        <v xml:space="preserve">Bohnen, John </v>
      </c>
    </row>
    <row r="15" spans="2:20" x14ac:dyDescent="0.35">
      <c r="B15" s="35">
        <v>13</v>
      </c>
      <c r="C15" s="34" t="s">
        <v>35</v>
      </c>
      <c r="D15" s="195">
        <v>3.2</v>
      </c>
      <c r="E15" s="214">
        <f t="shared" si="1"/>
        <v>3.2</v>
      </c>
      <c r="F15" s="34" t="s">
        <v>334</v>
      </c>
      <c r="G15" s="195">
        <v>2.9</v>
      </c>
      <c r="H15" s="214">
        <f t="shared" si="2"/>
        <v>2.9</v>
      </c>
      <c r="I15" s="219">
        <f t="shared" si="0"/>
        <v>6.1</v>
      </c>
      <c r="J15" s="217">
        <f t="shared" si="4"/>
        <v>6.1</v>
      </c>
      <c r="K15" s="246">
        <f t="shared" si="3"/>
        <v>0.30000000000000027</v>
      </c>
      <c r="L15" s="210">
        <v>2</v>
      </c>
      <c r="M15" s="32">
        <v>5</v>
      </c>
      <c r="N15" s="209" t="str">
        <f>IF(ISTEXT(C15), Calcutta!F26, "")</f>
        <v xml:space="preserve">Bellomio, Ron </v>
      </c>
    </row>
    <row r="16" spans="2:20" x14ac:dyDescent="0.35">
      <c r="B16" s="35">
        <v>14</v>
      </c>
      <c r="C16" s="34" t="s">
        <v>44</v>
      </c>
      <c r="D16" s="195">
        <v>2.9</v>
      </c>
      <c r="E16" s="214">
        <f t="shared" si="1"/>
        <v>2.9</v>
      </c>
      <c r="F16" s="34" t="s">
        <v>335</v>
      </c>
      <c r="G16" s="195">
        <v>3.7</v>
      </c>
      <c r="H16" s="214">
        <f t="shared" si="2"/>
        <v>3.7</v>
      </c>
      <c r="I16" s="219">
        <f t="shared" si="0"/>
        <v>6.6</v>
      </c>
      <c r="J16" s="217">
        <f t="shared" si="4"/>
        <v>6.6</v>
      </c>
      <c r="K16" s="246">
        <f t="shared" si="3"/>
        <v>0.80000000000000027</v>
      </c>
      <c r="L16" s="210">
        <v>2</v>
      </c>
      <c r="M16" s="32">
        <v>6</v>
      </c>
      <c r="N16" s="209" t="str">
        <f>IF(ISTEXT(C16), Calcutta!F27, "")</f>
        <v xml:space="preserve">Godhania, Vikas </v>
      </c>
    </row>
    <row r="17" spans="2:14" x14ac:dyDescent="0.35">
      <c r="B17" s="35">
        <v>15</v>
      </c>
      <c r="C17" s="34" t="s">
        <v>336</v>
      </c>
      <c r="D17" s="195">
        <v>7.5</v>
      </c>
      <c r="E17" s="214">
        <f t="shared" si="1"/>
        <v>7.5</v>
      </c>
      <c r="F17" s="34" t="s">
        <v>337</v>
      </c>
      <c r="G17" s="195">
        <v>0</v>
      </c>
      <c r="H17" s="214">
        <f t="shared" si="2"/>
        <v>0</v>
      </c>
      <c r="I17" s="219">
        <f t="shared" si="0"/>
        <v>7.5</v>
      </c>
      <c r="J17" s="217">
        <f t="shared" si="4"/>
        <v>7.5</v>
      </c>
      <c r="K17" s="246">
        <f t="shared" si="3"/>
        <v>7.5</v>
      </c>
      <c r="L17" s="210">
        <v>2</v>
      </c>
      <c r="M17" s="32">
        <v>7</v>
      </c>
      <c r="N17" s="209" t="str">
        <f>IF(ISTEXT(C17), Calcutta!F28, "")</f>
        <v xml:space="preserve">Wedgeworth, Cliff </v>
      </c>
    </row>
    <row r="18" spans="2:14" x14ac:dyDescent="0.35">
      <c r="B18" s="36">
        <v>16</v>
      </c>
      <c r="C18" s="84" t="s">
        <v>37</v>
      </c>
      <c r="D18" s="196">
        <v>0</v>
      </c>
      <c r="E18" s="215">
        <f t="shared" si="1"/>
        <v>0</v>
      </c>
      <c r="F18" s="84" t="s">
        <v>338</v>
      </c>
      <c r="G18" s="196">
        <v>7.6</v>
      </c>
      <c r="H18" s="215">
        <f t="shared" si="2"/>
        <v>7.6</v>
      </c>
      <c r="I18" s="221">
        <f t="shared" si="0"/>
        <v>7.6</v>
      </c>
      <c r="J18" s="222">
        <f t="shared" si="4"/>
        <v>7.6</v>
      </c>
      <c r="K18" s="246">
        <f t="shared" si="3"/>
        <v>7.6</v>
      </c>
      <c r="L18" s="212">
        <v>2</v>
      </c>
      <c r="M18" s="33">
        <v>8</v>
      </c>
      <c r="N18" s="211" t="str">
        <f>IF(ISTEXT(C18), Calcutta!F29, "")</f>
        <v xml:space="preserve">Drain, Zip </v>
      </c>
    </row>
    <row r="19" spans="2:14" x14ac:dyDescent="0.35">
      <c r="B19" s="35">
        <v>17</v>
      </c>
      <c r="C19" s="34" t="s">
        <v>339</v>
      </c>
      <c r="D19" s="195">
        <v>-1</v>
      </c>
      <c r="E19" s="214" t="str">
        <f t="shared" si="1"/>
        <v>+1</v>
      </c>
      <c r="F19" s="34" t="s">
        <v>340</v>
      </c>
      <c r="G19" s="195">
        <v>9.8000000000000007</v>
      </c>
      <c r="H19" s="214">
        <f t="shared" si="2"/>
        <v>9.8000000000000007</v>
      </c>
      <c r="I19" s="219">
        <f t="shared" si="0"/>
        <v>8.8000000000000007</v>
      </c>
      <c r="J19" s="220">
        <f t="shared" si="4"/>
        <v>8.8000000000000007</v>
      </c>
      <c r="K19" s="245">
        <f t="shared" si="3"/>
        <v>10.8</v>
      </c>
      <c r="L19" s="144">
        <v>3</v>
      </c>
      <c r="M19" s="32">
        <v>1</v>
      </c>
      <c r="N19" s="35" t="str">
        <f>IF(ISTEXT(C19), Calcutta!F33, "")</f>
        <v xml:space="preserve">Bohnen, John </v>
      </c>
    </row>
    <row r="20" spans="2:14" x14ac:dyDescent="0.35">
      <c r="B20" s="35">
        <v>18</v>
      </c>
      <c r="C20" s="34" t="s">
        <v>43</v>
      </c>
      <c r="D20" s="195">
        <v>2.4</v>
      </c>
      <c r="E20" s="214">
        <f t="shared" si="1"/>
        <v>2.4</v>
      </c>
      <c r="F20" s="34" t="s">
        <v>341</v>
      </c>
      <c r="G20" s="195">
        <v>6.6</v>
      </c>
      <c r="H20" s="214">
        <f t="shared" si="2"/>
        <v>6.6</v>
      </c>
      <c r="I20" s="219">
        <f t="shared" si="0"/>
        <v>9</v>
      </c>
      <c r="J20" s="217">
        <f t="shared" si="4"/>
        <v>9</v>
      </c>
      <c r="K20" s="246">
        <f t="shared" si="3"/>
        <v>4.1999999999999993</v>
      </c>
      <c r="L20" s="144">
        <v>3</v>
      </c>
      <c r="M20" s="32">
        <v>2</v>
      </c>
      <c r="N20" s="35" t="str">
        <f>IF(ISTEXT(C20), Calcutta!F34, "")</f>
        <v xml:space="preserve">Scott, Jonathan </v>
      </c>
    </row>
    <row r="21" spans="2:14" x14ac:dyDescent="0.35">
      <c r="B21" s="35">
        <v>19</v>
      </c>
      <c r="C21" s="34" t="s">
        <v>45</v>
      </c>
      <c r="D21" s="195">
        <v>9.1999999999999993</v>
      </c>
      <c r="E21" s="214">
        <f t="shared" si="1"/>
        <v>9.1999999999999993</v>
      </c>
      <c r="F21" s="34" t="s">
        <v>342</v>
      </c>
      <c r="G21" s="195">
        <v>-0.1</v>
      </c>
      <c r="H21" s="214" t="str">
        <f t="shared" si="2"/>
        <v>+0.1</v>
      </c>
      <c r="I21" s="219">
        <f t="shared" si="0"/>
        <v>9.1</v>
      </c>
      <c r="J21" s="217">
        <f t="shared" si="4"/>
        <v>9.1</v>
      </c>
      <c r="K21" s="246">
        <f t="shared" si="3"/>
        <v>9.2999999999999989</v>
      </c>
      <c r="L21" s="144">
        <v>3</v>
      </c>
      <c r="M21" s="32">
        <v>3</v>
      </c>
      <c r="N21" s="35" t="str">
        <f>IF(ISTEXT(C21), Calcutta!F35, "")</f>
        <v xml:space="preserve">Vidrine, Scot </v>
      </c>
    </row>
    <row r="22" spans="2:14" x14ac:dyDescent="0.35">
      <c r="B22" s="35">
        <v>20</v>
      </c>
      <c r="C22" s="34" t="s">
        <v>343</v>
      </c>
      <c r="D22" s="195">
        <v>3.5</v>
      </c>
      <c r="E22" s="214">
        <f t="shared" si="1"/>
        <v>3.5</v>
      </c>
      <c r="F22" s="34" t="s">
        <v>344</v>
      </c>
      <c r="G22" s="195">
        <v>5.7</v>
      </c>
      <c r="H22" s="214">
        <f t="shared" si="2"/>
        <v>5.7</v>
      </c>
      <c r="I22" s="219">
        <f t="shared" si="0"/>
        <v>9.1999999999999993</v>
      </c>
      <c r="J22" s="217">
        <f t="shared" si="4"/>
        <v>9.1999999999999993</v>
      </c>
      <c r="K22" s="246">
        <f t="shared" si="3"/>
        <v>2.2000000000000002</v>
      </c>
      <c r="L22" s="144">
        <v>3</v>
      </c>
      <c r="M22" s="32">
        <v>4</v>
      </c>
      <c r="N22" s="35" t="str">
        <f>IF(ISTEXT(C22), Calcutta!F36, "")</f>
        <v xml:space="preserve">Aghazadeh, Abdol </v>
      </c>
    </row>
    <row r="23" spans="2:14" x14ac:dyDescent="0.35">
      <c r="B23" s="35">
        <v>21</v>
      </c>
      <c r="C23" s="34" t="s">
        <v>345</v>
      </c>
      <c r="D23" s="195">
        <v>1.5</v>
      </c>
      <c r="E23" s="214">
        <f t="shared" si="1"/>
        <v>1.5</v>
      </c>
      <c r="F23" s="34" t="s">
        <v>346</v>
      </c>
      <c r="G23" s="195">
        <v>8</v>
      </c>
      <c r="H23" s="214">
        <f t="shared" si="2"/>
        <v>8</v>
      </c>
      <c r="I23" s="219">
        <f t="shared" si="0"/>
        <v>9.5</v>
      </c>
      <c r="J23" s="217">
        <f t="shared" si="4"/>
        <v>9.5</v>
      </c>
      <c r="K23" s="246">
        <f t="shared" si="3"/>
        <v>6.5</v>
      </c>
      <c r="L23" s="144">
        <v>3</v>
      </c>
      <c r="M23" s="32">
        <v>5</v>
      </c>
      <c r="N23" s="35" t="str">
        <f>IF(ISTEXT(C23), Calcutta!F37, "")</f>
        <v xml:space="preserve">Vaughn, Earl </v>
      </c>
    </row>
    <row r="24" spans="2:14" x14ac:dyDescent="0.35">
      <c r="B24" s="35">
        <v>22</v>
      </c>
      <c r="C24" s="34" t="s">
        <v>46</v>
      </c>
      <c r="D24" s="195">
        <v>4.5</v>
      </c>
      <c r="E24" s="214">
        <f t="shared" si="1"/>
        <v>4.5</v>
      </c>
      <c r="F24" s="34" t="s">
        <v>347</v>
      </c>
      <c r="G24" s="195">
        <v>5.2</v>
      </c>
      <c r="H24" s="214">
        <f t="shared" si="2"/>
        <v>5.2</v>
      </c>
      <c r="I24" s="219">
        <f t="shared" si="0"/>
        <v>9.6999999999999993</v>
      </c>
      <c r="J24" s="217">
        <f t="shared" si="4"/>
        <v>9.6999999999999993</v>
      </c>
      <c r="K24" s="246">
        <f t="shared" si="3"/>
        <v>0.70000000000000018</v>
      </c>
      <c r="L24" s="144">
        <v>3</v>
      </c>
      <c r="M24" s="32">
        <v>6</v>
      </c>
      <c r="N24" s="35" t="str">
        <f>IF(ISTEXT(C24), Calcutta!F38, "")</f>
        <v xml:space="preserve">Kromis, Daniel </v>
      </c>
    </row>
    <row r="25" spans="2:14" x14ac:dyDescent="0.35">
      <c r="B25" s="35">
        <v>23</v>
      </c>
      <c r="C25" s="34" t="s">
        <v>33</v>
      </c>
      <c r="D25" s="195">
        <v>7.5</v>
      </c>
      <c r="E25" s="214">
        <f t="shared" si="1"/>
        <v>7.5</v>
      </c>
      <c r="F25" s="34" t="s">
        <v>348</v>
      </c>
      <c r="G25" s="195">
        <v>2.8</v>
      </c>
      <c r="H25" s="214">
        <f t="shared" si="2"/>
        <v>2.8</v>
      </c>
      <c r="I25" s="219">
        <f t="shared" si="0"/>
        <v>10.3</v>
      </c>
      <c r="J25" s="217">
        <f t="shared" si="4"/>
        <v>10.3</v>
      </c>
      <c r="K25" s="246">
        <f t="shared" si="3"/>
        <v>4.7</v>
      </c>
      <c r="L25" s="144">
        <v>3</v>
      </c>
      <c r="M25" s="32">
        <v>7</v>
      </c>
      <c r="N25" s="35" t="str">
        <f>IF(ISTEXT(C25), Calcutta!F39, "")</f>
        <v xml:space="preserve">Brymer, Cory </v>
      </c>
    </row>
    <row r="26" spans="2:14" x14ac:dyDescent="0.35">
      <c r="B26" s="35">
        <v>24</v>
      </c>
      <c r="C26" s="34" t="s">
        <v>48</v>
      </c>
      <c r="D26" s="195">
        <v>4.9000000000000004</v>
      </c>
      <c r="E26" s="214">
        <f t="shared" si="1"/>
        <v>4.9000000000000004</v>
      </c>
      <c r="F26" s="34" t="s">
        <v>349</v>
      </c>
      <c r="G26" s="195">
        <v>5.4</v>
      </c>
      <c r="H26" s="214">
        <f t="shared" si="2"/>
        <v>5.4</v>
      </c>
      <c r="I26" s="219">
        <f t="shared" si="0"/>
        <v>10.3</v>
      </c>
      <c r="J26" s="220">
        <f t="shared" si="4"/>
        <v>10.3</v>
      </c>
      <c r="K26" s="246">
        <f t="shared" si="3"/>
        <v>0.5</v>
      </c>
      <c r="L26" s="144">
        <v>3</v>
      </c>
      <c r="M26" s="32">
        <v>8</v>
      </c>
      <c r="N26" s="35" t="str">
        <f>IF(ISTEXT(C26), Calcutta!F40, "")</f>
        <v xml:space="preserve">Fulmer, Austen </v>
      </c>
    </row>
    <row r="27" spans="2:14" x14ac:dyDescent="0.35">
      <c r="B27" s="145">
        <v>25</v>
      </c>
      <c r="C27" s="146" t="s">
        <v>30</v>
      </c>
      <c r="D27" s="194">
        <v>4.4000000000000004</v>
      </c>
      <c r="E27" s="213">
        <f t="shared" si="1"/>
        <v>4.4000000000000004</v>
      </c>
      <c r="F27" s="146" t="s">
        <v>350</v>
      </c>
      <c r="G27" s="194">
        <v>6</v>
      </c>
      <c r="H27" s="213">
        <f t="shared" si="2"/>
        <v>6</v>
      </c>
      <c r="I27" s="223">
        <f t="shared" si="0"/>
        <v>10.4</v>
      </c>
      <c r="J27" s="224">
        <f t="shared" si="4"/>
        <v>10.4</v>
      </c>
      <c r="K27" s="245">
        <f t="shared" si="3"/>
        <v>1.5999999999999996</v>
      </c>
      <c r="L27" s="152">
        <v>4</v>
      </c>
      <c r="M27" s="114">
        <v>1</v>
      </c>
      <c r="N27" s="208" t="str">
        <f>IF(ISTEXT(C27), Calcutta!F44, "")</f>
        <v xml:space="preserve">Jones, Jason </v>
      </c>
    </row>
    <row r="28" spans="2:14" x14ac:dyDescent="0.35">
      <c r="B28" s="35">
        <v>26</v>
      </c>
      <c r="C28" s="34" t="s">
        <v>351</v>
      </c>
      <c r="D28" s="195">
        <v>4.5999999999999996</v>
      </c>
      <c r="E28" s="214">
        <f t="shared" si="1"/>
        <v>4.5999999999999996</v>
      </c>
      <c r="F28" s="34" t="s">
        <v>352</v>
      </c>
      <c r="G28" s="195">
        <v>5.8</v>
      </c>
      <c r="H28" s="214">
        <f t="shared" si="2"/>
        <v>5.8</v>
      </c>
      <c r="I28" s="219">
        <f t="shared" si="0"/>
        <v>10.399999999999999</v>
      </c>
      <c r="J28" s="217">
        <f t="shared" si="4"/>
        <v>10.399999999999999</v>
      </c>
      <c r="K28" s="246">
        <f t="shared" si="3"/>
        <v>1.2000000000000002</v>
      </c>
      <c r="L28" s="210">
        <v>4</v>
      </c>
      <c r="M28" s="32">
        <v>2</v>
      </c>
      <c r="N28" s="209" t="str">
        <f>IF(ISTEXT(C28), Calcutta!F45, "")</f>
        <v xml:space="preserve">Aghazadeh, Abdol </v>
      </c>
    </row>
    <row r="29" spans="2:14" x14ac:dyDescent="0.35">
      <c r="B29" s="35">
        <v>27</v>
      </c>
      <c r="C29" s="34" t="s">
        <v>353</v>
      </c>
      <c r="D29" s="195">
        <v>6.9</v>
      </c>
      <c r="E29" s="214">
        <f t="shared" si="1"/>
        <v>6.9</v>
      </c>
      <c r="F29" s="34" t="s">
        <v>354</v>
      </c>
      <c r="G29" s="195">
        <v>3.7</v>
      </c>
      <c r="H29" s="214">
        <f t="shared" si="2"/>
        <v>3.7</v>
      </c>
      <c r="I29" s="219">
        <f t="shared" si="0"/>
        <v>10.600000000000001</v>
      </c>
      <c r="J29" s="217">
        <f t="shared" si="4"/>
        <v>10.600000000000001</v>
      </c>
      <c r="K29" s="246">
        <f t="shared" si="3"/>
        <v>3.2</v>
      </c>
      <c r="L29" s="210">
        <v>4</v>
      </c>
      <c r="M29" s="32">
        <v>3</v>
      </c>
      <c r="N29" s="209" t="str">
        <f>IF(ISTEXT(C29), Calcutta!F46, "")</f>
        <v xml:space="preserve">Vaughn, Earl </v>
      </c>
    </row>
    <row r="30" spans="2:14" x14ac:dyDescent="0.35">
      <c r="B30" s="35">
        <v>28</v>
      </c>
      <c r="C30" s="34" t="s">
        <v>50</v>
      </c>
      <c r="D30" s="195">
        <v>5.2</v>
      </c>
      <c r="E30" s="214">
        <f t="shared" si="1"/>
        <v>5.2</v>
      </c>
      <c r="F30" s="34" t="s">
        <v>355</v>
      </c>
      <c r="G30" s="195">
        <v>5.6</v>
      </c>
      <c r="H30" s="214">
        <f t="shared" si="2"/>
        <v>5.6</v>
      </c>
      <c r="I30" s="219">
        <f t="shared" si="0"/>
        <v>10.8</v>
      </c>
      <c r="J30" s="217">
        <f t="shared" si="4"/>
        <v>10.8</v>
      </c>
      <c r="K30" s="246">
        <f t="shared" si="3"/>
        <v>0.39999999999999947</v>
      </c>
      <c r="L30" s="210">
        <v>4</v>
      </c>
      <c r="M30" s="32">
        <v>4</v>
      </c>
      <c r="N30" s="209" t="str">
        <f>IF(ISTEXT(C30), Calcutta!F47, "")</f>
        <v xml:space="preserve">Aghazadeh, Abdol </v>
      </c>
    </row>
    <row r="31" spans="2:14" x14ac:dyDescent="0.35">
      <c r="B31" s="35">
        <v>29</v>
      </c>
      <c r="C31" s="34" t="s">
        <v>51</v>
      </c>
      <c r="D31" s="195">
        <v>6</v>
      </c>
      <c r="E31" s="214">
        <f t="shared" si="1"/>
        <v>6</v>
      </c>
      <c r="F31" s="34" t="s">
        <v>356</v>
      </c>
      <c r="G31" s="195">
        <v>5</v>
      </c>
      <c r="H31" s="214">
        <f t="shared" si="2"/>
        <v>5</v>
      </c>
      <c r="I31" s="219">
        <f t="shared" si="0"/>
        <v>11</v>
      </c>
      <c r="J31" s="217">
        <f t="shared" si="4"/>
        <v>11</v>
      </c>
      <c r="K31" s="246">
        <f t="shared" si="3"/>
        <v>1</v>
      </c>
      <c r="L31" s="210">
        <v>4</v>
      </c>
      <c r="M31" s="32">
        <v>5</v>
      </c>
      <c r="N31" s="209" t="str">
        <f>IF(ISTEXT(C31), Calcutta!F48, "")</f>
        <v xml:space="preserve">Vidrine, Scot </v>
      </c>
    </row>
    <row r="32" spans="2:14" x14ac:dyDescent="0.35">
      <c r="B32" s="35">
        <v>30</v>
      </c>
      <c r="C32" s="34" t="s">
        <v>52</v>
      </c>
      <c r="D32" s="195">
        <v>5.8</v>
      </c>
      <c r="E32" s="214">
        <f t="shared" si="1"/>
        <v>5.8</v>
      </c>
      <c r="F32" s="34" t="s">
        <v>357</v>
      </c>
      <c r="G32" s="195">
        <v>6</v>
      </c>
      <c r="H32" s="214">
        <f t="shared" si="2"/>
        <v>6</v>
      </c>
      <c r="I32" s="219">
        <f t="shared" si="0"/>
        <v>11.8</v>
      </c>
      <c r="J32" s="217">
        <f t="shared" si="4"/>
        <v>11.8</v>
      </c>
      <c r="K32" s="246">
        <f t="shared" si="3"/>
        <v>0.20000000000000018</v>
      </c>
      <c r="L32" s="210">
        <v>4</v>
      </c>
      <c r="M32" s="32">
        <v>6</v>
      </c>
      <c r="N32" s="209" t="str">
        <f>IF(ISTEXT(C32), Calcutta!F49, "")</f>
        <v xml:space="preserve">Vaughn, Earl </v>
      </c>
    </row>
    <row r="33" spans="2:14" x14ac:dyDescent="0.35">
      <c r="B33" s="35">
        <v>31</v>
      </c>
      <c r="C33" s="34" t="s">
        <v>358</v>
      </c>
      <c r="D33" s="195">
        <v>3.7</v>
      </c>
      <c r="E33" s="214">
        <f t="shared" si="1"/>
        <v>3.7</v>
      </c>
      <c r="F33" s="34" t="s">
        <v>359</v>
      </c>
      <c r="G33" s="195">
        <v>8.3000000000000007</v>
      </c>
      <c r="H33" s="214">
        <f t="shared" si="2"/>
        <v>8.3000000000000007</v>
      </c>
      <c r="I33" s="219">
        <f t="shared" si="0"/>
        <v>12</v>
      </c>
      <c r="J33" s="217">
        <f t="shared" si="4"/>
        <v>12</v>
      </c>
      <c r="K33" s="246">
        <f t="shared" si="3"/>
        <v>4.6000000000000005</v>
      </c>
      <c r="L33" s="210">
        <v>4</v>
      </c>
      <c r="M33" s="32">
        <v>7</v>
      </c>
      <c r="N33" s="209" t="str">
        <f>IF(ISTEXT(C33), Calcutta!F50, "")</f>
        <v xml:space="preserve">Aghazadeh, Abdol </v>
      </c>
    </row>
    <row r="34" spans="2:14" x14ac:dyDescent="0.35">
      <c r="B34" s="36">
        <v>32</v>
      </c>
      <c r="C34" s="84" t="s">
        <v>360</v>
      </c>
      <c r="D34" s="196">
        <v>-0.1</v>
      </c>
      <c r="E34" s="215" t="str">
        <f t="shared" si="1"/>
        <v>+0.1</v>
      </c>
      <c r="F34" s="84" t="s">
        <v>361</v>
      </c>
      <c r="G34" s="196">
        <v>12.4</v>
      </c>
      <c r="H34" s="215">
        <f t="shared" si="2"/>
        <v>12.4</v>
      </c>
      <c r="I34" s="221">
        <f t="shared" si="0"/>
        <v>12.3</v>
      </c>
      <c r="J34" s="222">
        <f t="shared" si="4"/>
        <v>12.3</v>
      </c>
      <c r="K34" s="246">
        <f t="shared" si="3"/>
        <v>12.5</v>
      </c>
      <c r="L34" s="212">
        <v>4</v>
      </c>
      <c r="M34" s="33">
        <v>8</v>
      </c>
      <c r="N34" s="211" t="str">
        <f>IF(ISTEXT(C34), Calcutta!F51, "")</f>
        <v xml:space="preserve">Cress, Pj </v>
      </c>
    </row>
    <row r="35" spans="2:14" x14ac:dyDescent="0.35">
      <c r="B35" s="35">
        <v>33</v>
      </c>
      <c r="C35" s="34" t="s">
        <v>62</v>
      </c>
      <c r="D35" s="195">
        <v>11</v>
      </c>
      <c r="E35" s="214">
        <f t="shared" si="1"/>
        <v>11</v>
      </c>
      <c r="F35" s="34" t="s">
        <v>362</v>
      </c>
      <c r="G35" s="195">
        <v>1.5</v>
      </c>
      <c r="H35" s="214">
        <f t="shared" si="2"/>
        <v>1.5</v>
      </c>
      <c r="I35" s="219">
        <f t="shared" ref="I35:I66" si="5">D35+G35</f>
        <v>12.5</v>
      </c>
      <c r="J35" s="220">
        <f t="shared" si="4"/>
        <v>12.5</v>
      </c>
      <c r="K35" s="245">
        <f t="shared" si="3"/>
        <v>9.5</v>
      </c>
      <c r="L35" s="144">
        <v>5</v>
      </c>
      <c r="M35" s="32">
        <v>1</v>
      </c>
      <c r="N35" s="35" t="str">
        <f>IF(ISTEXT(C35), Calcutta!F55, "")</f>
        <v xml:space="preserve">Schnautz, David </v>
      </c>
    </row>
    <row r="36" spans="2:14" x14ac:dyDescent="0.35">
      <c r="B36" s="35">
        <v>34</v>
      </c>
      <c r="C36" s="34" t="s">
        <v>363</v>
      </c>
      <c r="D36" s="195">
        <v>9.1</v>
      </c>
      <c r="E36" s="214">
        <f t="shared" si="1"/>
        <v>9.1</v>
      </c>
      <c r="F36" s="34" t="s">
        <v>364</v>
      </c>
      <c r="G36" s="195">
        <v>3.7</v>
      </c>
      <c r="H36" s="214">
        <f t="shared" si="2"/>
        <v>3.7</v>
      </c>
      <c r="I36" s="219">
        <f t="shared" si="5"/>
        <v>12.8</v>
      </c>
      <c r="J36" s="217">
        <f t="shared" si="4"/>
        <v>12.8</v>
      </c>
      <c r="K36" s="246">
        <f t="shared" si="3"/>
        <v>5.3999999999999995</v>
      </c>
      <c r="L36" s="144">
        <v>5</v>
      </c>
      <c r="M36" s="32">
        <v>2</v>
      </c>
      <c r="N36" s="35" t="str">
        <f>IF(ISTEXT(C36), Calcutta!F56, "")</f>
        <v xml:space="preserve">Parent, Brian </v>
      </c>
    </row>
    <row r="37" spans="2:14" x14ac:dyDescent="0.35">
      <c r="B37" s="35">
        <v>35</v>
      </c>
      <c r="C37" s="34" t="s">
        <v>59</v>
      </c>
      <c r="D37" s="195">
        <v>7.1</v>
      </c>
      <c r="E37" s="214">
        <f t="shared" si="1"/>
        <v>7.1</v>
      </c>
      <c r="F37" s="34" t="s">
        <v>365</v>
      </c>
      <c r="G37" s="195">
        <v>5.8</v>
      </c>
      <c r="H37" s="214">
        <f t="shared" si="2"/>
        <v>5.8</v>
      </c>
      <c r="I37" s="219">
        <f t="shared" si="5"/>
        <v>12.899999999999999</v>
      </c>
      <c r="J37" s="217">
        <f t="shared" si="4"/>
        <v>12.899999999999999</v>
      </c>
      <c r="K37" s="246">
        <f t="shared" si="3"/>
        <v>1.2999999999999998</v>
      </c>
      <c r="L37" s="144">
        <v>5</v>
      </c>
      <c r="M37" s="32">
        <v>3</v>
      </c>
      <c r="N37" s="35" t="str">
        <f>IF(ISTEXT(C37), Calcutta!F57, "")</f>
        <v xml:space="preserve">Capone, Michael </v>
      </c>
    </row>
    <row r="38" spans="2:14" x14ac:dyDescent="0.35">
      <c r="B38" s="35">
        <v>36</v>
      </c>
      <c r="C38" s="34" t="s">
        <v>40</v>
      </c>
      <c r="D38" s="195">
        <v>8</v>
      </c>
      <c r="E38" s="214">
        <f t="shared" si="1"/>
        <v>8</v>
      </c>
      <c r="F38" s="34" t="s">
        <v>366</v>
      </c>
      <c r="G38" s="195">
        <v>5.2</v>
      </c>
      <c r="H38" s="214">
        <f t="shared" si="2"/>
        <v>5.2</v>
      </c>
      <c r="I38" s="219">
        <f t="shared" si="5"/>
        <v>13.2</v>
      </c>
      <c r="J38" s="217">
        <f t="shared" ref="J38:J69" si="6">IF((I38&lt;0),"+"&amp;I38*(-1)&amp;"",I38)</f>
        <v>13.2</v>
      </c>
      <c r="K38" s="246">
        <f t="shared" si="3"/>
        <v>2.8</v>
      </c>
      <c r="L38" s="144">
        <v>5</v>
      </c>
      <c r="M38" s="32">
        <v>4</v>
      </c>
      <c r="N38" s="35" t="str">
        <f>IF(ISTEXT(C38), Calcutta!F58, "")</f>
        <v xml:space="preserve">Butler, Gregory </v>
      </c>
    </row>
    <row r="39" spans="2:14" x14ac:dyDescent="0.35">
      <c r="B39" s="35">
        <v>37</v>
      </c>
      <c r="C39" s="34" t="s">
        <v>60</v>
      </c>
      <c r="D39" s="195">
        <v>4</v>
      </c>
      <c r="E39" s="214">
        <f t="shared" si="1"/>
        <v>4</v>
      </c>
      <c r="F39" s="34" t="s">
        <v>367</v>
      </c>
      <c r="G39" s="195">
        <v>9.3000000000000007</v>
      </c>
      <c r="H39" s="214">
        <f t="shared" si="2"/>
        <v>9.3000000000000007</v>
      </c>
      <c r="I39" s="219">
        <f t="shared" si="5"/>
        <v>13.3</v>
      </c>
      <c r="J39" s="217">
        <f t="shared" si="6"/>
        <v>13.3</v>
      </c>
      <c r="K39" s="246">
        <f t="shared" si="3"/>
        <v>5.3000000000000007</v>
      </c>
      <c r="L39" s="144">
        <v>5</v>
      </c>
      <c r="M39" s="32">
        <v>5</v>
      </c>
      <c r="N39" s="35" t="str">
        <f>IF(ISTEXT(C39), Calcutta!F59, "")</f>
        <v xml:space="preserve">Fulmer, Austen </v>
      </c>
    </row>
    <row r="40" spans="2:14" x14ac:dyDescent="0.35">
      <c r="B40" s="35">
        <v>38</v>
      </c>
      <c r="C40" s="34" t="s">
        <v>61</v>
      </c>
      <c r="D40" s="195">
        <v>6.9</v>
      </c>
      <c r="E40" s="214">
        <f t="shared" si="1"/>
        <v>6.9</v>
      </c>
      <c r="F40" s="34" t="s">
        <v>368</v>
      </c>
      <c r="G40" s="195">
        <v>6.6</v>
      </c>
      <c r="H40" s="214">
        <f t="shared" si="2"/>
        <v>6.6</v>
      </c>
      <c r="I40" s="219">
        <f t="shared" si="5"/>
        <v>13.5</v>
      </c>
      <c r="J40" s="217">
        <f t="shared" si="6"/>
        <v>13.5</v>
      </c>
      <c r="K40" s="246">
        <f t="shared" si="3"/>
        <v>0.30000000000000071</v>
      </c>
      <c r="L40" s="144">
        <v>5</v>
      </c>
      <c r="M40" s="32">
        <v>6</v>
      </c>
      <c r="N40" s="35" t="str">
        <f>IF(ISTEXT(C40), Calcutta!F60, "")</f>
        <v xml:space="preserve">Spisak, Brian </v>
      </c>
    </row>
    <row r="41" spans="2:14" x14ac:dyDescent="0.35">
      <c r="B41" s="35">
        <v>39</v>
      </c>
      <c r="C41" s="34" t="s">
        <v>369</v>
      </c>
      <c r="D41" s="195">
        <v>7.4</v>
      </c>
      <c r="E41" s="214">
        <f t="shared" si="1"/>
        <v>7.4</v>
      </c>
      <c r="F41" s="34" t="s">
        <v>370</v>
      </c>
      <c r="G41" s="195">
        <v>6.3</v>
      </c>
      <c r="H41" s="214">
        <f t="shared" si="2"/>
        <v>6.3</v>
      </c>
      <c r="I41" s="219">
        <f t="shared" si="5"/>
        <v>13.7</v>
      </c>
      <c r="J41" s="217">
        <f t="shared" si="6"/>
        <v>13.7</v>
      </c>
      <c r="K41" s="246">
        <f t="shared" si="3"/>
        <v>1.1000000000000005</v>
      </c>
      <c r="L41" s="144">
        <v>5</v>
      </c>
      <c r="M41" s="32">
        <v>7</v>
      </c>
      <c r="N41" s="35" t="str">
        <f>IF(ISTEXT(C41), Calcutta!F61, "")</f>
        <v xml:space="preserve">Aghazadeh, Abdol </v>
      </c>
    </row>
    <row r="42" spans="2:14" x14ac:dyDescent="0.35">
      <c r="B42" s="35">
        <v>40</v>
      </c>
      <c r="C42" s="34" t="s">
        <v>63</v>
      </c>
      <c r="D42" s="195">
        <v>2.7</v>
      </c>
      <c r="E42" s="214">
        <f t="shared" si="1"/>
        <v>2.7</v>
      </c>
      <c r="F42" s="34" t="s">
        <v>371</v>
      </c>
      <c r="G42" s="195">
        <v>12.5</v>
      </c>
      <c r="H42" s="214">
        <f t="shared" si="2"/>
        <v>12.5</v>
      </c>
      <c r="I42" s="219">
        <f t="shared" si="5"/>
        <v>15.2</v>
      </c>
      <c r="J42" s="220">
        <f t="shared" si="6"/>
        <v>15.2</v>
      </c>
      <c r="K42" s="246">
        <f t="shared" si="3"/>
        <v>9.8000000000000007</v>
      </c>
      <c r="L42" s="144">
        <v>5</v>
      </c>
      <c r="M42" s="32">
        <v>8</v>
      </c>
      <c r="N42" s="35" t="str">
        <f>IF(ISTEXT(C42), Calcutta!F62, "")</f>
        <v xml:space="preserve">Samsel, Steve </v>
      </c>
    </row>
    <row r="43" spans="2:14" x14ac:dyDescent="0.35">
      <c r="B43" s="145">
        <v>41</v>
      </c>
      <c r="C43" s="146" t="s">
        <v>66</v>
      </c>
      <c r="D43" s="194">
        <v>10.4</v>
      </c>
      <c r="E43" s="213">
        <f t="shared" si="1"/>
        <v>10.4</v>
      </c>
      <c r="F43" s="146" t="s">
        <v>372</v>
      </c>
      <c r="G43" s="194">
        <v>4.8</v>
      </c>
      <c r="H43" s="213">
        <f t="shared" si="2"/>
        <v>4.8</v>
      </c>
      <c r="I43" s="223">
        <f t="shared" si="5"/>
        <v>15.2</v>
      </c>
      <c r="J43" s="224">
        <f t="shared" si="6"/>
        <v>15.2</v>
      </c>
      <c r="K43" s="245">
        <f t="shared" si="3"/>
        <v>5.6000000000000005</v>
      </c>
      <c r="L43" s="152">
        <v>6</v>
      </c>
      <c r="M43" s="114">
        <v>1</v>
      </c>
      <c r="N43" s="208" t="str">
        <f>IF(ISTEXT(C43), Calcutta!F66, "")</f>
        <v xml:space="preserve">French, Arthur </v>
      </c>
    </row>
    <row r="44" spans="2:14" x14ac:dyDescent="0.35">
      <c r="B44" s="35">
        <v>42</v>
      </c>
      <c r="C44" s="34" t="s">
        <v>9</v>
      </c>
      <c r="D44" s="195">
        <v>5.3</v>
      </c>
      <c r="E44" s="214">
        <f t="shared" si="1"/>
        <v>5.3</v>
      </c>
      <c r="F44" s="34" t="s">
        <v>373</v>
      </c>
      <c r="G44" s="195">
        <v>10.199999999999999</v>
      </c>
      <c r="H44" s="214">
        <f t="shared" si="2"/>
        <v>10.199999999999999</v>
      </c>
      <c r="I44" s="219">
        <f t="shared" si="5"/>
        <v>15.5</v>
      </c>
      <c r="J44" s="217">
        <f t="shared" si="6"/>
        <v>15.5</v>
      </c>
      <c r="K44" s="246">
        <f t="shared" si="3"/>
        <v>4.8999999999999995</v>
      </c>
      <c r="L44" s="210">
        <v>6</v>
      </c>
      <c r="M44" s="32">
        <v>2</v>
      </c>
      <c r="N44" s="209" t="str">
        <f>IF(ISTEXT(C44), Calcutta!F67, "")</f>
        <v xml:space="preserve">Brymer, Cory </v>
      </c>
    </row>
    <row r="45" spans="2:14" x14ac:dyDescent="0.35">
      <c r="B45" s="35">
        <v>43</v>
      </c>
      <c r="C45" s="34" t="s">
        <v>374</v>
      </c>
      <c r="D45" s="195">
        <v>5.7</v>
      </c>
      <c r="E45" s="214">
        <f t="shared" si="1"/>
        <v>5.7</v>
      </c>
      <c r="F45" s="34" t="s">
        <v>375</v>
      </c>
      <c r="G45" s="195">
        <v>10.1</v>
      </c>
      <c r="H45" s="214">
        <f t="shared" si="2"/>
        <v>10.1</v>
      </c>
      <c r="I45" s="219">
        <f t="shared" si="5"/>
        <v>15.8</v>
      </c>
      <c r="J45" s="217">
        <f t="shared" si="6"/>
        <v>15.8</v>
      </c>
      <c r="K45" s="246">
        <f t="shared" si="3"/>
        <v>4.3999999999999995</v>
      </c>
      <c r="L45" s="210">
        <v>6</v>
      </c>
      <c r="M45" s="32">
        <v>3</v>
      </c>
      <c r="N45" s="209" t="str">
        <f>IF(ISTEXT(C45), Calcutta!F68, "")</f>
        <v xml:space="preserve">Vaughn, Earl </v>
      </c>
    </row>
    <row r="46" spans="2:14" x14ac:dyDescent="0.35">
      <c r="B46" s="35">
        <v>44</v>
      </c>
      <c r="C46" s="34" t="s">
        <v>68</v>
      </c>
      <c r="D46" s="195">
        <v>3.5</v>
      </c>
      <c r="E46" s="214">
        <f t="shared" si="1"/>
        <v>3.5</v>
      </c>
      <c r="F46" s="34" t="s">
        <v>376</v>
      </c>
      <c r="G46" s="195">
        <v>12.4</v>
      </c>
      <c r="H46" s="214">
        <f t="shared" si="2"/>
        <v>12.4</v>
      </c>
      <c r="I46" s="219">
        <f t="shared" si="5"/>
        <v>15.9</v>
      </c>
      <c r="J46" s="217">
        <f t="shared" si="6"/>
        <v>15.9</v>
      </c>
      <c r="K46" s="246">
        <f t="shared" si="3"/>
        <v>8.9</v>
      </c>
      <c r="L46" s="210">
        <v>6</v>
      </c>
      <c r="M46" s="32">
        <v>4</v>
      </c>
      <c r="N46" s="209" t="str">
        <f>IF(ISTEXT(C46), Calcutta!F69, "")</f>
        <v xml:space="preserve">Crutcher, Ian </v>
      </c>
    </row>
    <row r="47" spans="2:14" x14ac:dyDescent="0.35">
      <c r="B47" s="35">
        <v>45</v>
      </c>
      <c r="C47" s="34" t="s">
        <v>71</v>
      </c>
      <c r="D47" s="195">
        <v>10.1</v>
      </c>
      <c r="E47" s="214">
        <f t="shared" si="1"/>
        <v>10.1</v>
      </c>
      <c r="F47" s="34" t="s">
        <v>377</v>
      </c>
      <c r="G47" s="195">
        <v>5.9</v>
      </c>
      <c r="H47" s="214">
        <f t="shared" si="2"/>
        <v>5.9</v>
      </c>
      <c r="I47" s="219">
        <f t="shared" si="5"/>
        <v>16</v>
      </c>
      <c r="J47" s="217">
        <f t="shared" si="6"/>
        <v>16</v>
      </c>
      <c r="K47" s="246">
        <f t="shared" si="3"/>
        <v>4.1999999999999993</v>
      </c>
      <c r="L47" s="210">
        <v>6</v>
      </c>
      <c r="M47" s="32">
        <v>5</v>
      </c>
      <c r="N47" s="209" t="str">
        <f>IF(ISTEXT(C47), Calcutta!F70, "")</f>
        <v xml:space="preserve">Grantham, Mark </v>
      </c>
    </row>
    <row r="48" spans="2:14" x14ac:dyDescent="0.35">
      <c r="B48" s="35">
        <v>46</v>
      </c>
      <c r="C48" s="34" t="s">
        <v>69</v>
      </c>
      <c r="D48" s="195">
        <v>7.5</v>
      </c>
      <c r="E48" s="214">
        <f t="shared" si="1"/>
        <v>7.5</v>
      </c>
      <c r="F48" s="34" t="s">
        <v>378</v>
      </c>
      <c r="G48" s="195">
        <v>8.5</v>
      </c>
      <c r="H48" s="214">
        <f t="shared" si="2"/>
        <v>8.5</v>
      </c>
      <c r="I48" s="219">
        <f t="shared" si="5"/>
        <v>16</v>
      </c>
      <c r="J48" s="217">
        <f t="shared" si="6"/>
        <v>16</v>
      </c>
      <c r="K48" s="246">
        <f t="shared" si="3"/>
        <v>1</v>
      </c>
      <c r="L48" s="210">
        <v>6</v>
      </c>
      <c r="M48" s="32">
        <v>6</v>
      </c>
      <c r="N48" s="209" t="str">
        <f>IF(ISTEXT(C48), Calcutta!F71, "")</f>
        <v xml:space="preserve">Fulmer, Austen </v>
      </c>
    </row>
    <row r="49" spans="2:14" x14ac:dyDescent="0.35">
      <c r="B49" s="35">
        <v>47</v>
      </c>
      <c r="C49" s="34" t="s">
        <v>72</v>
      </c>
      <c r="D49" s="195">
        <v>2.2999999999999998</v>
      </c>
      <c r="E49" s="214">
        <f t="shared" si="1"/>
        <v>2.2999999999999998</v>
      </c>
      <c r="F49" s="34" t="s">
        <v>379</v>
      </c>
      <c r="G49" s="195">
        <v>14.3</v>
      </c>
      <c r="H49" s="214">
        <f t="shared" si="2"/>
        <v>14.3</v>
      </c>
      <c r="I49" s="219">
        <f t="shared" si="5"/>
        <v>16.600000000000001</v>
      </c>
      <c r="J49" s="217">
        <f t="shared" si="6"/>
        <v>16.600000000000001</v>
      </c>
      <c r="K49" s="246">
        <f t="shared" si="3"/>
        <v>12</v>
      </c>
      <c r="L49" s="210">
        <v>6</v>
      </c>
      <c r="M49" s="32">
        <v>7</v>
      </c>
      <c r="N49" s="209" t="str">
        <f>IF(ISTEXT(C49), Calcutta!F72, "")</f>
        <v>Drain, Zip</v>
      </c>
    </row>
    <row r="50" spans="2:14" x14ac:dyDescent="0.35">
      <c r="B50" s="36">
        <v>48</v>
      </c>
      <c r="C50" s="84" t="s">
        <v>27</v>
      </c>
      <c r="D50" s="196">
        <v>5.5</v>
      </c>
      <c r="E50" s="215">
        <f t="shared" si="1"/>
        <v>5.5</v>
      </c>
      <c r="F50" s="84" t="s">
        <v>380</v>
      </c>
      <c r="G50" s="196">
        <v>11.2</v>
      </c>
      <c r="H50" s="215">
        <f t="shared" si="2"/>
        <v>11.2</v>
      </c>
      <c r="I50" s="221">
        <f t="shared" si="5"/>
        <v>16.7</v>
      </c>
      <c r="J50" s="222">
        <f t="shared" si="6"/>
        <v>16.7</v>
      </c>
      <c r="K50" s="246">
        <f t="shared" si="3"/>
        <v>5.6999999999999993</v>
      </c>
      <c r="L50" s="212">
        <v>6</v>
      </c>
      <c r="M50" s="33">
        <v>8</v>
      </c>
      <c r="N50" s="211" t="str">
        <f>IF(ISTEXT(C50), Calcutta!F73, "")</f>
        <v xml:space="preserve">Lau, Jason </v>
      </c>
    </row>
    <row r="51" spans="2:14" x14ac:dyDescent="0.35">
      <c r="B51" s="35">
        <v>49</v>
      </c>
      <c r="C51" s="34" t="s">
        <v>76</v>
      </c>
      <c r="D51" s="195">
        <v>7.2</v>
      </c>
      <c r="E51" s="214">
        <f t="shared" si="1"/>
        <v>7.2</v>
      </c>
      <c r="F51" s="34" t="s">
        <v>381</v>
      </c>
      <c r="G51" s="195">
        <v>9.9</v>
      </c>
      <c r="H51" s="214">
        <f t="shared" si="2"/>
        <v>9.9</v>
      </c>
      <c r="I51" s="219">
        <f t="shared" si="5"/>
        <v>17.100000000000001</v>
      </c>
      <c r="J51" s="220">
        <f t="shared" si="6"/>
        <v>17.100000000000001</v>
      </c>
      <c r="K51" s="245">
        <f t="shared" si="3"/>
        <v>2.7</v>
      </c>
      <c r="L51" s="144">
        <v>7</v>
      </c>
      <c r="M51" s="32">
        <v>1</v>
      </c>
      <c r="N51" s="35" t="str">
        <f>IF(ISTEXT(C51), Calcutta!F77, "")</f>
        <v xml:space="preserve">Rzepniewski, Jason </v>
      </c>
    </row>
    <row r="52" spans="2:14" x14ac:dyDescent="0.35">
      <c r="B52" s="35">
        <v>50</v>
      </c>
      <c r="C52" s="34" t="s">
        <v>78</v>
      </c>
      <c r="D52" s="195">
        <v>8</v>
      </c>
      <c r="E52" s="214">
        <f t="shared" si="1"/>
        <v>8</v>
      </c>
      <c r="F52" s="34" t="s">
        <v>382</v>
      </c>
      <c r="G52" s="195">
        <v>9.1</v>
      </c>
      <c r="H52" s="214">
        <f t="shared" si="2"/>
        <v>9.1</v>
      </c>
      <c r="I52" s="219">
        <f t="shared" si="5"/>
        <v>17.100000000000001</v>
      </c>
      <c r="J52" s="217">
        <f t="shared" si="6"/>
        <v>17.100000000000001</v>
      </c>
      <c r="K52" s="246">
        <f t="shared" si="3"/>
        <v>1.0999999999999996</v>
      </c>
      <c r="L52" s="144">
        <v>7</v>
      </c>
      <c r="M52" s="32">
        <v>2</v>
      </c>
      <c r="N52" s="35" t="str">
        <f>IF(ISTEXT(C52), Calcutta!F78, "")</f>
        <v xml:space="preserve">Wedgeworth, Cliff </v>
      </c>
    </row>
    <row r="53" spans="2:14" x14ac:dyDescent="0.35">
      <c r="B53" s="35">
        <v>51</v>
      </c>
      <c r="C53" s="34" t="s">
        <v>79</v>
      </c>
      <c r="D53" s="195">
        <v>10.1</v>
      </c>
      <c r="E53" s="214">
        <f t="shared" si="1"/>
        <v>10.1</v>
      </c>
      <c r="F53" s="34" t="s">
        <v>383</v>
      </c>
      <c r="G53" s="195">
        <v>7.3</v>
      </c>
      <c r="H53" s="214">
        <f t="shared" si="2"/>
        <v>7.3</v>
      </c>
      <c r="I53" s="219">
        <f t="shared" si="5"/>
        <v>17.399999999999999</v>
      </c>
      <c r="J53" s="217">
        <f t="shared" si="6"/>
        <v>17.399999999999999</v>
      </c>
      <c r="K53" s="246">
        <f t="shared" si="3"/>
        <v>2.8</v>
      </c>
      <c r="L53" s="144">
        <v>7</v>
      </c>
      <c r="M53" s="32">
        <v>3</v>
      </c>
      <c r="N53" s="35" t="str">
        <f>IF(ISTEXT(C53), Calcutta!F79, "")</f>
        <v xml:space="preserve">Grantham, Mark </v>
      </c>
    </row>
    <row r="54" spans="2:14" x14ac:dyDescent="0.35">
      <c r="B54" s="35">
        <v>52</v>
      </c>
      <c r="C54" s="34" t="s">
        <v>81</v>
      </c>
      <c r="D54" s="195">
        <v>8.4</v>
      </c>
      <c r="E54" s="214">
        <f t="shared" si="1"/>
        <v>8.4</v>
      </c>
      <c r="F54" s="34" t="s">
        <v>384</v>
      </c>
      <c r="G54" s="195">
        <v>9</v>
      </c>
      <c r="H54" s="214">
        <f t="shared" si="2"/>
        <v>9</v>
      </c>
      <c r="I54" s="219">
        <f t="shared" si="5"/>
        <v>17.399999999999999</v>
      </c>
      <c r="J54" s="217">
        <f t="shared" si="6"/>
        <v>17.399999999999999</v>
      </c>
      <c r="K54" s="246">
        <f t="shared" si="3"/>
        <v>0.59999999999999964</v>
      </c>
      <c r="L54" s="144">
        <v>7</v>
      </c>
      <c r="M54" s="32">
        <v>4</v>
      </c>
      <c r="N54" s="35" t="str">
        <f>IF(ISTEXT(C54), Calcutta!F80, "")</f>
        <v xml:space="preserve">Parent, Brian </v>
      </c>
    </row>
    <row r="55" spans="2:14" x14ac:dyDescent="0.35">
      <c r="B55" s="35">
        <v>53</v>
      </c>
      <c r="C55" s="34" t="s">
        <v>385</v>
      </c>
      <c r="D55" s="195">
        <v>3.4</v>
      </c>
      <c r="E55" s="214">
        <f t="shared" si="1"/>
        <v>3.4</v>
      </c>
      <c r="F55" s="34" t="s">
        <v>386</v>
      </c>
      <c r="G55" s="195">
        <v>14.1</v>
      </c>
      <c r="H55" s="214">
        <f t="shared" si="2"/>
        <v>14.1</v>
      </c>
      <c r="I55" s="219">
        <f t="shared" si="5"/>
        <v>17.5</v>
      </c>
      <c r="J55" s="217">
        <f t="shared" si="6"/>
        <v>17.5</v>
      </c>
      <c r="K55" s="246">
        <f t="shared" si="3"/>
        <v>10.7</v>
      </c>
      <c r="L55" s="144">
        <v>7</v>
      </c>
      <c r="M55" s="32">
        <v>5</v>
      </c>
      <c r="N55" s="35" t="str">
        <f>IF(ISTEXT(C55), Calcutta!F81, "")</f>
        <v xml:space="preserve">Schnautz, David </v>
      </c>
    </row>
    <row r="56" spans="2:14" x14ac:dyDescent="0.35">
      <c r="B56" s="35">
        <v>54</v>
      </c>
      <c r="C56" s="34" t="s">
        <v>80</v>
      </c>
      <c r="D56" s="195">
        <v>6.9</v>
      </c>
      <c r="E56" s="214">
        <f t="shared" si="1"/>
        <v>6.9</v>
      </c>
      <c r="F56" s="34" t="s">
        <v>387</v>
      </c>
      <c r="G56" s="195">
        <v>11.2</v>
      </c>
      <c r="H56" s="214">
        <f t="shared" si="2"/>
        <v>11.2</v>
      </c>
      <c r="I56" s="219">
        <f t="shared" si="5"/>
        <v>18.100000000000001</v>
      </c>
      <c r="J56" s="217">
        <f t="shared" si="6"/>
        <v>18.100000000000001</v>
      </c>
      <c r="K56" s="246">
        <f t="shared" si="3"/>
        <v>4.2999999999999989</v>
      </c>
      <c r="L56" s="144">
        <v>7</v>
      </c>
      <c r="M56" s="32">
        <v>6</v>
      </c>
      <c r="N56" s="35" t="str">
        <f>IF(ISTEXT(C56), Calcutta!F82, "")</f>
        <v xml:space="preserve">Aghazadeh, Abdol </v>
      </c>
    </row>
    <row r="57" spans="2:14" x14ac:dyDescent="0.35">
      <c r="B57" s="35">
        <v>55</v>
      </c>
      <c r="C57" s="34" t="s">
        <v>25</v>
      </c>
      <c r="D57" s="195">
        <v>9.4</v>
      </c>
      <c r="E57" s="214">
        <f t="shared" si="1"/>
        <v>9.4</v>
      </c>
      <c r="F57" s="34" t="s">
        <v>388</v>
      </c>
      <c r="G57" s="195">
        <v>8.6999999999999993</v>
      </c>
      <c r="H57" s="214">
        <f t="shared" si="2"/>
        <v>8.6999999999999993</v>
      </c>
      <c r="I57" s="219">
        <f t="shared" si="5"/>
        <v>18.100000000000001</v>
      </c>
      <c r="J57" s="217">
        <f t="shared" si="6"/>
        <v>18.100000000000001</v>
      </c>
      <c r="K57" s="246">
        <f t="shared" si="3"/>
        <v>0.70000000000000107</v>
      </c>
      <c r="L57" s="144">
        <v>7</v>
      </c>
      <c r="M57" s="32">
        <v>7</v>
      </c>
      <c r="N57" s="35" t="str">
        <f>IF(ISTEXT(C57), Calcutta!F83, "")</f>
        <v xml:space="preserve">Edwards, Patric </v>
      </c>
    </row>
    <row r="58" spans="2:14" x14ac:dyDescent="0.35">
      <c r="B58" s="35">
        <v>56</v>
      </c>
      <c r="C58" s="34" t="s">
        <v>18</v>
      </c>
      <c r="D58" s="195">
        <v>8.8000000000000007</v>
      </c>
      <c r="E58" s="214">
        <f t="shared" si="1"/>
        <v>8.8000000000000007</v>
      </c>
      <c r="F58" s="34" t="s">
        <v>389</v>
      </c>
      <c r="G58" s="195">
        <v>9.6</v>
      </c>
      <c r="H58" s="214">
        <f t="shared" si="2"/>
        <v>9.6</v>
      </c>
      <c r="I58" s="219">
        <f t="shared" si="5"/>
        <v>18.399999999999999</v>
      </c>
      <c r="J58" s="220">
        <f t="shared" si="6"/>
        <v>18.399999999999999</v>
      </c>
      <c r="K58" s="246">
        <f t="shared" si="3"/>
        <v>0.79999999999999893</v>
      </c>
      <c r="L58" s="144">
        <v>7</v>
      </c>
      <c r="M58" s="32">
        <v>8</v>
      </c>
      <c r="N58" s="35" t="str">
        <f>IF(ISTEXT(C58), Calcutta!F84, "")</f>
        <v xml:space="preserve">Edwards, Patric </v>
      </c>
    </row>
    <row r="59" spans="2:14" x14ac:dyDescent="0.35">
      <c r="B59" s="145">
        <v>57</v>
      </c>
      <c r="C59" s="146" t="s">
        <v>390</v>
      </c>
      <c r="D59" s="194">
        <v>9.8000000000000007</v>
      </c>
      <c r="E59" s="213">
        <f t="shared" si="1"/>
        <v>9.8000000000000007</v>
      </c>
      <c r="F59" s="146" t="s">
        <v>391</v>
      </c>
      <c r="G59" s="194">
        <v>9</v>
      </c>
      <c r="H59" s="213">
        <f t="shared" si="2"/>
        <v>9</v>
      </c>
      <c r="I59" s="223">
        <f t="shared" si="5"/>
        <v>18.8</v>
      </c>
      <c r="J59" s="224">
        <f t="shared" si="6"/>
        <v>18.8</v>
      </c>
      <c r="K59" s="245">
        <f t="shared" si="3"/>
        <v>0.80000000000000071</v>
      </c>
      <c r="L59" s="152">
        <v>8</v>
      </c>
      <c r="M59" s="114">
        <v>1</v>
      </c>
      <c r="N59" s="208" t="str">
        <f>IF(ISTEXT(C59), Calcutta!F88, "")</f>
        <v xml:space="preserve">Aghazadeh, Abdol </v>
      </c>
    </row>
    <row r="60" spans="2:14" x14ac:dyDescent="0.35">
      <c r="B60" s="35">
        <v>58</v>
      </c>
      <c r="C60" s="34" t="s">
        <v>84</v>
      </c>
      <c r="D60" s="195">
        <v>6.2</v>
      </c>
      <c r="E60" s="214">
        <f t="shared" si="1"/>
        <v>6.2</v>
      </c>
      <c r="F60" s="34" t="s">
        <v>392</v>
      </c>
      <c r="G60" s="195">
        <v>13</v>
      </c>
      <c r="H60" s="214">
        <f t="shared" si="2"/>
        <v>13</v>
      </c>
      <c r="I60" s="219">
        <f t="shared" si="5"/>
        <v>19.2</v>
      </c>
      <c r="J60" s="217">
        <f t="shared" si="6"/>
        <v>19.2</v>
      </c>
      <c r="K60" s="246">
        <f t="shared" si="3"/>
        <v>6.8</v>
      </c>
      <c r="L60" s="210">
        <v>8</v>
      </c>
      <c r="M60" s="32">
        <v>2</v>
      </c>
      <c r="N60" s="209" t="str">
        <f>IF(ISTEXT(C60), Calcutta!F89, "")</f>
        <v xml:space="preserve">Kandala, Ravi </v>
      </c>
    </row>
    <row r="61" spans="2:14" x14ac:dyDescent="0.35">
      <c r="B61" s="35">
        <v>59</v>
      </c>
      <c r="C61" s="34" t="s">
        <v>86</v>
      </c>
      <c r="D61" s="195">
        <v>2.6</v>
      </c>
      <c r="E61" s="214">
        <f t="shared" si="1"/>
        <v>2.6</v>
      </c>
      <c r="F61" s="34" t="s">
        <v>393</v>
      </c>
      <c r="G61" s="195">
        <v>17</v>
      </c>
      <c r="H61" s="214">
        <f t="shared" si="2"/>
        <v>17</v>
      </c>
      <c r="I61" s="219">
        <f t="shared" si="5"/>
        <v>19.600000000000001</v>
      </c>
      <c r="J61" s="217">
        <f t="shared" si="6"/>
        <v>19.600000000000001</v>
      </c>
      <c r="K61" s="246">
        <f t="shared" si="3"/>
        <v>14.4</v>
      </c>
      <c r="L61" s="210">
        <v>8</v>
      </c>
      <c r="M61" s="32">
        <v>3</v>
      </c>
      <c r="N61" s="209" t="str">
        <f>IF(ISTEXT(C61), Calcutta!F90, "")</f>
        <v xml:space="preserve">Aghazadeh, Abdol </v>
      </c>
    </row>
    <row r="62" spans="2:14" x14ac:dyDescent="0.35">
      <c r="B62" s="35">
        <v>60</v>
      </c>
      <c r="C62" s="34" t="s">
        <v>85</v>
      </c>
      <c r="D62" s="195">
        <v>6.2</v>
      </c>
      <c r="E62" s="214">
        <f t="shared" si="1"/>
        <v>6.2</v>
      </c>
      <c r="F62" s="34" t="s">
        <v>394</v>
      </c>
      <c r="G62" s="195">
        <v>13.8</v>
      </c>
      <c r="H62" s="214">
        <f t="shared" si="2"/>
        <v>13.8</v>
      </c>
      <c r="I62" s="219">
        <f t="shared" si="5"/>
        <v>20</v>
      </c>
      <c r="J62" s="217">
        <f t="shared" si="6"/>
        <v>20</v>
      </c>
      <c r="K62" s="246">
        <f t="shared" si="3"/>
        <v>7.6000000000000005</v>
      </c>
      <c r="L62" s="210">
        <v>8</v>
      </c>
      <c r="M62" s="32">
        <v>4</v>
      </c>
      <c r="N62" s="209" t="str">
        <f>IF(ISTEXT(C62), Calcutta!F91, "")</f>
        <v xml:space="preserve">Schnautz, David </v>
      </c>
    </row>
    <row r="63" spans="2:14" x14ac:dyDescent="0.35">
      <c r="B63" s="35">
        <v>61</v>
      </c>
      <c r="C63" s="34" t="s">
        <v>395</v>
      </c>
      <c r="D63" s="195">
        <v>12.1</v>
      </c>
      <c r="E63" s="214">
        <f t="shared" si="1"/>
        <v>12.1</v>
      </c>
      <c r="F63" s="34" t="s">
        <v>396</v>
      </c>
      <c r="G63" s="195">
        <v>8.1</v>
      </c>
      <c r="H63" s="214">
        <f t="shared" si="2"/>
        <v>8.1</v>
      </c>
      <c r="I63" s="219">
        <f t="shared" si="5"/>
        <v>20.2</v>
      </c>
      <c r="J63" s="217">
        <f t="shared" si="6"/>
        <v>20.2</v>
      </c>
      <c r="K63" s="246">
        <f t="shared" si="3"/>
        <v>4</v>
      </c>
      <c r="L63" s="210">
        <v>8</v>
      </c>
      <c r="M63" s="32">
        <v>5</v>
      </c>
      <c r="N63" s="209" t="str">
        <f>IF(ISTEXT(C63), Calcutta!F92, "")</f>
        <v xml:space="preserve">Maples, Brent </v>
      </c>
    </row>
    <row r="64" spans="2:14" x14ac:dyDescent="0.35">
      <c r="B64" s="35">
        <v>62</v>
      </c>
      <c r="C64" s="34" t="s">
        <v>87</v>
      </c>
      <c r="D64" s="195">
        <v>15.9</v>
      </c>
      <c r="E64" s="214">
        <f t="shared" si="1"/>
        <v>15.9</v>
      </c>
      <c r="F64" s="34" t="s">
        <v>397</v>
      </c>
      <c r="G64" s="195">
        <v>4.5999999999999996</v>
      </c>
      <c r="H64" s="214">
        <f t="shared" si="2"/>
        <v>4.5999999999999996</v>
      </c>
      <c r="I64" s="219">
        <f t="shared" si="5"/>
        <v>20.5</v>
      </c>
      <c r="J64" s="217">
        <f t="shared" si="6"/>
        <v>20.5</v>
      </c>
      <c r="K64" s="246">
        <f t="shared" si="3"/>
        <v>11.3</v>
      </c>
      <c r="L64" s="210">
        <v>8</v>
      </c>
      <c r="M64" s="32">
        <v>6</v>
      </c>
      <c r="N64" s="209" t="str">
        <f>IF(ISTEXT(C64), Calcutta!F93, "")</f>
        <v xml:space="preserve">Weaver, Brian </v>
      </c>
    </row>
    <row r="65" spans="2:14" x14ac:dyDescent="0.35">
      <c r="B65" s="35">
        <v>63</v>
      </c>
      <c r="C65" s="34" t="s">
        <v>58</v>
      </c>
      <c r="D65" s="195">
        <v>16.3</v>
      </c>
      <c r="E65" s="214">
        <f t="shared" si="1"/>
        <v>16.3</v>
      </c>
      <c r="F65" s="34" t="s">
        <v>398</v>
      </c>
      <c r="G65" s="195">
        <v>5.0999999999999996</v>
      </c>
      <c r="H65" s="214">
        <f t="shared" si="2"/>
        <v>5.0999999999999996</v>
      </c>
      <c r="I65" s="219">
        <f t="shared" si="5"/>
        <v>21.4</v>
      </c>
      <c r="J65" s="217">
        <f t="shared" si="6"/>
        <v>21.4</v>
      </c>
      <c r="K65" s="246">
        <f t="shared" si="3"/>
        <v>11.200000000000001</v>
      </c>
      <c r="L65" s="210">
        <v>8</v>
      </c>
      <c r="M65" s="32">
        <v>7</v>
      </c>
      <c r="N65" s="209" t="str">
        <f>IF(ISTEXT(C65), Calcutta!F94, "")</f>
        <v xml:space="preserve">Capone, Michael </v>
      </c>
    </row>
    <row r="66" spans="2:14" x14ac:dyDescent="0.35">
      <c r="B66" s="36">
        <v>64</v>
      </c>
      <c r="C66" s="84" t="s">
        <v>399</v>
      </c>
      <c r="D66" s="196">
        <v>8.8000000000000007</v>
      </c>
      <c r="E66" s="215">
        <f t="shared" si="1"/>
        <v>8.8000000000000007</v>
      </c>
      <c r="F66" s="84" t="s">
        <v>400</v>
      </c>
      <c r="G66" s="196">
        <v>13.5</v>
      </c>
      <c r="H66" s="215">
        <f t="shared" si="2"/>
        <v>13.5</v>
      </c>
      <c r="I66" s="221">
        <f t="shared" si="5"/>
        <v>22.3</v>
      </c>
      <c r="J66" s="222">
        <f t="shared" si="6"/>
        <v>22.3</v>
      </c>
      <c r="K66" s="246">
        <f t="shared" si="3"/>
        <v>4.6999999999999993</v>
      </c>
      <c r="L66" s="212">
        <v>8</v>
      </c>
      <c r="M66" s="33">
        <v>8</v>
      </c>
      <c r="N66" s="211" t="str">
        <f>IF(ISTEXT(C66), Calcutta!F95, "")</f>
        <v xml:space="preserve">Brymer, Cory </v>
      </c>
    </row>
    <row r="67" spans="2:14" x14ac:dyDescent="0.35">
      <c r="B67" s="35">
        <v>65</v>
      </c>
      <c r="C67" s="34" t="s">
        <v>53</v>
      </c>
      <c r="D67" s="195">
        <v>8.6</v>
      </c>
      <c r="E67" s="214">
        <f t="shared" si="1"/>
        <v>8.6</v>
      </c>
      <c r="F67" s="34" t="s">
        <v>401</v>
      </c>
      <c r="G67" s="195">
        <v>14.1</v>
      </c>
      <c r="H67" s="214">
        <f t="shared" si="2"/>
        <v>14.1</v>
      </c>
      <c r="I67" s="219">
        <f t="shared" ref="I67:I82" si="7">D67+G67</f>
        <v>22.7</v>
      </c>
      <c r="J67" s="220">
        <f t="shared" si="6"/>
        <v>22.7</v>
      </c>
      <c r="K67" s="245">
        <f>ABS(D67-G67)</f>
        <v>5.5</v>
      </c>
      <c r="L67" s="144">
        <v>9</v>
      </c>
      <c r="M67" s="32">
        <v>1</v>
      </c>
      <c r="N67" s="35" t="str">
        <f>IF(ISTEXT(C67), Calcutta!F99, "")</f>
        <v xml:space="preserve">Capone, Michael </v>
      </c>
    </row>
    <row r="68" spans="2:14" x14ac:dyDescent="0.35">
      <c r="B68" s="35">
        <v>66</v>
      </c>
      <c r="C68" s="34" t="s">
        <v>32</v>
      </c>
      <c r="D68" s="195">
        <v>5.0999999999999996</v>
      </c>
      <c r="E68" s="214">
        <f t="shared" ref="E68:E82" si="8">IF(((D68)&lt;0),"+"&amp;D68*(-1)&amp;"",D68)</f>
        <v>5.0999999999999996</v>
      </c>
      <c r="F68" s="34" t="s">
        <v>402</v>
      </c>
      <c r="G68" s="195">
        <v>17.899999999999999</v>
      </c>
      <c r="H68" s="214">
        <f t="shared" ref="H68:H82" si="9">IF(((G68)&lt;0),"+"&amp;G68*(-1)&amp;"",G68)</f>
        <v>17.899999999999999</v>
      </c>
      <c r="I68" s="219">
        <f t="shared" si="7"/>
        <v>23</v>
      </c>
      <c r="J68" s="217">
        <f t="shared" si="6"/>
        <v>23</v>
      </c>
      <c r="K68" s="246">
        <f t="shared" ref="K68:K82" si="10">ABS(D68-G68)</f>
        <v>12.799999999999999</v>
      </c>
      <c r="L68" s="144">
        <v>9</v>
      </c>
      <c r="M68" s="32">
        <v>2</v>
      </c>
      <c r="N68" s="35" t="str">
        <f>IF(ISTEXT(C68), Calcutta!F100, "")</f>
        <v xml:space="preserve">Bohnen, John </v>
      </c>
    </row>
    <row r="69" spans="2:14" x14ac:dyDescent="0.35">
      <c r="B69" s="35">
        <v>67</v>
      </c>
      <c r="C69" s="34" t="s">
        <v>92</v>
      </c>
      <c r="D69" s="195">
        <v>13.4</v>
      </c>
      <c r="E69" s="214">
        <f t="shared" si="8"/>
        <v>13.4</v>
      </c>
      <c r="F69" s="34" t="s">
        <v>403</v>
      </c>
      <c r="G69" s="195">
        <v>10.3</v>
      </c>
      <c r="H69" s="214">
        <f t="shared" si="9"/>
        <v>10.3</v>
      </c>
      <c r="I69" s="219">
        <f t="shared" si="7"/>
        <v>23.700000000000003</v>
      </c>
      <c r="J69" s="217">
        <f t="shared" si="6"/>
        <v>23.700000000000003</v>
      </c>
      <c r="K69" s="246">
        <f t="shared" si="10"/>
        <v>3.0999999999999996</v>
      </c>
      <c r="L69" s="144">
        <v>9</v>
      </c>
      <c r="M69" s="32">
        <v>3</v>
      </c>
      <c r="N69" s="35" t="str">
        <f>IF(ISTEXT(C69), Calcutta!F101, "")</f>
        <v xml:space="preserve">Vaughn, Earl </v>
      </c>
    </row>
    <row r="70" spans="2:14" x14ac:dyDescent="0.35">
      <c r="B70" s="35">
        <v>68</v>
      </c>
      <c r="C70" s="34" t="s">
        <v>90</v>
      </c>
      <c r="D70" s="195">
        <v>15.6</v>
      </c>
      <c r="E70" s="214">
        <f t="shared" si="8"/>
        <v>15.6</v>
      </c>
      <c r="F70" s="34" t="s">
        <v>404</v>
      </c>
      <c r="G70" s="195">
        <v>8.3000000000000007</v>
      </c>
      <c r="H70" s="214">
        <f t="shared" si="9"/>
        <v>8.3000000000000007</v>
      </c>
      <c r="I70" s="219">
        <f t="shared" si="7"/>
        <v>23.9</v>
      </c>
      <c r="J70" s="217">
        <f t="shared" ref="J70:J82" si="11">IF((I70&lt;0),"+"&amp;I70*(-1)&amp;"",I70)</f>
        <v>23.9</v>
      </c>
      <c r="K70" s="246">
        <f t="shared" si="10"/>
        <v>7.2999999999999989</v>
      </c>
      <c r="L70" s="144">
        <v>9</v>
      </c>
      <c r="M70" s="32">
        <v>4</v>
      </c>
      <c r="N70" s="35" t="str">
        <f>IF(ISTEXT(C70), Calcutta!F102, "")</f>
        <v xml:space="preserve">Altamirano, Joe </v>
      </c>
    </row>
    <row r="71" spans="2:14" x14ac:dyDescent="0.35">
      <c r="B71" s="35">
        <v>69</v>
      </c>
      <c r="C71" s="34" t="s">
        <v>93</v>
      </c>
      <c r="D71" s="195">
        <v>6.4</v>
      </c>
      <c r="E71" s="214">
        <f t="shared" si="8"/>
        <v>6.4</v>
      </c>
      <c r="F71" s="34" t="s">
        <v>405</v>
      </c>
      <c r="G71" s="195">
        <v>17.7</v>
      </c>
      <c r="H71" s="214">
        <f t="shared" si="9"/>
        <v>17.7</v>
      </c>
      <c r="I71" s="219">
        <f t="shared" si="7"/>
        <v>24.1</v>
      </c>
      <c r="J71" s="217">
        <f t="shared" si="11"/>
        <v>24.1</v>
      </c>
      <c r="K71" s="246">
        <f t="shared" si="10"/>
        <v>11.299999999999999</v>
      </c>
      <c r="L71" s="144">
        <v>9</v>
      </c>
      <c r="M71" s="32">
        <v>5</v>
      </c>
      <c r="N71" s="35" t="str">
        <f>IF(ISTEXT(C71), Calcutta!F103, "")</f>
        <v xml:space="preserve">Edwards, Patric </v>
      </c>
    </row>
    <row r="72" spans="2:14" x14ac:dyDescent="0.35">
      <c r="B72" s="35">
        <v>70</v>
      </c>
      <c r="C72" s="34" t="s">
        <v>55</v>
      </c>
      <c r="D72" s="195">
        <v>17.7</v>
      </c>
      <c r="E72" s="214">
        <f t="shared" si="8"/>
        <v>17.7</v>
      </c>
      <c r="F72" s="34" t="s">
        <v>406</v>
      </c>
      <c r="G72" s="195">
        <v>6.4</v>
      </c>
      <c r="H72" s="214">
        <f t="shared" si="9"/>
        <v>6.4</v>
      </c>
      <c r="I72" s="219">
        <f t="shared" si="7"/>
        <v>24.1</v>
      </c>
      <c r="J72" s="217">
        <f t="shared" si="11"/>
        <v>24.1</v>
      </c>
      <c r="K72" s="246">
        <f t="shared" si="10"/>
        <v>11.299999999999999</v>
      </c>
      <c r="L72" s="144">
        <v>9</v>
      </c>
      <c r="M72" s="32">
        <v>6</v>
      </c>
      <c r="N72" s="35" t="str">
        <f>IF(ISTEXT(C72), Calcutta!F104, "")</f>
        <v xml:space="preserve">Schnautz, David </v>
      </c>
    </row>
    <row r="73" spans="2:14" x14ac:dyDescent="0.35">
      <c r="B73" s="35">
        <v>71</v>
      </c>
      <c r="C73" s="34" t="s">
        <v>70</v>
      </c>
      <c r="D73" s="195">
        <v>13</v>
      </c>
      <c r="E73" s="214">
        <f t="shared" si="8"/>
        <v>13</v>
      </c>
      <c r="F73" s="34" t="s">
        <v>407</v>
      </c>
      <c r="G73" s="195">
        <v>12.5</v>
      </c>
      <c r="H73" s="214">
        <f t="shared" si="9"/>
        <v>12.5</v>
      </c>
      <c r="I73" s="219">
        <f t="shared" si="7"/>
        <v>25.5</v>
      </c>
      <c r="J73" s="217">
        <f t="shared" si="11"/>
        <v>25.5</v>
      </c>
      <c r="K73" s="246">
        <f t="shared" si="10"/>
        <v>0.5</v>
      </c>
      <c r="L73" s="144">
        <v>9</v>
      </c>
      <c r="M73" s="32">
        <v>7</v>
      </c>
      <c r="N73" s="35" t="str">
        <f>IF(ISTEXT(C73), Calcutta!F105, "")</f>
        <v xml:space="preserve">Grantham, Mark </v>
      </c>
    </row>
    <row r="74" spans="2:14" x14ac:dyDescent="0.35">
      <c r="B74" s="35">
        <v>72</v>
      </c>
      <c r="C74" s="34" t="s">
        <v>91</v>
      </c>
      <c r="D74" s="195">
        <v>12.4</v>
      </c>
      <c r="E74" s="214">
        <f t="shared" si="8"/>
        <v>12.4</v>
      </c>
      <c r="F74" s="34" t="s">
        <v>408</v>
      </c>
      <c r="G74" s="195">
        <v>14.8</v>
      </c>
      <c r="H74" s="214">
        <f t="shared" si="9"/>
        <v>14.8</v>
      </c>
      <c r="I74" s="219">
        <f t="shared" si="7"/>
        <v>27.200000000000003</v>
      </c>
      <c r="J74" s="220">
        <f t="shared" si="11"/>
        <v>27.200000000000003</v>
      </c>
      <c r="K74" s="246">
        <f t="shared" si="10"/>
        <v>2.4000000000000004</v>
      </c>
      <c r="L74" s="144">
        <v>9</v>
      </c>
      <c r="M74" s="32">
        <v>8</v>
      </c>
      <c r="N74" s="35" t="str">
        <f>IF(ISTEXT(C74), Calcutta!F106, "")</f>
        <v xml:space="preserve">Fulmer, Austen </v>
      </c>
    </row>
    <row r="75" spans="2:14" x14ac:dyDescent="0.35">
      <c r="B75" s="145">
        <v>73</v>
      </c>
      <c r="C75" s="146" t="s">
        <v>409</v>
      </c>
      <c r="D75" s="194">
        <v>10</v>
      </c>
      <c r="E75" s="213">
        <f t="shared" si="8"/>
        <v>10</v>
      </c>
      <c r="F75" s="146" t="s">
        <v>410</v>
      </c>
      <c r="G75" s="194">
        <v>17.7</v>
      </c>
      <c r="H75" s="213">
        <f t="shared" si="9"/>
        <v>17.7</v>
      </c>
      <c r="I75" s="223">
        <f t="shared" si="7"/>
        <v>27.7</v>
      </c>
      <c r="J75" s="224">
        <f t="shared" si="11"/>
        <v>27.7</v>
      </c>
      <c r="K75" s="245">
        <f t="shared" si="10"/>
        <v>7.6999999999999993</v>
      </c>
      <c r="L75" s="152">
        <v>10</v>
      </c>
      <c r="M75" s="114">
        <v>1</v>
      </c>
      <c r="N75" s="208" t="str">
        <f>IF(ISTEXT(C75), Calcutta!F110, "")</f>
        <v xml:space="preserve">Vaughn, Earl </v>
      </c>
    </row>
    <row r="76" spans="2:14" x14ac:dyDescent="0.35">
      <c r="B76" s="35">
        <v>74</v>
      </c>
      <c r="C76" s="34" t="s">
        <v>97</v>
      </c>
      <c r="D76" s="195">
        <v>12</v>
      </c>
      <c r="E76" s="214">
        <f t="shared" si="8"/>
        <v>12</v>
      </c>
      <c r="F76" s="34" t="s">
        <v>411</v>
      </c>
      <c r="G76" s="195">
        <v>17.3</v>
      </c>
      <c r="H76" s="214">
        <f t="shared" si="9"/>
        <v>17.3</v>
      </c>
      <c r="I76" s="219">
        <f t="shared" si="7"/>
        <v>29.3</v>
      </c>
      <c r="J76" s="217">
        <f t="shared" si="11"/>
        <v>29.3</v>
      </c>
      <c r="K76" s="246">
        <f t="shared" si="10"/>
        <v>5.3000000000000007</v>
      </c>
      <c r="L76" s="210">
        <v>10</v>
      </c>
      <c r="M76" s="32">
        <v>2</v>
      </c>
      <c r="N76" s="209" t="str">
        <f>IF(ISTEXT(C76), Calcutta!F111, "")</f>
        <v xml:space="preserve">Grantham, Mark </v>
      </c>
    </row>
    <row r="77" spans="2:14" x14ac:dyDescent="0.35">
      <c r="B77" s="35">
        <v>75</v>
      </c>
      <c r="C77" s="34" t="s">
        <v>39</v>
      </c>
      <c r="D77" s="195">
        <v>15.9</v>
      </c>
      <c r="E77" s="214">
        <f t="shared" si="8"/>
        <v>15.9</v>
      </c>
      <c r="F77" s="34" t="s">
        <v>412</v>
      </c>
      <c r="G77" s="195">
        <v>14.2</v>
      </c>
      <c r="H77" s="214">
        <f t="shared" si="9"/>
        <v>14.2</v>
      </c>
      <c r="I77" s="219">
        <f t="shared" si="7"/>
        <v>30.1</v>
      </c>
      <c r="J77" s="217">
        <f t="shared" si="11"/>
        <v>30.1</v>
      </c>
      <c r="K77" s="246">
        <f t="shared" si="10"/>
        <v>1.7000000000000011</v>
      </c>
      <c r="L77" s="210">
        <v>10</v>
      </c>
      <c r="M77" s="32">
        <v>3</v>
      </c>
      <c r="N77" s="209" t="str">
        <f>IF(ISTEXT(C77), Calcutta!F112, "")</f>
        <v xml:space="preserve">Wedgeworth, Cliff </v>
      </c>
    </row>
    <row r="78" spans="2:14" x14ac:dyDescent="0.35">
      <c r="B78" s="35">
        <v>76</v>
      </c>
      <c r="C78" s="34" t="s">
        <v>96</v>
      </c>
      <c r="D78" s="195">
        <v>17.100000000000001</v>
      </c>
      <c r="E78" s="214">
        <f t="shared" si="8"/>
        <v>17.100000000000001</v>
      </c>
      <c r="F78" s="34" t="s">
        <v>413</v>
      </c>
      <c r="G78" s="195">
        <v>13.5</v>
      </c>
      <c r="H78" s="214">
        <f t="shared" si="9"/>
        <v>13.5</v>
      </c>
      <c r="I78" s="219">
        <f t="shared" si="7"/>
        <v>30.6</v>
      </c>
      <c r="J78" s="217">
        <f t="shared" si="11"/>
        <v>30.6</v>
      </c>
      <c r="K78" s="246">
        <f t="shared" si="10"/>
        <v>3.6000000000000014</v>
      </c>
      <c r="L78" s="210">
        <v>10</v>
      </c>
      <c r="M78" s="32">
        <v>4</v>
      </c>
      <c r="N78" s="209" t="str">
        <f>IF(ISTEXT(C78), Calcutta!F113, "")</f>
        <v xml:space="preserve">Aghazadeh, Abdol </v>
      </c>
    </row>
    <row r="79" spans="2:14" x14ac:dyDescent="0.35">
      <c r="B79" s="35">
        <v>77</v>
      </c>
      <c r="C79" s="34" t="s">
        <v>98</v>
      </c>
      <c r="D79" s="195">
        <v>14.8</v>
      </c>
      <c r="E79" s="214">
        <f t="shared" si="8"/>
        <v>14.8</v>
      </c>
      <c r="F79" s="34" t="s">
        <v>414</v>
      </c>
      <c r="G79" s="195">
        <v>16</v>
      </c>
      <c r="H79" s="214">
        <f t="shared" si="9"/>
        <v>16</v>
      </c>
      <c r="I79" s="219">
        <f t="shared" si="7"/>
        <v>30.8</v>
      </c>
      <c r="J79" s="217">
        <f t="shared" si="11"/>
        <v>30.8</v>
      </c>
      <c r="K79" s="246">
        <f t="shared" si="10"/>
        <v>1.1999999999999993</v>
      </c>
      <c r="L79" s="210">
        <v>10</v>
      </c>
      <c r="M79" s="32">
        <v>5</v>
      </c>
      <c r="N79" s="209" t="str">
        <f>IF(ISTEXT(C79), Calcutta!F114, "")</f>
        <v xml:space="preserve">Edwards, Patric </v>
      </c>
    </row>
    <row r="80" spans="2:14" x14ac:dyDescent="0.35">
      <c r="B80" s="35">
        <v>78</v>
      </c>
      <c r="C80" s="34" t="s">
        <v>415</v>
      </c>
      <c r="D80" s="195">
        <v>13.5</v>
      </c>
      <c r="E80" s="214">
        <f t="shared" si="8"/>
        <v>13.5</v>
      </c>
      <c r="F80" s="34" t="s">
        <v>416</v>
      </c>
      <c r="G80" s="195">
        <v>18.5</v>
      </c>
      <c r="H80" s="214">
        <f t="shared" si="9"/>
        <v>18.5</v>
      </c>
      <c r="I80" s="219">
        <f t="shared" si="7"/>
        <v>32</v>
      </c>
      <c r="J80" s="217">
        <f t="shared" si="11"/>
        <v>32</v>
      </c>
      <c r="K80" s="246">
        <f t="shared" si="10"/>
        <v>5</v>
      </c>
      <c r="L80" s="210">
        <v>10</v>
      </c>
      <c r="M80" s="32">
        <v>6</v>
      </c>
      <c r="N80" s="209" t="str">
        <f>IF(ISTEXT(C80), Calcutta!F115, "")</f>
        <v xml:space="preserve">Cress, Pj </v>
      </c>
    </row>
    <row r="81" spans="2:14" x14ac:dyDescent="0.35">
      <c r="B81" s="35">
        <v>79</v>
      </c>
      <c r="C81" s="34" t="s">
        <v>99</v>
      </c>
      <c r="D81" s="195">
        <v>16</v>
      </c>
      <c r="E81" s="214">
        <f t="shared" si="8"/>
        <v>16</v>
      </c>
      <c r="F81" s="34" t="s">
        <v>417</v>
      </c>
      <c r="G81" s="195">
        <v>17</v>
      </c>
      <c r="H81" s="214">
        <f t="shared" si="9"/>
        <v>17</v>
      </c>
      <c r="I81" s="219">
        <f t="shared" si="7"/>
        <v>33</v>
      </c>
      <c r="J81" s="217">
        <f t="shared" si="11"/>
        <v>33</v>
      </c>
      <c r="K81" s="246">
        <f t="shared" si="10"/>
        <v>1</v>
      </c>
      <c r="L81" s="210">
        <v>10</v>
      </c>
      <c r="M81" s="32">
        <v>7</v>
      </c>
      <c r="N81" s="209" t="str">
        <f>IF(ISTEXT(C81), Calcutta!F116, "")</f>
        <v xml:space="preserve">Pfaffe, Kyle </v>
      </c>
    </row>
    <row r="82" spans="2:14" x14ac:dyDescent="0.35">
      <c r="B82" s="36">
        <v>80</v>
      </c>
      <c r="C82" s="84" t="s">
        <v>57</v>
      </c>
      <c r="D82" s="196">
        <v>21.6</v>
      </c>
      <c r="E82" s="215">
        <f t="shared" si="8"/>
        <v>21.6</v>
      </c>
      <c r="F82" s="84" t="s">
        <v>418</v>
      </c>
      <c r="G82" s="196">
        <v>19.7</v>
      </c>
      <c r="H82" s="215">
        <f t="shared" si="9"/>
        <v>19.7</v>
      </c>
      <c r="I82" s="221">
        <f t="shared" si="7"/>
        <v>41.3</v>
      </c>
      <c r="J82" s="218">
        <f t="shared" si="11"/>
        <v>41.3</v>
      </c>
      <c r="K82" s="247">
        <f t="shared" si="10"/>
        <v>1.9000000000000021</v>
      </c>
      <c r="L82" s="212">
        <v>10</v>
      </c>
      <c r="M82" s="33">
        <v>8</v>
      </c>
      <c r="N82" s="211" t="str">
        <f>IF(ISTEXT(C82), Calcutta!F117, "")</f>
        <v xml:space="preserve">Parent, Brian </v>
      </c>
    </row>
    <row r="84" spans="2:14" x14ac:dyDescent="0.35">
      <c r="D84" s="200"/>
      <c r="E84" s="200"/>
      <c r="G84" s="200"/>
      <c r="H84" s="200"/>
    </row>
  </sheetData>
  <sheetProtection sheet="1" objects="1" scenarios="1"/>
  <protectedRanges>
    <protectedRange sqref="C3:D82 F3:G82" name="Range1"/>
  </protectedRanges>
  <phoneticPr fontId="26" type="noConversion"/>
  <conditionalFormatting sqref="K3:K82">
    <cfRule type="cellIs" dxfId="0" priority="1" operator="greaterThan">
      <formula>8</formula>
    </cfRule>
  </conditionalFormatting>
  <pageMargins left="0.7" right="0.7" top="0.75" bottom="0.75" header="0.3" footer="0.3"/>
  <pageSetup scale="52" fitToWidth="0" fitToHeight="0" orientation="landscape"/>
  <headerFooter>
    <oddHeader>&amp;L&amp;"Arial"&amp;10&amp;K0000FF [AMD Official Use Only - General]&amp;1#_x000D_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86F1-48CE-45A8-9959-25E878F93196}">
  <sheetPr>
    <tabColor rgb="FFFF0000"/>
    <pageSetUpPr fitToPage="1"/>
  </sheetPr>
  <dimension ref="B2:T77"/>
  <sheetViews>
    <sheetView zoomScaleNormal="100" workbookViewId="0">
      <selection activeCell="K15" sqref="K15"/>
    </sheetView>
  </sheetViews>
  <sheetFormatPr defaultRowHeight="14.5" x14ac:dyDescent="0.35"/>
  <cols>
    <col min="1" max="1" width="27.81640625" customWidth="1"/>
    <col min="2" max="2" width="18.26953125" bestFit="1" customWidth="1"/>
    <col min="3" max="3" width="13.7265625" customWidth="1"/>
    <col min="4" max="4" width="20.453125" customWidth="1"/>
    <col min="5" max="5" width="5.54296875" customWidth="1"/>
    <col min="6" max="6" width="18.26953125" bestFit="1" customWidth="1"/>
    <col min="7" max="7" width="13.7265625" customWidth="1"/>
    <col min="8" max="8" width="23" customWidth="1"/>
    <col min="9" max="9" width="5.81640625" customWidth="1"/>
    <col min="10" max="10" width="18.26953125" bestFit="1" customWidth="1"/>
    <col min="11" max="11" width="13.7265625" customWidth="1"/>
    <col min="12" max="12" width="18.453125" customWidth="1"/>
    <col min="13" max="13" width="5.453125" customWidth="1"/>
    <col min="14" max="14" width="18.26953125" bestFit="1" customWidth="1"/>
    <col min="15" max="15" width="13.7265625" customWidth="1"/>
    <col min="16" max="16" width="21.81640625" customWidth="1"/>
    <col min="18" max="18" width="26.453125" customWidth="1"/>
    <col min="19" max="19" width="9.81640625" customWidth="1"/>
    <col min="20" max="20" width="21" customWidth="1"/>
  </cols>
  <sheetData>
    <row r="2" spans="2:20" ht="21.5" thickBot="1" x14ac:dyDescent="0.55000000000000004">
      <c r="B2" s="265" t="s">
        <v>419</v>
      </c>
      <c r="C2" s="334"/>
      <c r="D2" s="339"/>
      <c r="F2" s="265" t="s">
        <v>420</v>
      </c>
      <c r="G2" s="334"/>
      <c r="H2" s="319"/>
      <c r="I2" s="319"/>
      <c r="J2" s="319"/>
      <c r="K2" s="320"/>
      <c r="L2" s="41"/>
      <c r="M2" s="41"/>
      <c r="N2" s="122" t="s">
        <v>421</v>
      </c>
      <c r="O2" s="123"/>
      <c r="P2" s="124">
        <f>D4</f>
        <v>4023</v>
      </c>
    </row>
    <row r="3" spans="2:20" ht="18.5" x14ac:dyDescent="0.45">
      <c r="B3" s="335" t="s">
        <v>422</v>
      </c>
      <c r="C3" s="336"/>
      <c r="D3" s="185">
        <f>D15+H15+L15+P15+T15+D48+H48+L48+P48+T48</f>
        <v>135100</v>
      </c>
      <c r="F3" s="96"/>
      <c r="G3" s="100">
        <f>SUM(G4:G6)</f>
        <v>1</v>
      </c>
      <c r="H3" s="95" t="s">
        <v>17</v>
      </c>
      <c r="I3" s="101">
        <f>SUM(I4:I11)</f>
        <v>1</v>
      </c>
      <c r="J3" s="94" t="s">
        <v>423</v>
      </c>
      <c r="K3" s="101">
        <f>SUM(K4:K7)</f>
        <v>1</v>
      </c>
      <c r="N3" s="57" t="s">
        <v>4</v>
      </c>
      <c r="O3" s="127">
        <v>0.5</v>
      </c>
      <c r="P3" s="180">
        <f>FLOOR(($D$4*O3),5)</f>
        <v>2010</v>
      </c>
      <c r="Q3" s="18"/>
    </row>
    <row r="4" spans="2:20" ht="18.5" x14ac:dyDescent="0.45">
      <c r="B4" s="337" t="s">
        <v>1</v>
      </c>
      <c r="C4" s="338"/>
      <c r="D4" s="186">
        <f>D16+H16+L16+P16+T16+D49+H49+L49+P49+T49</f>
        <v>4023</v>
      </c>
      <c r="F4" s="73" t="s">
        <v>1</v>
      </c>
      <c r="G4" s="85">
        <v>0.03</v>
      </c>
      <c r="H4" s="18" t="s">
        <v>4</v>
      </c>
      <c r="I4" s="85">
        <v>0.5</v>
      </c>
      <c r="J4" s="18" t="s">
        <v>4</v>
      </c>
      <c r="K4" s="85">
        <v>0.5</v>
      </c>
      <c r="N4" s="54" t="s">
        <v>6</v>
      </c>
      <c r="O4" s="126">
        <v>0.3</v>
      </c>
      <c r="P4" s="180">
        <f>FLOOR(($D$4*O4),5)</f>
        <v>1205</v>
      </c>
      <c r="Q4" s="18"/>
    </row>
    <row r="5" spans="2:20" ht="18.5" x14ac:dyDescent="0.45">
      <c r="B5" s="337" t="s">
        <v>424</v>
      </c>
      <c r="C5" s="338"/>
      <c r="D5" s="186">
        <f>+D17+H17+L17+P17+T17+D50+H50+L50+P50+T50</f>
        <v>4023</v>
      </c>
      <c r="F5" s="97" t="s">
        <v>424</v>
      </c>
      <c r="G5" s="98">
        <v>0.03</v>
      </c>
      <c r="H5" s="18" t="s">
        <v>6</v>
      </c>
      <c r="I5" s="85">
        <v>0.3</v>
      </c>
      <c r="J5" s="18" t="s">
        <v>6</v>
      </c>
      <c r="K5" s="85">
        <v>0.3</v>
      </c>
      <c r="N5" s="54" t="s">
        <v>8</v>
      </c>
      <c r="O5" s="126">
        <v>0.2</v>
      </c>
      <c r="P5" s="180">
        <f>FLOOR(($D$4*O5),5)</f>
        <v>800</v>
      </c>
      <c r="Q5" s="18"/>
    </row>
    <row r="6" spans="2:20" ht="18.5" x14ac:dyDescent="0.45">
      <c r="B6" s="337" t="s">
        <v>425</v>
      </c>
      <c r="C6" s="338"/>
      <c r="D6" s="186">
        <f>D19+H19+L19+P19+T19+T52+P52+L52+H52+D52</f>
        <v>126054</v>
      </c>
      <c r="F6" s="97" t="s">
        <v>425</v>
      </c>
      <c r="G6" s="98">
        <v>0.94</v>
      </c>
      <c r="H6" s="18" t="s">
        <v>8</v>
      </c>
      <c r="I6" s="85">
        <v>0.2</v>
      </c>
      <c r="J6" s="18" t="s">
        <v>8</v>
      </c>
      <c r="K6" s="85">
        <v>0.2</v>
      </c>
      <c r="N6" s="60" t="s">
        <v>426</v>
      </c>
      <c r="O6" s="128">
        <v>0</v>
      </c>
      <c r="P6" s="125">
        <f>FLOOR(($D$4*O6),5)</f>
        <v>0</v>
      </c>
      <c r="Q6" s="18"/>
    </row>
    <row r="7" spans="2:20" ht="19" thickBot="1" x14ac:dyDescent="0.5">
      <c r="B7" s="199" t="s">
        <v>427</v>
      </c>
      <c r="C7" s="187"/>
      <c r="D7" s="188">
        <v>1000</v>
      </c>
      <c r="F7" s="74" t="s">
        <v>428</v>
      </c>
      <c r="G7" s="86">
        <v>0.65</v>
      </c>
      <c r="H7" s="18" t="s">
        <v>426</v>
      </c>
      <c r="I7" s="85">
        <v>0</v>
      </c>
      <c r="J7" s="18" t="s">
        <v>426</v>
      </c>
      <c r="K7" s="85">
        <v>0</v>
      </c>
      <c r="L7" s="18"/>
      <c r="N7" s="121"/>
      <c r="O7" s="64" t="s">
        <v>429</v>
      </c>
      <c r="P7" s="181">
        <f>SUM(P3:P6)</f>
        <v>4015</v>
      </c>
    </row>
    <row r="8" spans="2:20" ht="19" thickBot="1" x14ac:dyDescent="0.5">
      <c r="F8" s="81" t="s">
        <v>430</v>
      </c>
      <c r="G8" s="99">
        <v>0.35</v>
      </c>
      <c r="H8" s="18" t="s">
        <v>431</v>
      </c>
      <c r="I8" s="85">
        <v>0</v>
      </c>
      <c r="K8" s="75"/>
      <c r="L8" s="18"/>
      <c r="N8" s="321" t="s">
        <v>432</v>
      </c>
      <c r="O8" s="321"/>
      <c r="P8" s="179">
        <f>P2-P7</f>
        <v>8</v>
      </c>
    </row>
    <row r="9" spans="2:20" ht="19" thickBot="1" x14ac:dyDescent="0.5">
      <c r="B9" s="182" t="s">
        <v>433</v>
      </c>
      <c r="C9" s="183"/>
      <c r="D9" s="184">
        <f>D44+H44+L44+P44+T44+T77+P77+L77+H77+D77+P8</f>
        <v>159.39999999999884</v>
      </c>
      <c r="F9" s="76"/>
      <c r="G9" s="82"/>
      <c r="H9" s="18" t="s">
        <v>434</v>
      </c>
      <c r="I9" s="85">
        <v>0</v>
      </c>
      <c r="K9" s="75"/>
      <c r="L9" s="18"/>
      <c r="N9" s="71"/>
      <c r="O9" s="71"/>
      <c r="P9" s="3"/>
    </row>
    <row r="10" spans="2:20" ht="18.5" x14ac:dyDescent="0.45">
      <c r="B10" s="263"/>
      <c r="C10" s="263"/>
      <c r="D10" s="3"/>
      <c r="F10" s="76"/>
      <c r="G10" s="82"/>
      <c r="H10" s="18" t="s">
        <v>435</v>
      </c>
      <c r="I10" s="85">
        <v>0</v>
      </c>
      <c r="K10" s="75"/>
      <c r="L10" s="18"/>
      <c r="N10" s="71"/>
      <c r="O10" s="71"/>
      <c r="P10" s="3"/>
    </row>
    <row r="11" spans="2:20" ht="18.5" x14ac:dyDescent="0.45">
      <c r="B11" s="263"/>
      <c r="C11" s="263"/>
      <c r="D11" s="3"/>
      <c r="F11" s="77"/>
      <c r="G11" s="80"/>
      <c r="H11" s="78" t="s">
        <v>436</v>
      </c>
      <c r="I11" s="87">
        <v>0</v>
      </c>
      <c r="J11" s="56"/>
      <c r="K11" s="79"/>
      <c r="L11" s="18"/>
      <c r="N11" s="71"/>
      <c r="O11" s="71"/>
      <c r="P11" s="3"/>
    </row>
    <row r="12" spans="2:20" ht="18.5" x14ac:dyDescent="0.45">
      <c r="B12" s="263"/>
      <c r="C12" s="263"/>
      <c r="D12" s="3"/>
      <c r="F12" s="72"/>
      <c r="G12" s="5"/>
      <c r="H12" s="71"/>
      <c r="I12" s="18"/>
      <c r="J12" s="43"/>
      <c r="K12" s="71"/>
      <c r="L12" s="18"/>
      <c r="N12" s="71"/>
      <c r="O12" s="71"/>
      <c r="P12" s="3"/>
    </row>
    <row r="14" spans="2:20" ht="15" thickBot="1" x14ac:dyDescent="0.4"/>
    <row r="15" spans="2:20" ht="21.5" thickBot="1" x14ac:dyDescent="0.55000000000000004">
      <c r="B15" s="259" t="s">
        <v>437</v>
      </c>
      <c r="C15" s="260" t="s">
        <v>28</v>
      </c>
      <c r="D15" s="106">
        <f>Calcutta!I11</f>
        <v>20600</v>
      </c>
      <c r="E15" s="49"/>
      <c r="F15" s="259" t="s">
        <v>438</v>
      </c>
      <c r="G15" s="260" t="s">
        <v>28</v>
      </c>
      <c r="H15" s="106">
        <f>Calcutta!I22</f>
        <v>21000</v>
      </c>
      <c r="J15" s="259" t="s">
        <v>439</v>
      </c>
      <c r="K15" s="260" t="s">
        <v>28</v>
      </c>
      <c r="L15" s="106">
        <f>Calcutta!I33</f>
        <v>13400</v>
      </c>
      <c r="N15" s="259" t="s">
        <v>440</v>
      </c>
      <c r="O15" s="260" t="s">
        <v>28</v>
      </c>
      <c r="P15" s="106">
        <f>Calcutta!I44</f>
        <v>19500</v>
      </c>
      <c r="R15" s="259" t="s">
        <v>441</v>
      </c>
      <c r="S15" s="260" t="s">
        <v>28</v>
      </c>
      <c r="T15" s="106">
        <f>Calcutta!I55</f>
        <v>12000</v>
      </c>
    </row>
    <row r="16" spans="2:20" x14ac:dyDescent="0.35">
      <c r="B16" s="329" t="str">
        <f xml:space="preserve"> "Bonus Pool (" &amp; (TEXT($G$4, "0%")) &amp; ")"</f>
        <v>Bonus Pool (3%)</v>
      </c>
      <c r="C16" s="330"/>
      <c r="D16" s="175">
        <f>(D15-D18)*$G$4</f>
        <v>615</v>
      </c>
      <c r="E16" s="50"/>
      <c r="F16" s="329" t="str">
        <f xml:space="preserve"> "Bonus Pool (" &amp; (TEXT($G$4, "0%")) &amp; ")"</f>
        <v>Bonus Pool (3%)</v>
      </c>
      <c r="G16" s="330"/>
      <c r="H16" s="175">
        <f>(H15-H18)*$G$4</f>
        <v>627</v>
      </c>
      <c r="J16" s="329" t="str">
        <f xml:space="preserve"> "Bonus Pool (" &amp; (TEXT($G$4, "0%")) &amp; ")"</f>
        <v>Bonus Pool (3%)</v>
      </c>
      <c r="K16" s="330"/>
      <c r="L16" s="175">
        <f>(L15-L18)*$G$4</f>
        <v>399</v>
      </c>
      <c r="M16" s="17"/>
      <c r="N16" s="329" t="str">
        <f xml:space="preserve"> "Bonus Pool (" &amp; (TEXT($G$4, "0%")) &amp; ")"</f>
        <v>Bonus Pool (3%)</v>
      </c>
      <c r="O16" s="330"/>
      <c r="P16" s="175">
        <f>(P15-P18)*$G$4</f>
        <v>582</v>
      </c>
      <c r="R16" s="329" t="str">
        <f xml:space="preserve"> "Bonus Pool (" &amp; (TEXT($G$4, "0%")) &amp; ")"</f>
        <v>Bonus Pool (3%)</v>
      </c>
      <c r="S16" s="330"/>
      <c r="T16" s="175">
        <f>(T15-T18)*$G$4</f>
        <v>357</v>
      </c>
    </row>
    <row r="17" spans="2:20" x14ac:dyDescent="0.35">
      <c r="B17" s="329" t="str">
        <f xml:space="preserve"> "Staff Gratuity (" &amp; (TEXT($G$5, "0%")) &amp; ")"</f>
        <v>Staff Gratuity (3%)</v>
      </c>
      <c r="C17" s="330"/>
      <c r="D17" s="175">
        <f>(D15-D18)*$G$5</f>
        <v>615</v>
      </c>
      <c r="E17" s="50"/>
      <c r="F17" s="329" t="str">
        <f xml:space="preserve"> "Staff Gratuity (" &amp; (TEXT($G$5, "0%")) &amp; ")"</f>
        <v>Staff Gratuity (3%)</v>
      </c>
      <c r="G17" s="330"/>
      <c r="H17" s="175">
        <f>(H15-H18)*$G$5</f>
        <v>627</v>
      </c>
      <c r="J17" s="329" t="str">
        <f xml:space="preserve"> "Staff Gratuity (" &amp; (TEXT($G$5, "0%")) &amp; ")"</f>
        <v>Staff Gratuity (3%)</v>
      </c>
      <c r="K17" s="330"/>
      <c r="L17" s="175">
        <f>(L15-L18)*$G$5</f>
        <v>399</v>
      </c>
      <c r="M17" s="17"/>
      <c r="N17" s="329" t="str">
        <f xml:space="preserve"> "Staff Gratuity (" &amp; (TEXT($G$5, "0%")) &amp; ")"</f>
        <v>Staff Gratuity (3%)</v>
      </c>
      <c r="O17" s="330"/>
      <c r="P17" s="175">
        <f>(P15-P18)*$G$5</f>
        <v>582</v>
      </c>
      <c r="R17" s="329" t="str">
        <f xml:space="preserve"> "Staff Gratuity (" &amp; (TEXT($G$5, "0%")) &amp; ")"</f>
        <v>Staff Gratuity (3%)</v>
      </c>
      <c r="S17" s="330"/>
      <c r="T17" s="175">
        <f>(T15-T18)*$G$5</f>
        <v>357</v>
      </c>
    </row>
    <row r="18" spans="2:20" ht="15" thickBot="1" x14ac:dyDescent="0.4">
      <c r="B18" s="120" t="s">
        <v>442</v>
      </c>
      <c r="C18" s="261"/>
      <c r="D18" s="175">
        <f>$D$7/10</f>
        <v>100</v>
      </c>
      <c r="E18" s="50"/>
      <c r="F18" s="120" t="s">
        <v>442</v>
      </c>
      <c r="G18" s="261"/>
      <c r="H18" s="175">
        <f>$D$7/10</f>
        <v>100</v>
      </c>
      <c r="J18" s="120" t="s">
        <v>442</v>
      </c>
      <c r="K18" s="261"/>
      <c r="L18" s="175">
        <f>$D$7/10</f>
        <v>100</v>
      </c>
      <c r="M18" s="17"/>
      <c r="N18" s="120" t="s">
        <v>442</v>
      </c>
      <c r="O18" s="261"/>
      <c r="P18" s="175">
        <f>$D$7/10</f>
        <v>100</v>
      </c>
      <c r="R18" s="120" t="s">
        <v>442</v>
      </c>
      <c r="S18" s="261"/>
      <c r="T18" s="175">
        <f>$D$7/10</f>
        <v>100</v>
      </c>
    </row>
    <row r="19" spans="2:20" s="91" customFormat="1" ht="16" thickBot="1" x14ac:dyDescent="0.4">
      <c r="B19" s="327" t="str">
        <f xml:space="preserve"> "Total Available Payout (" &amp; (TEXT($G$6, "0%")) &amp; ")"</f>
        <v>Total Available Payout (94%)</v>
      </c>
      <c r="C19" s="328"/>
      <c r="D19" s="105">
        <f>((D15-D18)*$G$6)</f>
        <v>19270</v>
      </c>
      <c r="E19" s="92"/>
      <c r="F19" s="327" t="str">
        <f xml:space="preserve"> "Total Available Payout (" &amp; (TEXT($G$6, "0%")) &amp; ")"</f>
        <v>Total Available Payout (94%)</v>
      </c>
      <c r="G19" s="328"/>
      <c r="H19" s="105">
        <f>(H15-H18)*$G$6</f>
        <v>19646</v>
      </c>
      <c r="J19" s="327" t="str">
        <f xml:space="preserve"> "Total Available Payout (" &amp; (TEXT($G$6, "0%")) &amp; ")"</f>
        <v>Total Available Payout (94%)</v>
      </c>
      <c r="K19" s="328"/>
      <c r="L19" s="105">
        <f>(L15-L18)*$G$6</f>
        <v>12502</v>
      </c>
      <c r="M19" s="93"/>
      <c r="N19" s="327" t="str">
        <f xml:space="preserve"> "Total Available Payout (" &amp; (TEXT($G$6, "0%")) &amp; ")"</f>
        <v>Total Available Payout (94%)</v>
      </c>
      <c r="O19" s="328"/>
      <c r="P19" s="105">
        <f>(P15-P18)*$G$6</f>
        <v>18236</v>
      </c>
      <c r="R19" s="327" t="str">
        <f xml:space="preserve"> "Total Available Payout (" &amp; (TEXT($G$6, "0%")) &amp; ")"</f>
        <v>Total Available Payout (94%)</v>
      </c>
      <c r="S19" s="328"/>
      <c r="T19" s="105">
        <f>(T15-T18)*$G$6</f>
        <v>11186</v>
      </c>
    </row>
    <row r="20" spans="2:20" ht="15" thickBot="1" x14ac:dyDescent="0.4">
      <c r="B20" s="52"/>
      <c r="C20" s="64" t="s">
        <v>429</v>
      </c>
      <c r="D20" s="63">
        <f>SUM(D16:E19)</f>
        <v>20600</v>
      </c>
      <c r="E20" s="50"/>
      <c r="F20" s="52"/>
      <c r="G20" s="64" t="s">
        <v>429</v>
      </c>
      <c r="H20" s="63">
        <f>SUM(H16:I19)</f>
        <v>21000</v>
      </c>
      <c r="J20" s="52"/>
      <c r="K20" s="64" t="s">
        <v>429</v>
      </c>
      <c r="L20" s="63">
        <f>SUM(L16:M19)</f>
        <v>13400</v>
      </c>
      <c r="M20" s="17"/>
      <c r="N20" s="52"/>
      <c r="O20" s="64" t="s">
        <v>429</v>
      </c>
      <c r="P20" s="63">
        <f>SUM(P16:Q19)</f>
        <v>19500</v>
      </c>
      <c r="R20" s="52"/>
      <c r="S20" s="64" t="s">
        <v>429</v>
      </c>
      <c r="T20" s="63">
        <f>SUM(T16:U19)</f>
        <v>12000</v>
      </c>
    </row>
    <row r="21" spans="2:20" ht="15" thickBot="1" x14ac:dyDescent="0.4">
      <c r="B21" s="1"/>
      <c r="C21" s="1"/>
      <c r="D21" s="1"/>
      <c r="E21" s="1"/>
      <c r="F21" s="1"/>
      <c r="G21" s="1"/>
      <c r="H21" s="1"/>
      <c r="J21" s="1"/>
      <c r="K21" s="1"/>
      <c r="L21" s="1"/>
      <c r="M21" s="17"/>
      <c r="N21" s="1"/>
      <c r="O21" s="1"/>
      <c r="P21" s="1"/>
      <c r="R21" s="1"/>
      <c r="S21" s="1"/>
      <c r="T21" s="1"/>
    </row>
    <row r="22" spans="2:20" ht="21.5" thickBot="1" x14ac:dyDescent="0.55000000000000004">
      <c r="B22" s="318" t="s">
        <v>19</v>
      </c>
      <c r="C22" s="319"/>
      <c r="D22" s="320"/>
      <c r="E22" s="1"/>
      <c r="F22" s="318" t="s">
        <v>443</v>
      </c>
      <c r="G22" s="319"/>
      <c r="H22" s="320"/>
      <c r="J22" s="318" t="s">
        <v>19</v>
      </c>
      <c r="K22" s="319"/>
      <c r="L22" s="320"/>
      <c r="M22" s="17"/>
      <c r="N22" s="318" t="s">
        <v>19</v>
      </c>
      <c r="O22" s="319"/>
      <c r="P22" s="320"/>
      <c r="R22" s="318" t="s">
        <v>19</v>
      </c>
      <c r="S22" s="319"/>
      <c r="T22" s="320"/>
    </row>
    <row r="23" spans="2:20" x14ac:dyDescent="0.35">
      <c r="B23" s="322" t="str">
        <f xml:space="preserve"> (TEXT($G$7, "0%")) &amp; " of Total Available Payout"</f>
        <v>65% of Total Available Payout</v>
      </c>
      <c r="C23" s="323"/>
      <c r="D23" s="53">
        <f>D19*$G$7</f>
        <v>12525.5</v>
      </c>
      <c r="E23" s="15"/>
      <c r="F23" s="322" t="str">
        <f xml:space="preserve"> (TEXT($G$7, "0%")) &amp; " of Total Available Payout"</f>
        <v>65% of Total Available Payout</v>
      </c>
      <c r="G23" s="323"/>
      <c r="H23" s="53">
        <f>H19*$G$7</f>
        <v>12769.9</v>
      </c>
      <c r="J23" s="322" t="str">
        <f xml:space="preserve"> (TEXT($G$7, "0%")) &amp; " of Total Available Payout"</f>
        <v>65% of Total Available Payout</v>
      </c>
      <c r="K23" s="323"/>
      <c r="L23" s="53">
        <f>L19*$G$7</f>
        <v>8126.3</v>
      </c>
      <c r="M23" s="3"/>
      <c r="N23" s="322" t="str">
        <f xml:space="preserve"> (TEXT($G$7, "0%")) &amp; " of Total Available Payout"</f>
        <v>65% of Total Available Payout</v>
      </c>
      <c r="O23" s="323"/>
      <c r="P23" s="53">
        <f>P19*$G$7</f>
        <v>11853.4</v>
      </c>
      <c r="R23" s="322" t="str">
        <f xml:space="preserve"> (TEXT($G$7, "0%")) &amp; " of Total Available Payout"</f>
        <v>65% of Total Available Payout</v>
      </c>
      <c r="S23" s="323"/>
      <c r="T23" s="53">
        <f>T19*$G$7</f>
        <v>7270.9000000000005</v>
      </c>
    </row>
    <row r="24" spans="2:20" x14ac:dyDescent="0.35">
      <c r="B24" s="57" t="s">
        <v>4</v>
      </c>
      <c r="C24" s="58">
        <f>$K$4</f>
        <v>0.5</v>
      </c>
      <c r="D24" s="59">
        <f>FLOOR((D23*$K$4),5)</f>
        <v>6260</v>
      </c>
      <c r="E24" s="15"/>
      <c r="F24" s="57" t="s">
        <v>4</v>
      </c>
      <c r="G24" s="58">
        <f>$K$4</f>
        <v>0.5</v>
      </c>
      <c r="H24" s="59">
        <f>FLOOR((H23*$K$4),5)</f>
        <v>6380</v>
      </c>
      <c r="J24" s="57" t="s">
        <v>4</v>
      </c>
      <c r="K24" s="58">
        <f>$K$4</f>
        <v>0.5</v>
      </c>
      <c r="L24" s="59">
        <f>FLOOR((L23*$K$4),5)</f>
        <v>4060</v>
      </c>
      <c r="M24" s="3"/>
      <c r="N24" s="57" t="s">
        <v>4</v>
      </c>
      <c r="O24" s="58">
        <f>$K$4</f>
        <v>0.5</v>
      </c>
      <c r="P24" s="59">
        <f>FLOOR((P23*$K$4),5)</f>
        <v>5925</v>
      </c>
      <c r="R24" s="57" t="s">
        <v>4</v>
      </c>
      <c r="S24" s="58">
        <f>$K$4</f>
        <v>0.5</v>
      </c>
      <c r="T24" s="59">
        <f>FLOOR((T23*$K$4),5)</f>
        <v>3635</v>
      </c>
    </row>
    <row r="25" spans="2:20" x14ac:dyDescent="0.35">
      <c r="B25" s="54" t="s">
        <v>6</v>
      </c>
      <c r="C25" s="43">
        <f>$K$5</f>
        <v>0.3</v>
      </c>
      <c r="D25" s="55">
        <f>FLOOR((D23*$K$5),5)</f>
        <v>3755</v>
      </c>
      <c r="E25" s="15"/>
      <c r="F25" s="54" t="s">
        <v>6</v>
      </c>
      <c r="G25" s="43">
        <f>$K$5</f>
        <v>0.3</v>
      </c>
      <c r="H25" s="55">
        <f>FLOOR((H23*$K$5),5)</f>
        <v>3830</v>
      </c>
      <c r="J25" s="54" t="s">
        <v>6</v>
      </c>
      <c r="K25" s="43">
        <f>$K$5</f>
        <v>0.3</v>
      </c>
      <c r="L25" s="55">
        <f>FLOOR((L23*$K$5),5)</f>
        <v>2435</v>
      </c>
      <c r="M25" s="3"/>
      <c r="N25" s="54" t="s">
        <v>6</v>
      </c>
      <c r="O25" s="43">
        <f>$K$5</f>
        <v>0.3</v>
      </c>
      <c r="P25" s="55">
        <f>FLOOR((P23*$K$5),5)</f>
        <v>3555</v>
      </c>
      <c r="R25" s="54" t="s">
        <v>6</v>
      </c>
      <c r="S25" s="43">
        <f>$K$5</f>
        <v>0.3</v>
      </c>
      <c r="T25" s="55">
        <f>FLOOR((T23*$K$5),5)</f>
        <v>2180</v>
      </c>
    </row>
    <row r="26" spans="2:20" x14ac:dyDescent="0.35">
      <c r="B26" s="54" t="s">
        <v>8</v>
      </c>
      <c r="C26" s="43">
        <f>$K$6</f>
        <v>0.2</v>
      </c>
      <c r="D26" s="55">
        <f>FLOOR((D23*$K$6),5)</f>
        <v>2505</v>
      </c>
      <c r="E26" s="17"/>
      <c r="F26" s="54" t="s">
        <v>8</v>
      </c>
      <c r="G26" s="43">
        <f>$K$6</f>
        <v>0.2</v>
      </c>
      <c r="H26" s="55">
        <f>FLOOR((H23*$K$6),5)</f>
        <v>2550</v>
      </c>
      <c r="J26" s="54" t="s">
        <v>8</v>
      </c>
      <c r="K26" s="43">
        <f>$K$6</f>
        <v>0.2</v>
      </c>
      <c r="L26" s="55">
        <f>FLOOR((L23*$K$6),5)</f>
        <v>1625</v>
      </c>
      <c r="M26" s="3"/>
      <c r="N26" s="54" t="s">
        <v>8</v>
      </c>
      <c r="O26" s="43">
        <f>$K$6</f>
        <v>0.2</v>
      </c>
      <c r="P26" s="55">
        <f>FLOOR((P23*$K$6),5)</f>
        <v>2370</v>
      </c>
      <c r="R26" s="54" t="s">
        <v>8</v>
      </c>
      <c r="S26" s="43">
        <f>$K$6</f>
        <v>0.2</v>
      </c>
      <c r="T26" s="55">
        <f>FLOOR((T23*$K$6),5)</f>
        <v>1450</v>
      </c>
    </row>
    <row r="27" spans="2:20" x14ac:dyDescent="0.35">
      <c r="B27" s="60" t="s">
        <v>426</v>
      </c>
      <c r="C27" s="61">
        <f>$K$7</f>
        <v>0</v>
      </c>
      <c r="D27" s="55">
        <f>FLOOR((D23*$K$7),5)</f>
        <v>0</v>
      </c>
      <c r="E27" s="17"/>
      <c r="F27" s="60" t="s">
        <v>426</v>
      </c>
      <c r="G27" s="61">
        <f>$K$7</f>
        <v>0</v>
      </c>
      <c r="H27" s="55">
        <f>FLOOR((H23*$K$7),5)</f>
        <v>0</v>
      </c>
      <c r="J27" s="60" t="s">
        <v>426</v>
      </c>
      <c r="K27" s="61">
        <f>$K$7</f>
        <v>0</v>
      </c>
      <c r="L27" s="55">
        <f>FLOOR((L23*$K$7),5)</f>
        <v>0</v>
      </c>
      <c r="N27" s="60" t="s">
        <v>426</v>
      </c>
      <c r="O27" s="61">
        <f>$K$7</f>
        <v>0</v>
      </c>
      <c r="P27" s="55">
        <f>FLOOR((P23*$K$7),5)</f>
        <v>0</v>
      </c>
      <c r="R27" s="60" t="s">
        <v>426</v>
      </c>
      <c r="S27" s="61">
        <f>$K$7</f>
        <v>0</v>
      </c>
      <c r="T27" s="55">
        <f>FLOOR((T23*$K$7),5)</f>
        <v>0</v>
      </c>
    </row>
    <row r="28" spans="2:20" ht="15" thickBot="1" x14ac:dyDescent="0.4">
      <c r="B28" s="65" t="s">
        <v>429</v>
      </c>
      <c r="C28" s="68">
        <f>SUM(C24:C27)</f>
        <v>1</v>
      </c>
      <c r="D28" s="69">
        <f>SUM(D24:D27)</f>
        <v>12520</v>
      </c>
      <c r="E28" s="1"/>
      <c r="F28" s="65" t="s">
        <v>429</v>
      </c>
      <c r="G28" s="68">
        <f>SUM(G24:G27)</f>
        <v>1</v>
      </c>
      <c r="H28" s="69">
        <f>SUM(H24:H27)</f>
        <v>12760</v>
      </c>
      <c r="J28" s="65" t="s">
        <v>429</v>
      </c>
      <c r="K28" s="68">
        <f>SUM(K24:K27)</f>
        <v>1</v>
      </c>
      <c r="L28" s="69">
        <f>SUM(L24:L27)</f>
        <v>8120</v>
      </c>
      <c r="N28" s="65" t="s">
        <v>429</v>
      </c>
      <c r="O28" s="68">
        <f>SUM(O24:O27)</f>
        <v>1</v>
      </c>
      <c r="P28" s="69">
        <f>SUM(P24:P27)</f>
        <v>11850</v>
      </c>
      <c r="R28" s="65" t="s">
        <v>429</v>
      </c>
      <c r="S28" s="68">
        <f>SUM(S24:S27)</f>
        <v>1</v>
      </c>
      <c r="T28" s="69">
        <f>SUM(T24:T27)</f>
        <v>7265</v>
      </c>
    </row>
    <row r="29" spans="2:20" x14ac:dyDescent="0.35">
      <c r="B29" s="173" t="s">
        <v>444</v>
      </c>
      <c r="C29" s="176"/>
      <c r="D29" s="177">
        <f>D23-D28</f>
        <v>5.5</v>
      </c>
      <c r="E29" s="1"/>
      <c r="F29" s="173" t="s">
        <v>444</v>
      </c>
      <c r="G29" s="176"/>
      <c r="H29" s="177">
        <f>H23-H28</f>
        <v>9.8999999999996362</v>
      </c>
      <c r="J29" s="173" t="s">
        <v>444</v>
      </c>
      <c r="K29" s="176"/>
      <c r="L29" s="177">
        <f>L23-L28</f>
        <v>6.3000000000001819</v>
      </c>
      <c r="N29" s="173" t="s">
        <v>444</v>
      </c>
      <c r="O29" s="176"/>
      <c r="P29" s="177">
        <f>P23-P28</f>
        <v>3.3999999999996362</v>
      </c>
      <c r="R29" s="173" t="s">
        <v>444</v>
      </c>
      <c r="S29" s="176"/>
      <c r="T29" s="177">
        <f>T23-T28</f>
        <v>5.9000000000005457</v>
      </c>
    </row>
    <row r="30" spans="2:20" ht="15" thickBot="1" x14ac:dyDescent="0.4">
      <c r="B30" s="1"/>
      <c r="C30" s="43"/>
      <c r="D30" s="1"/>
      <c r="E30" s="1"/>
      <c r="F30" s="1"/>
      <c r="G30" s="43"/>
      <c r="H30" s="1"/>
      <c r="J30" s="1"/>
      <c r="K30" s="43"/>
      <c r="L30" s="1"/>
      <c r="N30" s="1"/>
      <c r="O30" s="43"/>
      <c r="P30" s="1"/>
      <c r="R30" s="1"/>
      <c r="S30" s="43"/>
      <c r="T30" s="1"/>
    </row>
    <row r="31" spans="2:20" ht="21.5" thickBot="1" x14ac:dyDescent="0.55000000000000004">
      <c r="B31" s="331" t="s">
        <v>445</v>
      </c>
      <c r="C31" s="332"/>
      <c r="D31" s="333"/>
      <c r="E31" s="48"/>
      <c r="F31" s="324" t="s">
        <v>445</v>
      </c>
      <c r="G31" s="325"/>
      <c r="H31" s="326"/>
      <c r="I31" s="48"/>
      <c r="J31" s="324" t="s">
        <v>445</v>
      </c>
      <c r="K31" s="325"/>
      <c r="L31" s="326"/>
      <c r="M31" s="48"/>
      <c r="N31" s="324" t="s">
        <v>445</v>
      </c>
      <c r="O31" s="325"/>
      <c r="P31" s="326"/>
      <c r="R31" s="324" t="s">
        <v>445</v>
      </c>
      <c r="S31" s="325"/>
      <c r="T31" s="326"/>
    </row>
    <row r="32" spans="2:20" ht="16" thickBot="1" x14ac:dyDescent="0.4">
      <c r="B32" s="62" t="str">
        <f xml:space="preserve"> (TEXT($G$8, "0%")) &amp; " of Total Available Payout"</f>
        <v>35% of Total Available Payout</v>
      </c>
      <c r="C32" s="46"/>
      <c r="D32" s="108">
        <f>D19*$G$8</f>
        <v>6744.5</v>
      </c>
      <c r="E32" s="45"/>
      <c r="F32" s="166" t="str">
        <f xml:space="preserve"> (TEXT($G$8, "0%")) &amp; " of Total Available Payout"</f>
        <v>35% of Total Available Payout</v>
      </c>
      <c r="G32" s="70"/>
      <c r="H32" s="164">
        <f>H19*$G$8</f>
        <v>6876.0999999999995</v>
      </c>
      <c r="I32" s="48"/>
      <c r="J32" s="166" t="str">
        <f xml:space="preserve"> (TEXT($G$8, "0%")) &amp; " of Total Available Payout"</f>
        <v>35% of Total Available Payout</v>
      </c>
      <c r="K32" s="70"/>
      <c r="L32" s="164">
        <f>L19*$G$8</f>
        <v>4375.7</v>
      </c>
      <c r="M32" s="48"/>
      <c r="N32" s="166" t="str">
        <f xml:space="preserve"> (TEXT($G$8, "0%")) &amp; " of Total Available Payout"</f>
        <v>35% of Total Available Payout</v>
      </c>
      <c r="O32" s="70"/>
      <c r="P32" s="164">
        <f>P19*$G$8</f>
        <v>6382.5999999999995</v>
      </c>
      <c r="R32" s="166" t="str">
        <f xml:space="preserve"> (TEXT($G$8, "0%")) &amp; " of Total Available Payout"</f>
        <v>35% of Total Available Payout</v>
      </c>
      <c r="S32" s="70"/>
      <c r="T32" s="164">
        <f>T19*$G$8</f>
        <v>3915.1</v>
      </c>
    </row>
    <row r="33" spans="2:20" ht="16" thickBot="1" x14ac:dyDescent="0.4">
      <c r="B33" s="62" t="s">
        <v>446</v>
      </c>
      <c r="C33" s="46"/>
      <c r="D33" s="107">
        <f>D32/3</f>
        <v>2248.1666666666665</v>
      </c>
      <c r="E33" s="48"/>
      <c r="F33" s="62" t="s">
        <v>446</v>
      </c>
      <c r="G33" s="46"/>
      <c r="H33" s="107">
        <f>H32/3</f>
        <v>2292.0333333333333</v>
      </c>
      <c r="I33" s="48"/>
      <c r="J33" s="62" t="s">
        <v>446</v>
      </c>
      <c r="K33" s="46"/>
      <c r="L33" s="107">
        <f>L32/3</f>
        <v>1458.5666666666666</v>
      </c>
      <c r="M33" s="48"/>
      <c r="N33" s="62" t="s">
        <v>446</v>
      </c>
      <c r="O33" s="46"/>
      <c r="P33" s="107">
        <f>P32/3</f>
        <v>2127.5333333333333</v>
      </c>
      <c r="R33" s="62" t="s">
        <v>446</v>
      </c>
      <c r="S33" s="46"/>
      <c r="T33" s="107">
        <f>T32/3</f>
        <v>1305.0333333333333</v>
      </c>
    </row>
    <row r="34" spans="2:20" x14ac:dyDescent="0.35">
      <c r="B34" s="57" t="s">
        <v>4</v>
      </c>
      <c r="C34" s="58">
        <f>$I$4</f>
        <v>0.5</v>
      </c>
      <c r="D34" s="47">
        <f t="shared" ref="D34:D41" si="0">FLOOR((C34*$D$33),5)</f>
        <v>1120</v>
      </c>
      <c r="F34" s="57" t="s">
        <v>4</v>
      </c>
      <c r="G34" s="58">
        <f>$I$4</f>
        <v>0.5</v>
      </c>
      <c r="H34" s="47">
        <f>FLOOR((G34*$H$33),5)</f>
        <v>1145</v>
      </c>
      <c r="I34" s="19"/>
      <c r="J34" s="57" t="s">
        <v>4</v>
      </c>
      <c r="K34" s="58">
        <f>$I$4</f>
        <v>0.5</v>
      </c>
      <c r="L34" s="47">
        <f>FLOOR((K34*$L$33),5)</f>
        <v>725</v>
      </c>
      <c r="M34" s="19"/>
      <c r="N34" s="57" t="s">
        <v>4</v>
      </c>
      <c r="O34" s="58">
        <f>$I$4</f>
        <v>0.5</v>
      </c>
      <c r="P34" s="47">
        <f>FLOOR((O34*$P$33),5)</f>
        <v>1060</v>
      </c>
      <c r="R34" s="57" t="s">
        <v>4</v>
      </c>
      <c r="S34" s="58">
        <f>$I$4</f>
        <v>0.5</v>
      </c>
      <c r="T34" s="47">
        <f>FLOOR((S34*$T$33),5)</f>
        <v>650</v>
      </c>
    </row>
    <row r="35" spans="2:20" x14ac:dyDescent="0.35">
      <c r="B35" s="54" t="s">
        <v>6</v>
      </c>
      <c r="C35" s="43">
        <f>$I$5</f>
        <v>0.3</v>
      </c>
      <c r="D35" s="47">
        <f t="shared" si="0"/>
        <v>670</v>
      </c>
      <c r="F35" s="54" t="s">
        <v>6</v>
      </c>
      <c r="G35" s="43">
        <f>$I$5</f>
        <v>0.3</v>
      </c>
      <c r="H35" s="47">
        <f t="shared" ref="H35:H40" si="1">FLOOR((G35*$H$33),5)</f>
        <v>685</v>
      </c>
      <c r="I35" s="19"/>
      <c r="J35" s="54" t="s">
        <v>6</v>
      </c>
      <c r="K35" s="43">
        <f>$I$5</f>
        <v>0.3</v>
      </c>
      <c r="L35" s="47">
        <f t="shared" ref="L35:L41" si="2">FLOOR((K35*$L$33),5)</f>
        <v>435</v>
      </c>
      <c r="M35" s="19"/>
      <c r="N35" s="54" t="s">
        <v>6</v>
      </c>
      <c r="O35" s="43">
        <f>$I$5</f>
        <v>0.3</v>
      </c>
      <c r="P35" s="47">
        <f t="shared" ref="P35:P41" si="3">FLOOR((O35*$P$33),5)</f>
        <v>635</v>
      </c>
      <c r="R35" s="54" t="s">
        <v>6</v>
      </c>
      <c r="S35" s="43">
        <f>$I$5</f>
        <v>0.3</v>
      </c>
      <c r="T35" s="47">
        <f t="shared" ref="T35:T41" si="4">FLOOR((S35*$T$33),5)</f>
        <v>390</v>
      </c>
    </row>
    <row r="36" spans="2:20" x14ac:dyDescent="0.35">
      <c r="B36" s="54" t="s">
        <v>8</v>
      </c>
      <c r="C36" s="43">
        <f>$I$6</f>
        <v>0.2</v>
      </c>
      <c r="D36" s="47">
        <f t="shared" si="0"/>
        <v>445</v>
      </c>
      <c r="F36" s="54" t="s">
        <v>8</v>
      </c>
      <c r="G36" s="43">
        <f>$I$6</f>
        <v>0.2</v>
      </c>
      <c r="H36" s="47">
        <f t="shared" si="1"/>
        <v>455</v>
      </c>
      <c r="I36" s="19"/>
      <c r="J36" s="54" t="s">
        <v>8</v>
      </c>
      <c r="K36" s="43">
        <f>$I$6</f>
        <v>0.2</v>
      </c>
      <c r="L36" s="47">
        <f t="shared" si="2"/>
        <v>290</v>
      </c>
      <c r="M36" s="19"/>
      <c r="N36" s="54" t="s">
        <v>8</v>
      </c>
      <c r="O36" s="43">
        <f>$I$6</f>
        <v>0.2</v>
      </c>
      <c r="P36" s="47">
        <f t="shared" si="3"/>
        <v>425</v>
      </c>
      <c r="R36" s="54" t="s">
        <v>8</v>
      </c>
      <c r="S36" s="43">
        <f>$I$6</f>
        <v>0.2</v>
      </c>
      <c r="T36" s="47">
        <f t="shared" si="4"/>
        <v>260</v>
      </c>
    </row>
    <row r="37" spans="2:20" x14ac:dyDescent="0.35">
      <c r="B37" s="54" t="s">
        <v>426</v>
      </c>
      <c r="C37" s="43">
        <f>$I$7</f>
        <v>0</v>
      </c>
      <c r="D37" s="104">
        <f t="shared" si="0"/>
        <v>0</v>
      </c>
      <c r="F37" s="54" t="s">
        <v>426</v>
      </c>
      <c r="G37" s="43">
        <f>$I$7</f>
        <v>0</v>
      </c>
      <c r="H37" s="47">
        <f t="shared" si="1"/>
        <v>0</v>
      </c>
      <c r="I37" s="19"/>
      <c r="J37" s="54" t="s">
        <v>426</v>
      </c>
      <c r="K37" s="43">
        <f>$I$7</f>
        <v>0</v>
      </c>
      <c r="L37" s="47">
        <f t="shared" si="2"/>
        <v>0</v>
      </c>
      <c r="M37" s="19"/>
      <c r="N37" s="54" t="s">
        <v>426</v>
      </c>
      <c r="O37" s="43">
        <f>$I$7</f>
        <v>0</v>
      </c>
      <c r="P37" s="47">
        <f t="shared" si="3"/>
        <v>0</v>
      </c>
      <c r="R37" s="54" t="s">
        <v>426</v>
      </c>
      <c r="S37" s="43">
        <f>$I$7</f>
        <v>0</v>
      </c>
      <c r="T37" s="47">
        <f t="shared" si="4"/>
        <v>0</v>
      </c>
    </row>
    <row r="38" spans="2:20" x14ac:dyDescent="0.35">
      <c r="B38" s="54" t="s">
        <v>431</v>
      </c>
      <c r="C38" s="43">
        <f>$I$8</f>
        <v>0</v>
      </c>
      <c r="D38" s="104">
        <f t="shared" si="0"/>
        <v>0</v>
      </c>
      <c r="E38" s="19"/>
      <c r="F38" s="54" t="s">
        <v>431</v>
      </c>
      <c r="G38" s="43">
        <f>$I$8</f>
        <v>0</v>
      </c>
      <c r="H38" s="47">
        <f t="shared" si="1"/>
        <v>0</v>
      </c>
      <c r="I38" s="3"/>
      <c r="J38" s="54" t="s">
        <v>431</v>
      </c>
      <c r="K38" s="43">
        <f>$I$8</f>
        <v>0</v>
      </c>
      <c r="L38" s="47">
        <f t="shared" si="2"/>
        <v>0</v>
      </c>
      <c r="M38" s="3"/>
      <c r="N38" s="54" t="s">
        <v>431</v>
      </c>
      <c r="O38" s="43">
        <f>$I$8</f>
        <v>0</v>
      </c>
      <c r="P38" s="47">
        <f t="shared" si="3"/>
        <v>0</v>
      </c>
      <c r="R38" s="54" t="s">
        <v>431</v>
      </c>
      <c r="S38" s="43">
        <f>$I$8</f>
        <v>0</v>
      </c>
      <c r="T38" s="47">
        <f t="shared" si="4"/>
        <v>0</v>
      </c>
    </row>
    <row r="39" spans="2:20" x14ac:dyDescent="0.35">
      <c r="B39" s="54" t="s">
        <v>434</v>
      </c>
      <c r="C39" s="43">
        <f>$I$9</f>
        <v>0</v>
      </c>
      <c r="D39" s="104">
        <f t="shared" si="0"/>
        <v>0</v>
      </c>
      <c r="F39" s="54" t="s">
        <v>434</v>
      </c>
      <c r="G39" s="43">
        <f>$I$9</f>
        <v>0</v>
      </c>
      <c r="H39" s="47">
        <f t="shared" si="1"/>
        <v>0</v>
      </c>
      <c r="I39" s="3"/>
      <c r="J39" s="54" t="s">
        <v>434</v>
      </c>
      <c r="K39" s="43">
        <f>$I$9</f>
        <v>0</v>
      </c>
      <c r="L39" s="47">
        <f t="shared" si="2"/>
        <v>0</v>
      </c>
      <c r="M39" s="3"/>
      <c r="N39" s="54" t="s">
        <v>434</v>
      </c>
      <c r="O39" s="43">
        <f>$I$9</f>
        <v>0</v>
      </c>
      <c r="P39" s="47">
        <f t="shared" si="3"/>
        <v>0</v>
      </c>
      <c r="R39" s="54" t="s">
        <v>434</v>
      </c>
      <c r="S39" s="43">
        <f>$I$9</f>
        <v>0</v>
      </c>
      <c r="T39" s="47">
        <f t="shared" si="4"/>
        <v>0</v>
      </c>
    </row>
    <row r="40" spans="2:20" x14ac:dyDescent="0.35">
      <c r="B40" s="54" t="s">
        <v>435</v>
      </c>
      <c r="C40" s="43">
        <f>$I$10</f>
        <v>0</v>
      </c>
      <c r="D40" s="104">
        <f t="shared" si="0"/>
        <v>0</v>
      </c>
      <c r="F40" s="54" t="s">
        <v>435</v>
      </c>
      <c r="G40" s="43">
        <f>$I$10</f>
        <v>0</v>
      </c>
      <c r="H40" s="47">
        <f t="shared" si="1"/>
        <v>0</v>
      </c>
      <c r="I40" s="3"/>
      <c r="J40" s="54" t="s">
        <v>435</v>
      </c>
      <c r="K40" s="43">
        <f>$I$10</f>
        <v>0</v>
      </c>
      <c r="L40" s="47">
        <f t="shared" si="2"/>
        <v>0</v>
      </c>
      <c r="M40" s="3"/>
      <c r="N40" s="54" t="s">
        <v>435</v>
      </c>
      <c r="O40" s="43">
        <f>$I$10</f>
        <v>0</v>
      </c>
      <c r="P40" s="47">
        <f t="shared" si="3"/>
        <v>0</v>
      </c>
      <c r="R40" s="54" t="s">
        <v>435</v>
      </c>
      <c r="S40" s="43">
        <f>$I$10</f>
        <v>0</v>
      </c>
      <c r="T40" s="47">
        <f t="shared" si="4"/>
        <v>0</v>
      </c>
    </row>
    <row r="41" spans="2:20" x14ac:dyDescent="0.35">
      <c r="B41" s="60" t="s">
        <v>436</v>
      </c>
      <c r="C41" s="61">
        <f>$I$11</f>
        <v>0</v>
      </c>
      <c r="D41" s="104">
        <f t="shared" si="0"/>
        <v>0</v>
      </c>
      <c r="F41" s="60" t="s">
        <v>436</v>
      </c>
      <c r="G41" s="61">
        <f>$I$11</f>
        <v>0</v>
      </c>
      <c r="H41" s="104">
        <f>FLOOR((G41*$D$33),5)</f>
        <v>0</v>
      </c>
      <c r="I41" s="3"/>
      <c r="J41" s="60" t="s">
        <v>436</v>
      </c>
      <c r="K41" s="61">
        <f>$I$11</f>
        <v>0</v>
      </c>
      <c r="L41" s="47">
        <f t="shared" si="2"/>
        <v>0</v>
      </c>
      <c r="M41" s="3"/>
      <c r="N41" s="60" t="s">
        <v>436</v>
      </c>
      <c r="O41" s="61">
        <f>$I$11</f>
        <v>0</v>
      </c>
      <c r="P41" s="47">
        <f t="shared" si="3"/>
        <v>0</v>
      </c>
      <c r="R41" s="60" t="s">
        <v>436</v>
      </c>
      <c r="S41" s="61">
        <f>$I$11</f>
        <v>0</v>
      </c>
      <c r="T41" s="47">
        <f t="shared" si="4"/>
        <v>0</v>
      </c>
    </row>
    <row r="42" spans="2:20" ht="15" thickBot="1" x14ac:dyDescent="0.4">
      <c r="B42" s="65" t="s">
        <v>429</v>
      </c>
      <c r="C42" s="66">
        <f>SUM(C34:C41)</f>
        <v>1</v>
      </c>
      <c r="D42" s="67">
        <f>SUM(D34:D41)</f>
        <v>2235</v>
      </c>
      <c r="F42" s="65" t="s">
        <v>429</v>
      </c>
      <c r="G42" s="66">
        <f>SUM(G34:G41)</f>
        <v>1</v>
      </c>
      <c r="H42" s="67">
        <f>SUM(H34:H41)</f>
        <v>2285</v>
      </c>
      <c r="J42" s="65" t="s">
        <v>429</v>
      </c>
      <c r="K42" s="66">
        <f>SUM(K34:K41)</f>
        <v>1</v>
      </c>
      <c r="L42" s="67">
        <f>SUM(L34:L41)</f>
        <v>1450</v>
      </c>
      <c r="N42" s="65" t="s">
        <v>429</v>
      </c>
      <c r="O42" s="66">
        <f>SUM(O34:O41)</f>
        <v>1</v>
      </c>
      <c r="P42" s="67">
        <f>SUM(P34:P41)</f>
        <v>2120</v>
      </c>
      <c r="R42" s="65" t="s">
        <v>429</v>
      </c>
      <c r="S42" s="66">
        <f>SUM(S34:S41)</f>
        <v>1</v>
      </c>
      <c r="T42" s="67">
        <f>SUM(T34:T41)</f>
        <v>1300</v>
      </c>
    </row>
    <row r="43" spans="2:20" x14ac:dyDescent="0.35">
      <c r="B43" s="173" t="s">
        <v>444</v>
      </c>
      <c r="C43" s="174"/>
      <c r="D43" s="178">
        <f>D33-D42</f>
        <v>13.166666666666515</v>
      </c>
      <c r="F43" s="173" t="s">
        <v>444</v>
      </c>
      <c r="G43" s="174"/>
      <c r="H43" s="178">
        <f>H33-H42</f>
        <v>7.033333333333303</v>
      </c>
      <c r="J43" s="173" t="s">
        <v>444</v>
      </c>
      <c r="K43" s="174"/>
      <c r="L43" s="178">
        <f>L33-L42</f>
        <v>8.566666666666606</v>
      </c>
      <c r="N43" s="173" t="s">
        <v>444</v>
      </c>
      <c r="O43" s="174"/>
      <c r="P43" s="178">
        <f>P33-P42</f>
        <v>7.533333333333303</v>
      </c>
      <c r="R43" s="173" t="s">
        <v>444</v>
      </c>
      <c r="S43" s="174"/>
      <c r="T43" s="178">
        <f>T33-T42</f>
        <v>5.033333333333303</v>
      </c>
    </row>
    <row r="44" spans="2:20" x14ac:dyDescent="0.35">
      <c r="B44" s="321" t="s">
        <v>447</v>
      </c>
      <c r="C44" s="321"/>
      <c r="D44" s="179">
        <f>D29+D43</f>
        <v>18.666666666666515</v>
      </c>
      <c r="F44" s="321" t="s">
        <v>448</v>
      </c>
      <c r="G44" s="321"/>
      <c r="H44" s="179">
        <f>H29+H43</f>
        <v>16.933333333332939</v>
      </c>
      <c r="J44" s="321" t="s">
        <v>449</v>
      </c>
      <c r="K44" s="321"/>
      <c r="L44" s="179">
        <f>L29+L43</f>
        <v>14.866666666666788</v>
      </c>
      <c r="N44" s="321" t="s">
        <v>450</v>
      </c>
      <c r="O44" s="321"/>
      <c r="P44" s="179">
        <f>P29+P43</f>
        <v>10.933333333332939</v>
      </c>
      <c r="R44" s="321" t="s">
        <v>451</v>
      </c>
      <c r="S44" s="321"/>
      <c r="T44" s="179">
        <f>T29+T43</f>
        <v>10.933333333333849</v>
      </c>
    </row>
    <row r="46" spans="2:20" x14ac:dyDescent="0.35">
      <c r="B46" s="163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</row>
    <row r="47" spans="2:20" ht="15" thickBot="1" x14ac:dyDescent="0.4"/>
    <row r="48" spans="2:20" ht="21.5" thickBot="1" x14ac:dyDescent="0.55000000000000004">
      <c r="B48" s="259" t="s">
        <v>452</v>
      </c>
      <c r="C48" s="260" t="s">
        <v>28</v>
      </c>
      <c r="D48" s="106">
        <f>Calcutta!I66</f>
        <v>11400</v>
      </c>
      <c r="F48" s="259" t="s">
        <v>75</v>
      </c>
      <c r="G48" s="260" t="s">
        <v>28</v>
      </c>
      <c r="H48" s="106">
        <f>Calcutta!I77</f>
        <v>10300</v>
      </c>
      <c r="J48" s="259" t="s">
        <v>453</v>
      </c>
      <c r="K48" s="260" t="s">
        <v>28</v>
      </c>
      <c r="L48" s="106">
        <f>Calcutta!I88</f>
        <v>9300</v>
      </c>
      <c r="N48" s="259" t="s">
        <v>454</v>
      </c>
      <c r="O48" s="260" t="s">
        <v>28</v>
      </c>
      <c r="P48" s="106">
        <f>Calcutta!I99</f>
        <v>9300</v>
      </c>
      <c r="R48" s="259" t="s">
        <v>455</v>
      </c>
      <c r="S48" s="260" t="s">
        <v>28</v>
      </c>
      <c r="T48" s="106">
        <f>Calcutta!I110</f>
        <v>8300</v>
      </c>
    </row>
    <row r="49" spans="2:20" x14ac:dyDescent="0.35">
      <c r="B49" s="329" t="str">
        <f xml:space="preserve"> "Bonus Pool (" &amp; (TEXT($G$4, "0%")) &amp; ")"</f>
        <v>Bonus Pool (3%)</v>
      </c>
      <c r="C49" s="330"/>
      <c r="D49" s="175">
        <f>(D48-D51)*$G$4</f>
        <v>339</v>
      </c>
      <c r="F49" s="329" t="str">
        <f xml:space="preserve"> "Bonus Pool (" &amp; (TEXT($G$4, "0%")) &amp; ")"</f>
        <v>Bonus Pool (3%)</v>
      </c>
      <c r="G49" s="330"/>
      <c r="H49" s="175">
        <f>(H48-H51)*$G$4</f>
        <v>306</v>
      </c>
      <c r="J49" s="329" t="str">
        <f xml:space="preserve"> "Bonus Pool (" &amp; (TEXT($G$4, "0%")) &amp; ")"</f>
        <v>Bonus Pool (3%)</v>
      </c>
      <c r="K49" s="330"/>
      <c r="L49" s="175">
        <f>(L48-L51)*$G$4</f>
        <v>276</v>
      </c>
      <c r="N49" s="329" t="str">
        <f xml:space="preserve"> "Bonus Pool (" &amp; (TEXT($G$4, "0%")) &amp; ")"</f>
        <v>Bonus Pool (3%)</v>
      </c>
      <c r="O49" s="330"/>
      <c r="P49" s="175">
        <f>(P48-P51)*$G$4</f>
        <v>276</v>
      </c>
      <c r="R49" s="329" t="str">
        <f xml:space="preserve"> "Bonus Pool (" &amp; (TEXT($G$4, "0%")) &amp; ")"</f>
        <v>Bonus Pool (3%)</v>
      </c>
      <c r="S49" s="330"/>
      <c r="T49" s="175">
        <f>(T48-T51)*$G$4</f>
        <v>246</v>
      </c>
    </row>
    <row r="50" spans="2:20" x14ac:dyDescent="0.35">
      <c r="B50" s="329" t="str">
        <f xml:space="preserve"> "Staff Gratuity (" &amp; (TEXT($G$5, "0%")) &amp; ")"</f>
        <v>Staff Gratuity (3%)</v>
      </c>
      <c r="C50" s="330"/>
      <c r="D50" s="175">
        <f>(D48-D51)*$G$5</f>
        <v>339</v>
      </c>
      <c r="F50" s="329" t="str">
        <f xml:space="preserve"> "Staff Gratuity (" &amp; (TEXT($G$5, "0%")) &amp; ")"</f>
        <v>Staff Gratuity (3%)</v>
      </c>
      <c r="G50" s="330"/>
      <c r="H50" s="175">
        <f>(H48-H51)*$G$5</f>
        <v>306</v>
      </c>
      <c r="J50" s="329" t="str">
        <f xml:space="preserve"> "Staff Gratuity (" &amp; (TEXT($G$5, "0%")) &amp; ")"</f>
        <v>Staff Gratuity (3%)</v>
      </c>
      <c r="K50" s="330"/>
      <c r="L50" s="175">
        <f>(L48-L51)*$G$5</f>
        <v>276</v>
      </c>
      <c r="N50" s="329" t="str">
        <f xml:space="preserve"> "Staff Gratuity (" &amp; (TEXT($G$5, "0%")) &amp; ")"</f>
        <v>Staff Gratuity (3%)</v>
      </c>
      <c r="O50" s="330"/>
      <c r="P50" s="175">
        <f>(P48-P51)*$G$5</f>
        <v>276</v>
      </c>
      <c r="R50" s="329" t="str">
        <f xml:space="preserve"> "Staff Gratuity (" &amp; (TEXT($G$5, "0%")) &amp; ")"</f>
        <v>Staff Gratuity (3%)</v>
      </c>
      <c r="S50" s="330"/>
      <c r="T50" s="175">
        <f>(T48-T51)*$G$5</f>
        <v>246</v>
      </c>
    </row>
    <row r="51" spans="2:20" ht="15" thickBot="1" x14ac:dyDescent="0.4">
      <c r="B51" s="120" t="s">
        <v>442</v>
      </c>
      <c r="C51" s="261"/>
      <c r="D51" s="175">
        <f>$D$7/10</f>
        <v>100</v>
      </c>
      <c r="F51" s="120" t="s">
        <v>442</v>
      </c>
      <c r="G51" s="261"/>
      <c r="H51" s="175">
        <f>$D$7/10</f>
        <v>100</v>
      </c>
      <c r="J51" s="120" t="s">
        <v>442</v>
      </c>
      <c r="K51" s="261"/>
      <c r="L51" s="175">
        <f>$D$7/10</f>
        <v>100</v>
      </c>
      <c r="N51" s="120" t="s">
        <v>442</v>
      </c>
      <c r="O51" s="261"/>
      <c r="P51" s="175">
        <f>$D$7/10</f>
        <v>100</v>
      </c>
      <c r="R51" s="120" t="s">
        <v>442</v>
      </c>
      <c r="S51" s="261"/>
      <c r="T51" s="175">
        <f>$D$7/10</f>
        <v>100</v>
      </c>
    </row>
    <row r="52" spans="2:20" ht="16" thickBot="1" x14ac:dyDescent="0.4">
      <c r="B52" s="327" t="str">
        <f xml:space="preserve"> "Total Available Payout (" &amp; (TEXT($G$6, "0%")) &amp; ")"</f>
        <v>Total Available Payout (94%)</v>
      </c>
      <c r="C52" s="328"/>
      <c r="D52" s="105">
        <f>(D48-D51)*$G$6</f>
        <v>10622</v>
      </c>
      <c r="F52" s="327" t="str">
        <f xml:space="preserve"> "Total Available Payout (" &amp; (TEXT($G$6, "0%")) &amp; ")"</f>
        <v>Total Available Payout (94%)</v>
      </c>
      <c r="G52" s="328"/>
      <c r="H52" s="105">
        <f>(H48-H51)*$G$6</f>
        <v>9588</v>
      </c>
      <c r="J52" s="327" t="str">
        <f xml:space="preserve"> "Total Available Payout (" &amp; (TEXT($G$6, "0%")) &amp; ")"</f>
        <v>Total Available Payout (94%)</v>
      </c>
      <c r="K52" s="328"/>
      <c r="L52" s="105">
        <f>(L48-L51)*$G$6</f>
        <v>8648</v>
      </c>
      <c r="N52" s="327" t="str">
        <f xml:space="preserve"> "Total Available Payout (" &amp; (TEXT($G$6, "0%")) &amp; ")"</f>
        <v>Total Available Payout (94%)</v>
      </c>
      <c r="O52" s="328"/>
      <c r="P52" s="105">
        <f>(P48-P51)*$G$6</f>
        <v>8648</v>
      </c>
      <c r="R52" s="327" t="str">
        <f xml:space="preserve"> "Total Available Payout (" &amp; (TEXT($G$6, "0%")) &amp; ")"</f>
        <v>Total Available Payout (94%)</v>
      </c>
      <c r="S52" s="328"/>
      <c r="T52" s="105">
        <f>(T48-T51)*$G$6</f>
        <v>7708</v>
      </c>
    </row>
    <row r="53" spans="2:20" ht="15" thickBot="1" x14ac:dyDescent="0.4">
      <c r="B53" s="52"/>
      <c r="C53" s="64" t="s">
        <v>429</v>
      </c>
      <c r="D53" s="63">
        <f>SUM(D49:E52)</f>
        <v>11400</v>
      </c>
      <c r="F53" s="52"/>
      <c r="G53" s="64" t="s">
        <v>429</v>
      </c>
      <c r="H53" s="63">
        <f>SUM(H49:I52)</f>
        <v>10300</v>
      </c>
      <c r="J53" s="52"/>
      <c r="K53" s="64" t="s">
        <v>429</v>
      </c>
      <c r="L53" s="63">
        <f>SUM(L49:M52)</f>
        <v>9300</v>
      </c>
      <c r="N53" s="52"/>
      <c r="O53" s="64" t="s">
        <v>429</v>
      </c>
      <c r="P53" s="63">
        <f>SUM(P49:Q52)</f>
        <v>9300</v>
      </c>
      <c r="R53" s="52"/>
      <c r="S53" s="64" t="s">
        <v>429</v>
      </c>
      <c r="T53" s="63">
        <f>SUM(T49:U52)</f>
        <v>8300</v>
      </c>
    </row>
    <row r="54" spans="2:20" ht="15" thickBot="1" x14ac:dyDescent="0.4">
      <c r="B54" s="1"/>
      <c r="C54" s="1"/>
      <c r="D54" s="1"/>
      <c r="F54" s="1"/>
      <c r="G54" s="1"/>
      <c r="H54" s="1"/>
      <c r="J54" s="1"/>
      <c r="K54" s="1"/>
      <c r="L54" s="1"/>
      <c r="N54" s="1"/>
      <c r="O54" s="1"/>
      <c r="P54" s="1"/>
      <c r="R54" s="1"/>
      <c r="S54" s="1"/>
      <c r="T54" s="1"/>
    </row>
    <row r="55" spans="2:20" ht="21.5" thickBot="1" x14ac:dyDescent="0.55000000000000004">
      <c r="B55" s="318" t="s">
        <v>19</v>
      </c>
      <c r="C55" s="319"/>
      <c r="D55" s="320"/>
      <c r="F55" s="318" t="s">
        <v>19</v>
      </c>
      <c r="G55" s="319"/>
      <c r="H55" s="320"/>
      <c r="J55" s="318" t="s">
        <v>19</v>
      </c>
      <c r="K55" s="319"/>
      <c r="L55" s="320"/>
      <c r="N55" s="318" t="s">
        <v>19</v>
      </c>
      <c r="O55" s="319"/>
      <c r="P55" s="320"/>
      <c r="R55" s="318" t="s">
        <v>19</v>
      </c>
      <c r="S55" s="319"/>
      <c r="T55" s="320"/>
    </row>
    <row r="56" spans="2:20" x14ac:dyDescent="0.35">
      <c r="B56" s="322" t="str">
        <f xml:space="preserve"> (TEXT($G$7, "0%")) &amp; " of Total Available Payout"</f>
        <v>65% of Total Available Payout</v>
      </c>
      <c r="C56" s="323"/>
      <c r="D56" s="53">
        <f>D52*$G$7</f>
        <v>6904.3</v>
      </c>
      <c r="F56" s="322" t="str">
        <f xml:space="preserve"> (TEXT($G$7, "0%")) &amp; " of Total Available Payout"</f>
        <v>65% of Total Available Payout</v>
      </c>
      <c r="G56" s="323"/>
      <c r="H56" s="53">
        <f>H52*$G$7</f>
        <v>6232.2</v>
      </c>
      <c r="J56" s="322" t="str">
        <f xml:space="preserve"> (TEXT($G$7, "0%")) &amp; " of Total Available Payout"</f>
        <v>65% of Total Available Payout</v>
      </c>
      <c r="K56" s="323"/>
      <c r="L56" s="53">
        <f>L52*$G$7</f>
        <v>5621.2</v>
      </c>
      <c r="N56" s="322" t="str">
        <f xml:space="preserve"> (TEXT($G$7, "0%")) &amp; " of Total Available Payout"</f>
        <v>65% of Total Available Payout</v>
      </c>
      <c r="O56" s="323"/>
      <c r="P56" s="53">
        <f>P52*$G$7</f>
        <v>5621.2</v>
      </c>
      <c r="R56" s="322" t="str">
        <f xml:space="preserve"> (TEXT($G$7, "0%")) &amp; " of Total Available Payout"</f>
        <v>65% of Total Available Payout</v>
      </c>
      <c r="S56" s="323"/>
      <c r="T56" s="53">
        <f>T52*$G$7</f>
        <v>5010.2</v>
      </c>
    </row>
    <row r="57" spans="2:20" x14ac:dyDescent="0.35">
      <c r="B57" s="57" t="s">
        <v>4</v>
      </c>
      <c r="C57" s="58">
        <f>$K$4</f>
        <v>0.5</v>
      </c>
      <c r="D57" s="59">
        <f>FLOOR((D56*$K$4),5)</f>
        <v>3450</v>
      </c>
      <c r="F57" s="57" t="s">
        <v>4</v>
      </c>
      <c r="G57" s="58">
        <f>$K$4</f>
        <v>0.5</v>
      </c>
      <c r="H57" s="59">
        <f>FLOOR((H56*$K$4),5)</f>
        <v>3115</v>
      </c>
      <c r="J57" s="57" t="s">
        <v>4</v>
      </c>
      <c r="K57" s="58">
        <f>$K$4</f>
        <v>0.5</v>
      </c>
      <c r="L57" s="59">
        <f>FLOOR((L56*$K$4),5)</f>
        <v>2810</v>
      </c>
      <c r="N57" s="57" t="s">
        <v>4</v>
      </c>
      <c r="O57" s="58">
        <f>$K$4</f>
        <v>0.5</v>
      </c>
      <c r="P57" s="59">
        <f>FLOOR((P56*$K$4),5)</f>
        <v>2810</v>
      </c>
      <c r="R57" s="57" t="s">
        <v>4</v>
      </c>
      <c r="S57" s="58">
        <f>$K$4</f>
        <v>0.5</v>
      </c>
      <c r="T57" s="59">
        <f>FLOOR((T56*$K$4),5)</f>
        <v>2505</v>
      </c>
    </row>
    <row r="58" spans="2:20" x14ac:dyDescent="0.35">
      <c r="B58" s="54" t="s">
        <v>6</v>
      </c>
      <c r="C58" s="43">
        <f>$K$5</f>
        <v>0.3</v>
      </c>
      <c r="D58" s="55">
        <f>FLOOR((D56*$K$5),5)</f>
        <v>2070</v>
      </c>
      <c r="F58" s="54" t="s">
        <v>6</v>
      </c>
      <c r="G58" s="43">
        <f>$K$5</f>
        <v>0.3</v>
      </c>
      <c r="H58" s="55">
        <f>FLOOR((H56*$K$5),5)</f>
        <v>1865</v>
      </c>
      <c r="J58" s="54" t="s">
        <v>6</v>
      </c>
      <c r="K58" s="43">
        <f>$K$5</f>
        <v>0.3</v>
      </c>
      <c r="L58" s="55">
        <f>FLOOR((L56*$K$5),5)</f>
        <v>1685</v>
      </c>
      <c r="N58" s="54" t="s">
        <v>6</v>
      </c>
      <c r="O58" s="43">
        <f>$K$5</f>
        <v>0.3</v>
      </c>
      <c r="P58" s="55">
        <f>FLOOR((P56*$K$5),5)</f>
        <v>1685</v>
      </c>
      <c r="R58" s="54" t="s">
        <v>6</v>
      </c>
      <c r="S58" s="43">
        <f>$K$5</f>
        <v>0.3</v>
      </c>
      <c r="T58" s="55">
        <f>FLOOR((T56*$K$5),5)</f>
        <v>1500</v>
      </c>
    </row>
    <row r="59" spans="2:20" x14ac:dyDescent="0.35">
      <c r="B59" s="54" t="s">
        <v>8</v>
      </c>
      <c r="C59" s="43">
        <f>$K$6</f>
        <v>0.2</v>
      </c>
      <c r="D59" s="55">
        <f>FLOOR((D56*$K$6),5)</f>
        <v>1380</v>
      </c>
      <c r="F59" s="54" t="s">
        <v>8</v>
      </c>
      <c r="G59" s="43">
        <f>$K$6</f>
        <v>0.2</v>
      </c>
      <c r="H59" s="55">
        <f>FLOOR((H56*$K$6),5)</f>
        <v>1245</v>
      </c>
      <c r="J59" s="54" t="s">
        <v>8</v>
      </c>
      <c r="K59" s="43">
        <f>$K$6</f>
        <v>0.2</v>
      </c>
      <c r="L59" s="55">
        <f>FLOOR((L56*$K$6),5)</f>
        <v>1120</v>
      </c>
      <c r="N59" s="54" t="s">
        <v>8</v>
      </c>
      <c r="O59" s="43">
        <f>$K$6</f>
        <v>0.2</v>
      </c>
      <c r="P59" s="55">
        <f>FLOOR((P56*$K$6),5)</f>
        <v>1120</v>
      </c>
      <c r="R59" s="54" t="s">
        <v>8</v>
      </c>
      <c r="S59" s="43">
        <f>$K$6</f>
        <v>0.2</v>
      </c>
      <c r="T59" s="55">
        <f>FLOOR((T56*$K$6),5)</f>
        <v>1000</v>
      </c>
    </row>
    <row r="60" spans="2:20" x14ac:dyDescent="0.35">
      <c r="B60" s="60" t="s">
        <v>426</v>
      </c>
      <c r="C60" s="61">
        <f>$K$7</f>
        <v>0</v>
      </c>
      <c r="D60" s="55">
        <f>FLOOR((D56*$K$7),5)</f>
        <v>0</v>
      </c>
      <c r="F60" s="60" t="s">
        <v>426</v>
      </c>
      <c r="G60" s="61">
        <f>$K$7</f>
        <v>0</v>
      </c>
      <c r="H60" s="55">
        <f>FLOOR((H56*$K$7),5)</f>
        <v>0</v>
      </c>
      <c r="J60" s="60" t="s">
        <v>426</v>
      </c>
      <c r="K60" s="61">
        <f>$K$7</f>
        <v>0</v>
      </c>
      <c r="L60" s="55">
        <f>FLOOR((L56*$K$7),5)</f>
        <v>0</v>
      </c>
      <c r="N60" s="60" t="s">
        <v>426</v>
      </c>
      <c r="O60" s="61">
        <f>$K$7</f>
        <v>0</v>
      </c>
      <c r="P60" s="55">
        <f>FLOOR((P56*$K$7),5)</f>
        <v>0</v>
      </c>
      <c r="R60" s="60" t="s">
        <v>426</v>
      </c>
      <c r="S60" s="61">
        <f>$K$7</f>
        <v>0</v>
      </c>
      <c r="T60" s="55">
        <f>FLOOR((T56*$K$7),5)</f>
        <v>0</v>
      </c>
    </row>
    <row r="61" spans="2:20" ht="15" thickBot="1" x14ac:dyDescent="0.4">
      <c r="B61" s="65" t="s">
        <v>429</v>
      </c>
      <c r="C61" s="68">
        <f>SUM(C57:C60)</f>
        <v>1</v>
      </c>
      <c r="D61" s="69">
        <f>SUM(D57:D60)</f>
        <v>6900</v>
      </c>
      <c r="F61" s="65" t="s">
        <v>429</v>
      </c>
      <c r="G61" s="68">
        <f>SUM(G57:G60)</f>
        <v>1</v>
      </c>
      <c r="H61" s="69">
        <f>SUM(H57:H60)</f>
        <v>6225</v>
      </c>
      <c r="J61" s="65" t="s">
        <v>429</v>
      </c>
      <c r="K61" s="68">
        <f>SUM(K57:K60)</f>
        <v>1</v>
      </c>
      <c r="L61" s="69">
        <f>SUM(L57:L60)</f>
        <v>5615</v>
      </c>
      <c r="N61" s="65" t="s">
        <v>429</v>
      </c>
      <c r="O61" s="68">
        <f>SUM(O57:O60)</f>
        <v>1</v>
      </c>
      <c r="P61" s="69">
        <f>SUM(P57:P60)</f>
        <v>5615</v>
      </c>
      <c r="R61" s="65" t="s">
        <v>429</v>
      </c>
      <c r="S61" s="68">
        <f>SUM(S57:S60)</f>
        <v>1</v>
      </c>
      <c r="T61" s="69">
        <f>SUM(T57:T60)</f>
        <v>5005</v>
      </c>
    </row>
    <row r="62" spans="2:20" x14ac:dyDescent="0.35">
      <c r="B62" s="173" t="s">
        <v>444</v>
      </c>
      <c r="C62" s="176"/>
      <c r="D62" s="177">
        <f>D56-D61</f>
        <v>4.3000000000001819</v>
      </c>
      <c r="F62" s="173" t="s">
        <v>444</v>
      </c>
      <c r="G62" s="176"/>
      <c r="H62" s="177">
        <f>H56-H61</f>
        <v>7.1999999999998181</v>
      </c>
      <c r="J62" s="173" t="s">
        <v>444</v>
      </c>
      <c r="K62" s="176"/>
      <c r="L62" s="177">
        <f>L56-L61</f>
        <v>6.1999999999998181</v>
      </c>
      <c r="N62" s="173" t="s">
        <v>444</v>
      </c>
      <c r="O62" s="176"/>
      <c r="P62" s="177">
        <f>P56-P61</f>
        <v>6.1999999999998181</v>
      </c>
      <c r="R62" s="173" t="s">
        <v>444</v>
      </c>
      <c r="S62" s="176"/>
      <c r="T62" s="177">
        <f>T56-T61</f>
        <v>5.1999999999998181</v>
      </c>
    </row>
    <row r="63" spans="2:20" ht="15" thickBot="1" x14ac:dyDescent="0.4">
      <c r="B63" s="1"/>
      <c r="C63" s="43"/>
      <c r="D63" s="1"/>
      <c r="F63" s="1"/>
      <c r="G63" s="43"/>
      <c r="H63" s="1"/>
      <c r="J63" s="1"/>
      <c r="K63" s="43"/>
      <c r="L63" s="1"/>
      <c r="N63" s="1"/>
      <c r="O63" s="43"/>
      <c r="P63" s="1"/>
      <c r="R63" s="1"/>
      <c r="S63" s="43"/>
      <c r="T63" s="1"/>
    </row>
    <row r="64" spans="2:20" ht="21.5" thickBot="1" x14ac:dyDescent="0.55000000000000004">
      <c r="B64" s="324" t="s">
        <v>445</v>
      </c>
      <c r="C64" s="325"/>
      <c r="D64" s="326"/>
      <c r="F64" s="324" t="s">
        <v>445</v>
      </c>
      <c r="G64" s="325"/>
      <c r="H64" s="326"/>
      <c r="J64" s="324" t="s">
        <v>445</v>
      </c>
      <c r="K64" s="325"/>
      <c r="L64" s="326"/>
      <c r="N64" s="324" t="s">
        <v>445</v>
      </c>
      <c r="O64" s="325"/>
      <c r="P64" s="326"/>
      <c r="R64" s="324" t="s">
        <v>445</v>
      </c>
      <c r="S64" s="325"/>
      <c r="T64" s="326"/>
    </row>
    <row r="65" spans="2:20" ht="15" thickBot="1" x14ac:dyDescent="0.4">
      <c r="B65" s="166" t="str">
        <f xml:space="preserve"> (TEXT($G$8, "0%")) &amp; " of Total Available Payout"</f>
        <v>35% of Total Available Payout</v>
      </c>
      <c r="C65" s="70"/>
      <c r="D65" s="164">
        <f>D52*$G$8</f>
        <v>3717.7</v>
      </c>
      <c r="F65" s="166" t="str">
        <f xml:space="preserve"> (TEXT($G$8, "0%")) &amp; " of Total Available Payout"</f>
        <v>35% of Total Available Payout</v>
      </c>
      <c r="G65" s="70"/>
      <c r="H65" s="164">
        <f>H52*$G$8</f>
        <v>3355.7999999999997</v>
      </c>
      <c r="J65" s="166" t="str">
        <f xml:space="preserve"> (TEXT($G$8, "0%")) &amp; " of Total Available Payout"</f>
        <v>35% of Total Available Payout</v>
      </c>
      <c r="K65" s="70"/>
      <c r="L65" s="164">
        <f>L52*$G$8</f>
        <v>3026.7999999999997</v>
      </c>
      <c r="N65" s="166" t="str">
        <f xml:space="preserve"> (TEXT($G$8, "0%")) &amp; " of Total Available Payout"</f>
        <v>35% of Total Available Payout</v>
      </c>
      <c r="O65" s="70"/>
      <c r="P65" s="164">
        <f>P52*$G$8</f>
        <v>3026.7999999999997</v>
      </c>
      <c r="R65" s="166" t="str">
        <f xml:space="preserve"> (TEXT($G$8, "0%")) &amp; " of Total Available Payout"</f>
        <v>35% of Total Available Payout</v>
      </c>
      <c r="S65" s="70"/>
      <c r="T65" s="164">
        <f>T52*$G$8</f>
        <v>2697.7999999999997</v>
      </c>
    </row>
    <row r="66" spans="2:20" ht="16" thickBot="1" x14ac:dyDescent="0.4">
      <c r="B66" s="62" t="s">
        <v>446</v>
      </c>
      <c r="C66" s="46"/>
      <c r="D66" s="107">
        <f>D65/3</f>
        <v>1239.2333333333333</v>
      </c>
      <c r="F66" s="62" t="s">
        <v>446</v>
      </c>
      <c r="G66" s="46"/>
      <c r="H66" s="107">
        <f>H65/3</f>
        <v>1118.5999999999999</v>
      </c>
      <c r="J66" s="62" t="s">
        <v>446</v>
      </c>
      <c r="K66" s="46"/>
      <c r="L66" s="107">
        <f>L65/3</f>
        <v>1008.9333333333333</v>
      </c>
      <c r="N66" s="62" t="s">
        <v>446</v>
      </c>
      <c r="O66" s="46"/>
      <c r="P66" s="107">
        <f>P65/3</f>
        <v>1008.9333333333333</v>
      </c>
      <c r="R66" s="62" t="s">
        <v>446</v>
      </c>
      <c r="S66" s="46"/>
      <c r="T66" s="107">
        <f>T65/3</f>
        <v>899.26666666666654</v>
      </c>
    </row>
    <row r="67" spans="2:20" x14ac:dyDescent="0.35">
      <c r="B67" s="57" t="s">
        <v>4</v>
      </c>
      <c r="C67" s="58">
        <f>$I$4</f>
        <v>0.5</v>
      </c>
      <c r="D67" s="47">
        <f>FLOOR((C67*$D$66),5)</f>
        <v>615</v>
      </c>
      <c r="F67" s="57" t="s">
        <v>4</v>
      </c>
      <c r="G67" s="58">
        <f>$I$4</f>
        <v>0.5</v>
      </c>
      <c r="H67" s="47">
        <f>FLOOR((G67*$H$66),5)</f>
        <v>555</v>
      </c>
      <c r="J67" s="57" t="s">
        <v>4</v>
      </c>
      <c r="K67" s="58">
        <f>$I$4</f>
        <v>0.5</v>
      </c>
      <c r="L67" s="47">
        <f>FLOOR((K67*$L$66),5)</f>
        <v>500</v>
      </c>
      <c r="N67" s="57" t="s">
        <v>4</v>
      </c>
      <c r="O67" s="58">
        <f>$I$4</f>
        <v>0.5</v>
      </c>
      <c r="P67" s="47">
        <f>FLOOR((O67*$P$66),5)</f>
        <v>500</v>
      </c>
      <c r="R67" s="57" t="s">
        <v>4</v>
      </c>
      <c r="S67" s="58">
        <f>$I$4</f>
        <v>0.5</v>
      </c>
      <c r="T67" s="47">
        <f>FLOOR((S67*$T$66),5)</f>
        <v>445</v>
      </c>
    </row>
    <row r="68" spans="2:20" x14ac:dyDescent="0.35">
      <c r="B68" s="54" t="s">
        <v>6</v>
      </c>
      <c r="C68" s="43">
        <f>$I$5</f>
        <v>0.3</v>
      </c>
      <c r="D68" s="47">
        <f t="shared" ref="D68:D74" si="5">FLOOR((C68*$D$66),5)</f>
        <v>370</v>
      </c>
      <c r="F68" s="54" t="s">
        <v>6</v>
      </c>
      <c r="G68" s="43">
        <f>$I$5</f>
        <v>0.3</v>
      </c>
      <c r="H68" s="47">
        <f t="shared" ref="H68:H74" si="6">FLOOR((G68*$H$66),5)</f>
        <v>335</v>
      </c>
      <c r="J68" s="54" t="s">
        <v>6</v>
      </c>
      <c r="K68" s="43">
        <f>$I$5</f>
        <v>0.3</v>
      </c>
      <c r="L68" s="47">
        <f t="shared" ref="L68:L74" si="7">FLOOR((K68*$L$66),5)</f>
        <v>300</v>
      </c>
      <c r="N68" s="54" t="s">
        <v>6</v>
      </c>
      <c r="O68" s="43">
        <f>$I$5</f>
        <v>0.3</v>
      </c>
      <c r="P68" s="47">
        <f t="shared" ref="P68:P74" si="8">FLOOR((O68*$P$66),5)</f>
        <v>300</v>
      </c>
      <c r="R68" s="54" t="s">
        <v>6</v>
      </c>
      <c r="S68" s="43">
        <f>$I$5</f>
        <v>0.3</v>
      </c>
      <c r="T68" s="47">
        <f t="shared" ref="T68:T74" si="9">FLOOR((S68*$T$66),5)</f>
        <v>265</v>
      </c>
    </row>
    <row r="69" spans="2:20" x14ac:dyDescent="0.35">
      <c r="B69" s="54" t="s">
        <v>8</v>
      </c>
      <c r="C69" s="43">
        <f>$I$6</f>
        <v>0.2</v>
      </c>
      <c r="D69" s="47">
        <f t="shared" si="5"/>
        <v>245</v>
      </c>
      <c r="F69" s="54" t="s">
        <v>8</v>
      </c>
      <c r="G69" s="43">
        <f>$I$6</f>
        <v>0.2</v>
      </c>
      <c r="H69" s="47">
        <f t="shared" si="6"/>
        <v>220</v>
      </c>
      <c r="J69" s="54" t="s">
        <v>8</v>
      </c>
      <c r="K69" s="43">
        <f>$I$6</f>
        <v>0.2</v>
      </c>
      <c r="L69" s="47">
        <f t="shared" si="7"/>
        <v>200</v>
      </c>
      <c r="N69" s="54" t="s">
        <v>8</v>
      </c>
      <c r="O69" s="43">
        <f>$I$6</f>
        <v>0.2</v>
      </c>
      <c r="P69" s="47">
        <f t="shared" si="8"/>
        <v>200</v>
      </c>
      <c r="R69" s="54" t="s">
        <v>8</v>
      </c>
      <c r="S69" s="43">
        <f>$I$6</f>
        <v>0.2</v>
      </c>
      <c r="T69" s="47">
        <f t="shared" si="9"/>
        <v>175</v>
      </c>
    </row>
    <row r="70" spans="2:20" x14ac:dyDescent="0.35">
      <c r="B70" s="54" t="s">
        <v>426</v>
      </c>
      <c r="C70" s="43">
        <f>$I$7</f>
        <v>0</v>
      </c>
      <c r="D70" s="47">
        <f t="shared" si="5"/>
        <v>0</v>
      </c>
      <c r="F70" s="54" t="s">
        <v>426</v>
      </c>
      <c r="G70" s="43">
        <f>$I$7</f>
        <v>0</v>
      </c>
      <c r="H70" s="47">
        <f t="shared" si="6"/>
        <v>0</v>
      </c>
      <c r="J70" s="54" t="s">
        <v>426</v>
      </c>
      <c r="K70" s="43">
        <f>$I$7</f>
        <v>0</v>
      </c>
      <c r="L70" s="47">
        <f t="shared" si="7"/>
        <v>0</v>
      </c>
      <c r="N70" s="54" t="s">
        <v>426</v>
      </c>
      <c r="O70" s="43">
        <f>$I$7</f>
        <v>0</v>
      </c>
      <c r="P70" s="47">
        <f t="shared" si="8"/>
        <v>0</v>
      </c>
      <c r="R70" s="54" t="s">
        <v>426</v>
      </c>
      <c r="S70" s="43">
        <f>$I$7</f>
        <v>0</v>
      </c>
      <c r="T70" s="47">
        <f t="shared" si="9"/>
        <v>0</v>
      </c>
    </row>
    <row r="71" spans="2:20" x14ac:dyDescent="0.35">
      <c r="B71" s="54" t="s">
        <v>431</v>
      </c>
      <c r="C71" s="43">
        <f>$I$8</f>
        <v>0</v>
      </c>
      <c r="D71" s="47">
        <f t="shared" si="5"/>
        <v>0</v>
      </c>
      <c r="F71" s="54" t="s">
        <v>431</v>
      </c>
      <c r="G71" s="43">
        <f>$I$8</f>
        <v>0</v>
      </c>
      <c r="H71" s="47">
        <f t="shared" si="6"/>
        <v>0</v>
      </c>
      <c r="J71" s="54" t="s">
        <v>431</v>
      </c>
      <c r="K71" s="43">
        <f>$I$8</f>
        <v>0</v>
      </c>
      <c r="L71" s="47">
        <f t="shared" si="7"/>
        <v>0</v>
      </c>
      <c r="N71" s="54" t="s">
        <v>431</v>
      </c>
      <c r="O71" s="43">
        <f>$I$8</f>
        <v>0</v>
      </c>
      <c r="P71" s="47">
        <f t="shared" si="8"/>
        <v>0</v>
      </c>
      <c r="R71" s="54" t="s">
        <v>431</v>
      </c>
      <c r="S71" s="43">
        <f>$I$8</f>
        <v>0</v>
      </c>
      <c r="T71" s="47">
        <f t="shared" si="9"/>
        <v>0</v>
      </c>
    </row>
    <row r="72" spans="2:20" x14ac:dyDescent="0.35">
      <c r="B72" s="54" t="s">
        <v>434</v>
      </c>
      <c r="C72" s="43">
        <f>$I$9</f>
        <v>0</v>
      </c>
      <c r="D72" s="47">
        <f t="shared" si="5"/>
        <v>0</v>
      </c>
      <c r="F72" s="54" t="s">
        <v>434</v>
      </c>
      <c r="G72" s="43">
        <f>$I$9</f>
        <v>0</v>
      </c>
      <c r="H72" s="47">
        <f t="shared" si="6"/>
        <v>0</v>
      </c>
      <c r="J72" s="54" t="s">
        <v>434</v>
      </c>
      <c r="K72" s="43">
        <f>$I$9</f>
        <v>0</v>
      </c>
      <c r="L72" s="47">
        <f t="shared" si="7"/>
        <v>0</v>
      </c>
      <c r="N72" s="54" t="s">
        <v>434</v>
      </c>
      <c r="O72" s="43">
        <f>$I$9</f>
        <v>0</v>
      </c>
      <c r="P72" s="47">
        <f t="shared" si="8"/>
        <v>0</v>
      </c>
      <c r="R72" s="54" t="s">
        <v>434</v>
      </c>
      <c r="S72" s="43">
        <f>$I$9</f>
        <v>0</v>
      </c>
      <c r="T72" s="47">
        <f t="shared" si="9"/>
        <v>0</v>
      </c>
    </row>
    <row r="73" spans="2:20" x14ac:dyDescent="0.35">
      <c r="B73" s="54" t="s">
        <v>435</v>
      </c>
      <c r="C73" s="43">
        <f>$I$10</f>
        <v>0</v>
      </c>
      <c r="D73" s="47">
        <f t="shared" si="5"/>
        <v>0</v>
      </c>
      <c r="F73" s="54" t="s">
        <v>435</v>
      </c>
      <c r="G73" s="43">
        <f>$I$10</f>
        <v>0</v>
      </c>
      <c r="H73" s="47">
        <f t="shared" si="6"/>
        <v>0</v>
      </c>
      <c r="J73" s="54" t="s">
        <v>435</v>
      </c>
      <c r="K73" s="43">
        <f>$I$10</f>
        <v>0</v>
      </c>
      <c r="L73" s="47">
        <f t="shared" si="7"/>
        <v>0</v>
      </c>
      <c r="N73" s="54" t="s">
        <v>435</v>
      </c>
      <c r="O73" s="43">
        <f>$I$10</f>
        <v>0</v>
      </c>
      <c r="P73" s="47">
        <f t="shared" si="8"/>
        <v>0</v>
      </c>
      <c r="R73" s="54" t="s">
        <v>435</v>
      </c>
      <c r="S73" s="43">
        <f>$I$10</f>
        <v>0</v>
      </c>
      <c r="T73" s="47">
        <f t="shared" si="9"/>
        <v>0</v>
      </c>
    </row>
    <row r="74" spans="2:20" x14ac:dyDescent="0.35">
      <c r="B74" s="60" t="s">
        <v>436</v>
      </c>
      <c r="C74" s="61">
        <f>$I$11</f>
        <v>0</v>
      </c>
      <c r="D74" s="47">
        <f t="shared" si="5"/>
        <v>0</v>
      </c>
      <c r="F74" s="60" t="s">
        <v>436</v>
      </c>
      <c r="G74" s="61">
        <f>$I$11</f>
        <v>0</v>
      </c>
      <c r="H74" s="47">
        <f t="shared" si="6"/>
        <v>0</v>
      </c>
      <c r="J74" s="60" t="s">
        <v>436</v>
      </c>
      <c r="K74" s="61">
        <f>$I$11</f>
        <v>0</v>
      </c>
      <c r="L74" s="47">
        <f t="shared" si="7"/>
        <v>0</v>
      </c>
      <c r="N74" s="60" t="s">
        <v>436</v>
      </c>
      <c r="O74" s="61">
        <f>$I$11</f>
        <v>0</v>
      </c>
      <c r="P74" s="47">
        <f t="shared" si="8"/>
        <v>0</v>
      </c>
      <c r="R74" s="60" t="s">
        <v>436</v>
      </c>
      <c r="S74" s="61">
        <f>$I$11</f>
        <v>0</v>
      </c>
      <c r="T74" s="47">
        <f t="shared" si="9"/>
        <v>0</v>
      </c>
    </row>
    <row r="75" spans="2:20" ht="15" thickBot="1" x14ac:dyDescent="0.4">
      <c r="B75" s="65" t="s">
        <v>429</v>
      </c>
      <c r="C75" s="66">
        <f>SUM(C67:C74)</f>
        <v>1</v>
      </c>
      <c r="D75" s="67">
        <f>SUM(D67:D74)</f>
        <v>1230</v>
      </c>
      <c r="F75" s="65" t="s">
        <v>429</v>
      </c>
      <c r="G75" s="66">
        <f>SUM(G67:G74)</f>
        <v>1</v>
      </c>
      <c r="H75" s="67">
        <f>SUM(H67:H74)</f>
        <v>1110</v>
      </c>
      <c r="J75" s="65" t="s">
        <v>429</v>
      </c>
      <c r="K75" s="66">
        <f>SUM(K67:K74)</f>
        <v>1</v>
      </c>
      <c r="L75" s="67">
        <f>SUM(L67:L74)</f>
        <v>1000</v>
      </c>
      <c r="N75" s="65" t="s">
        <v>429</v>
      </c>
      <c r="O75" s="66">
        <f>SUM(O67:O74)</f>
        <v>1</v>
      </c>
      <c r="P75" s="67">
        <f>SUM(P67:P74)</f>
        <v>1000</v>
      </c>
      <c r="R75" s="65" t="s">
        <v>429</v>
      </c>
      <c r="S75" s="66">
        <f>SUM(S67:S74)</f>
        <v>1</v>
      </c>
      <c r="T75" s="67">
        <f>SUM(T67:T74)</f>
        <v>885</v>
      </c>
    </row>
    <row r="76" spans="2:20" x14ac:dyDescent="0.35">
      <c r="B76" s="173" t="s">
        <v>444</v>
      </c>
      <c r="C76" s="174"/>
      <c r="D76" s="178">
        <f>D66-D75</f>
        <v>9.2333333333333485</v>
      </c>
      <c r="F76" s="173" t="s">
        <v>444</v>
      </c>
      <c r="G76" s="174"/>
      <c r="H76" s="178">
        <f>H66-H75</f>
        <v>8.5999999999999091</v>
      </c>
      <c r="J76" s="173" t="s">
        <v>444</v>
      </c>
      <c r="K76" s="174"/>
      <c r="L76" s="178">
        <f>L66-L75</f>
        <v>8.9333333333332803</v>
      </c>
      <c r="N76" s="173" t="s">
        <v>444</v>
      </c>
      <c r="O76" s="174"/>
      <c r="P76" s="178">
        <f>P66-P75</f>
        <v>8.9333333333332803</v>
      </c>
      <c r="R76" s="173" t="s">
        <v>444</v>
      </c>
      <c r="S76" s="174"/>
      <c r="T76" s="178">
        <f>T66-T75</f>
        <v>14.266666666666538</v>
      </c>
    </row>
    <row r="77" spans="2:20" x14ac:dyDescent="0.35">
      <c r="B77" s="321" t="s">
        <v>456</v>
      </c>
      <c r="C77" s="321"/>
      <c r="D77" s="179">
        <f>D62+D76</f>
        <v>13.53333333333353</v>
      </c>
      <c r="F77" s="321" t="s">
        <v>457</v>
      </c>
      <c r="G77" s="321"/>
      <c r="H77" s="179">
        <f>H62+H76</f>
        <v>15.799999999999727</v>
      </c>
      <c r="J77" s="321" t="s">
        <v>458</v>
      </c>
      <c r="K77" s="321"/>
      <c r="L77" s="179">
        <f>L62+L76</f>
        <v>15.133333333333098</v>
      </c>
      <c r="N77" s="321" t="s">
        <v>459</v>
      </c>
      <c r="O77" s="321"/>
      <c r="P77" s="179">
        <f>P62+P76</f>
        <v>15.133333333333098</v>
      </c>
      <c r="R77" s="321" t="s">
        <v>460</v>
      </c>
      <c r="S77" s="321"/>
      <c r="T77" s="179">
        <f>T62+T76</f>
        <v>19.466666666666356</v>
      </c>
    </row>
  </sheetData>
  <sheetProtection sheet="1" objects="1" scenarios="1"/>
  <protectedRanges>
    <protectedRange sqref="G4:G8 I4:I11 K4:K7 O3:O6" name="Range1"/>
  </protectedRanges>
  <mergeCells count="77">
    <mergeCell ref="R31:T31"/>
    <mergeCell ref="R49:S49"/>
    <mergeCell ref="R50:S50"/>
    <mergeCell ref="R52:S52"/>
    <mergeCell ref="R55:T55"/>
    <mergeCell ref="J56:K56"/>
    <mergeCell ref="R16:S16"/>
    <mergeCell ref="R17:S17"/>
    <mergeCell ref="R19:S19"/>
    <mergeCell ref="R22:T22"/>
    <mergeCell ref="R23:S23"/>
    <mergeCell ref="R56:S56"/>
    <mergeCell ref="R44:S44"/>
    <mergeCell ref="N49:O49"/>
    <mergeCell ref="N50:O50"/>
    <mergeCell ref="N52:O52"/>
    <mergeCell ref="N55:P55"/>
    <mergeCell ref="N56:O56"/>
    <mergeCell ref="J49:K49"/>
    <mergeCell ref="J50:K50"/>
    <mergeCell ref="J52:K52"/>
    <mergeCell ref="B64:D64"/>
    <mergeCell ref="F49:G49"/>
    <mergeCell ref="F50:G50"/>
    <mergeCell ref="F52:G52"/>
    <mergeCell ref="F55:H55"/>
    <mergeCell ref="F56:G56"/>
    <mergeCell ref="F64:H64"/>
    <mergeCell ref="B49:C49"/>
    <mergeCell ref="B50:C50"/>
    <mergeCell ref="B52:C52"/>
    <mergeCell ref="B55:D55"/>
    <mergeCell ref="B56:C56"/>
    <mergeCell ref="F2:K2"/>
    <mergeCell ref="B3:C3"/>
    <mergeCell ref="B4:C4"/>
    <mergeCell ref="B5:C5"/>
    <mergeCell ref="B6:C6"/>
    <mergeCell ref="B2:D2"/>
    <mergeCell ref="B77:C77"/>
    <mergeCell ref="J31:L31"/>
    <mergeCell ref="J19:K19"/>
    <mergeCell ref="N16:O16"/>
    <mergeCell ref="N17:O17"/>
    <mergeCell ref="N22:P22"/>
    <mergeCell ref="N23:O23"/>
    <mergeCell ref="N31:P31"/>
    <mergeCell ref="N19:O19"/>
    <mergeCell ref="J16:K16"/>
    <mergeCell ref="J17:K17"/>
    <mergeCell ref="J22:L22"/>
    <mergeCell ref="J23:K23"/>
    <mergeCell ref="B31:D31"/>
    <mergeCell ref="F16:G16"/>
    <mergeCell ref="F17:G17"/>
    <mergeCell ref="R77:S77"/>
    <mergeCell ref="N77:O77"/>
    <mergeCell ref="J77:K77"/>
    <mergeCell ref="F77:G77"/>
    <mergeCell ref="J64:L64"/>
    <mergeCell ref="N64:P64"/>
    <mergeCell ref="R64:T64"/>
    <mergeCell ref="J55:L55"/>
    <mergeCell ref="N8:O8"/>
    <mergeCell ref="B44:C44"/>
    <mergeCell ref="F44:G44"/>
    <mergeCell ref="J44:K44"/>
    <mergeCell ref="N44:O44"/>
    <mergeCell ref="F22:H22"/>
    <mergeCell ref="F23:G23"/>
    <mergeCell ref="F31:H31"/>
    <mergeCell ref="B19:C19"/>
    <mergeCell ref="F19:G19"/>
    <mergeCell ref="B23:C23"/>
    <mergeCell ref="B22:D22"/>
    <mergeCell ref="B16:C16"/>
    <mergeCell ref="B17:C17"/>
  </mergeCells>
  <pageMargins left="0.25" right="0.25" top="0.75" bottom="0.75" header="0.3" footer="0.3"/>
  <pageSetup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5E20-BD86-47B2-B0A8-A315AB45DB33}">
  <dimension ref="A3:XFA104"/>
  <sheetViews>
    <sheetView workbookViewId="0">
      <selection activeCell="P13" sqref="P13"/>
    </sheetView>
  </sheetViews>
  <sheetFormatPr defaultRowHeight="14.5" x14ac:dyDescent="0.35"/>
  <cols>
    <col min="3" max="3" width="11.26953125" bestFit="1" customWidth="1"/>
    <col min="4" max="4" width="8.81640625" bestFit="1" customWidth="1"/>
    <col min="13" max="13" width="10.81640625" customWidth="1"/>
  </cols>
  <sheetData>
    <row r="3" spans="1:1021 1025:2045 2049:3069 3073:4093 4097:5117 5121:6141 6145:7165 7169:8189 8193:9213 9217:10237 10241:11261 11265:12285 12289:13309 13313:14333 14337:15357 15361:16381" ht="21" x14ac:dyDescent="0.5">
      <c r="A3" s="265" t="s">
        <v>10</v>
      </c>
      <c r="B3" s="334"/>
      <c r="C3" s="266"/>
      <c r="D3" s="266"/>
      <c r="E3" s="340" t="s">
        <v>461</v>
      </c>
      <c r="F3" s="341"/>
      <c r="G3" s="340" t="s">
        <v>462</v>
      </c>
      <c r="H3" s="341"/>
      <c r="I3" s="340" t="s">
        <v>463</v>
      </c>
      <c r="J3" s="341"/>
    </row>
    <row r="4" spans="1:1021 1025:2045 2049:3069 3073:4093 4097:5117 5121:6141 6145:7165 7169:8189 8193:9213 9217:10237 10241:11261 11265:12285 12289:13309 13313:14333 14337:15357 15361:16381" s="1" customFormat="1" x14ac:dyDescent="0.35">
      <c r="A4" s="27" t="s">
        <v>316</v>
      </c>
      <c r="B4" s="27" t="s">
        <v>11</v>
      </c>
      <c r="C4" s="28" t="s">
        <v>2</v>
      </c>
      <c r="D4" s="28" t="s">
        <v>13</v>
      </c>
      <c r="E4" s="27" t="s">
        <v>464</v>
      </c>
      <c r="F4" s="29" t="s">
        <v>465</v>
      </c>
      <c r="G4" s="28" t="s">
        <v>464</v>
      </c>
      <c r="H4" s="28" t="s">
        <v>465</v>
      </c>
      <c r="I4" s="27" t="s">
        <v>464</v>
      </c>
      <c r="J4" s="29" t="s">
        <v>465</v>
      </c>
      <c r="M4"/>
      <c r="Q4"/>
      <c r="U4"/>
      <c r="Y4"/>
      <c r="AC4"/>
      <c r="AG4"/>
      <c r="AK4"/>
      <c r="AO4"/>
      <c r="AS4"/>
      <c r="AW4"/>
      <c r="BA4"/>
      <c r="BE4"/>
      <c r="BI4"/>
      <c r="BM4"/>
      <c r="BQ4"/>
      <c r="BU4"/>
      <c r="BY4"/>
      <c r="CC4"/>
      <c r="CG4"/>
      <c r="CK4"/>
      <c r="CO4"/>
      <c r="CS4"/>
      <c r="CW4"/>
      <c r="DA4"/>
      <c r="DE4"/>
      <c r="DI4"/>
      <c r="DM4"/>
      <c r="DQ4"/>
      <c r="DU4"/>
      <c r="DY4"/>
      <c r="EC4"/>
      <c r="EG4"/>
      <c r="EK4"/>
      <c r="EO4"/>
      <c r="ES4"/>
      <c r="EW4"/>
      <c r="FA4"/>
      <c r="FE4"/>
      <c r="FI4"/>
      <c r="FM4"/>
      <c r="FQ4"/>
      <c r="FU4"/>
      <c r="FY4"/>
      <c r="GC4"/>
      <c r="GG4"/>
      <c r="GK4"/>
      <c r="GO4"/>
      <c r="GS4"/>
      <c r="GW4"/>
      <c r="HA4"/>
      <c r="HE4"/>
      <c r="HI4"/>
      <c r="HM4"/>
      <c r="HQ4"/>
      <c r="HU4"/>
      <c r="HY4"/>
      <c r="IC4"/>
      <c r="IG4"/>
      <c r="IK4"/>
      <c r="IO4"/>
      <c r="IS4"/>
      <c r="IW4"/>
      <c r="JA4"/>
      <c r="JE4"/>
      <c r="JI4"/>
      <c r="JM4"/>
      <c r="JQ4"/>
      <c r="JU4"/>
      <c r="JY4"/>
      <c r="KC4"/>
      <c r="KG4"/>
      <c r="KK4"/>
      <c r="KO4"/>
      <c r="KS4"/>
      <c r="KW4"/>
      <c r="LA4"/>
      <c r="LE4"/>
      <c r="LI4"/>
      <c r="LM4"/>
      <c r="LQ4"/>
      <c r="LU4"/>
      <c r="LY4"/>
      <c r="MC4"/>
      <c r="MG4"/>
      <c r="MK4"/>
      <c r="MO4"/>
      <c r="MS4"/>
      <c r="MW4"/>
      <c r="NA4"/>
      <c r="NE4"/>
      <c r="NI4"/>
      <c r="NM4"/>
      <c r="NQ4"/>
      <c r="NU4"/>
      <c r="NY4"/>
      <c r="OC4"/>
      <c r="OG4"/>
      <c r="OK4"/>
      <c r="OO4"/>
      <c r="OS4"/>
      <c r="OW4"/>
      <c r="PA4"/>
      <c r="PE4"/>
      <c r="PI4"/>
      <c r="PM4"/>
      <c r="PQ4"/>
      <c r="PU4"/>
      <c r="PY4"/>
      <c r="QC4"/>
      <c r="QG4"/>
      <c r="QK4"/>
      <c r="QO4"/>
      <c r="QS4"/>
      <c r="QW4"/>
      <c r="RA4"/>
      <c r="RE4"/>
      <c r="RI4"/>
      <c r="RM4"/>
      <c r="RQ4"/>
      <c r="RU4"/>
      <c r="RY4"/>
      <c r="SC4"/>
      <c r="SG4"/>
      <c r="SK4"/>
      <c r="SO4"/>
      <c r="SS4"/>
      <c r="SW4"/>
      <c r="TA4"/>
      <c r="TE4"/>
      <c r="TI4"/>
      <c r="TM4"/>
      <c r="TQ4"/>
      <c r="TU4"/>
      <c r="TY4"/>
      <c r="UC4"/>
      <c r="UG4"/>
      <c r="UK4"/>
      <c r="UO4"/>
      <c r="US4"/>
      <c r="UW4"/>
      <c r="VA4"/>
      <c r="VE4"/>
      <c r="VI4"/>
      <c r="VM4"/>
      <c r="VQ4"/>
      <c r="VU4"/>
      <c r="VY4"/>
      <c r="WC4"/>
      <c r="WG4"/>
      <c r="WK4"/>
      <c r="WO4"/>
      <c r="WS4"/>
      <c r="WW4"/>
      <c r="XA4"/>
      <c r="XE4"/>
      <c r="XI4"/>
      <c r="XM4"/>
      <c r="XQ4"/>
      <c r="XU4"/>
      <c r="XY4"/>
      <c r="YC4"/>
      <c r="YG4"/>
      <c r="YK4"/>
      <c r="YO4"/>
      <c r="YS4"/>
      <c r="YW4"/>
      <c r="ZA4"/>
      <c r="ZE4"/>
      <c r="ZI4"/>
      <c r="ZM4"/>
      <c r="ZQ4"/>
      <c r="ZU4"/>
      <c r="ZY4"/>
      <c r="AAC4"/>
      <c r="AAG4"/>
      <c r="AAK4"/>
      <c r="AAO4"/>
      <c r="AAS4"/>
      <c r="AAW4"/>
      <c r="ABA4"/>
      <c r="ABE4"/>
      <c r="ABI4"/>
      <c r="ABM4"/>
      <c r="ABQ4"/>
      <c r="ABU4"/>
      <c r="ABY4"/>
      <c r="ACC4"/>
      <c r="ACG4"/>
      <c r="ACK4"/>
      <c r="ACO4"/>
      <c r="ACS4"/>
      <c r="ACW4"/>
      <c r="ADA4"/>
      <c r="ADE4"/>
      <c r="ADI4"/>
      <c r="ADM4"/>
      <c r="ADQ4"/>
      <c r="ADU4"/>
      <c r="ADY4"/>
      <c r="AEC4"/>
      <c r="AEG4"/>
      <c r="AEK4"/>
      <c r="AEO4"/>
      <c r="AES4"/>
      <c r="AEW4"/>
      <c r="AFA4"/>
      <c r="AFE4"/>
      <c r="AFI4"/>
      <c r="AFM4"/>
      <c r="AFQ4"/>
      <c r="AFU4"/>
      <c r="AFY4"/>
      <c r="AGC4"/>
      <c r="AGG4"/>
      <c r="AGK4"/>
      <c r="AGO4"/>
      <c r="AGS4"/>
      <c r="AGW4"/>
      <c r="AHA4"/>
      <c r="AHE4"/>
      <c r="AHI4"/>
      <c r="AHM4"/>
      <c r="AHQ4"/>
      <c r="AHU4"/>
      <c r="AHY4"/>
      <c r="AIC4"/>
      <c r="AIG4"/>
      <c r="AIK4"/>
      <c r="AIO4"/>
      <c r="AIS4"/>
      <c r="AIW4"/>
      <c r="AJA4"/>
      <c r="AJE4"/>
      <c r="AJI4"/>
      <c r="AJM4"/>
      <c r="AJQ4"/>
      <c r="AJU4"/>
      <c r="AJY4"/>
      <c r="AKC4"/>
      <c r="AKG4"/>
      <c r="AKK4"/>
      <c r="AKO4"/>
      <c r="AKS4"/>
      <c r="AKW4"/>
      <c r="ALA4"/>
      <c r="ALE4"/>
      <c r="ALI4"/>
      <c r="ALM4"/>
      <c r="ALQ4"/>
      <c r="ALU4"/>
      <c r="ALY4"/>
      <c r="AMC4"/>
      <c r="AMG4"/>
      <c r="AMK4"/>
      <c r="AMO4"/>
      <c r="AMS4"/>
      <c r="AMW4"/>
      <c r="ANA4"/>
      <c r="ANE4"/>
      <c r="ANI4"/>
      <c r="ANM4"/>
      <c r="ANQ4"/>
      <c r="ANU4"/>
      <c r="ANY4"/>
      <c r="AOC4"/>
      <c r="AOG4"/>
      <c r="AOK4"/>
      <c r="AOO4"/>
      <c r="AOS4"/>
      <c r="AOW4"/>
      <c r="APA4"/>
      <c r="APE4"/>
      <c r="API4"/>
      <c r="APM4"/>
      <c r="APQ4"/>
      <c r="APU4"/>
      <c r="APY4"/>
      <c r="AQC4"/>
      <c r="AQG4"/>
      <c r="AQK4"/>
      <c r="AQO4"/>
      <c r="AQS4"/>
      <c r="AQW4"/>
      <c r="ARA4"/>
      <c r="ARE4"/>
      <c r="ARI4"/>
      <c r="ARM4"/>
      <c r="ARQ4"/>
      <c r="ARU4"/>
      <c r="ARY4"/>
      <c r="ASC4"/>
      <c r="ASG4"/>
      <c r="ASK4"/>
      <c r="ASO4"/>
      <c r="ASS4"/>
      <c r="ASW4"/>
      <c r="ATA4"/>
      <c r="ATE4"/>
      <c r="ATI4"/>
      <c r="ATM4"/>
      <c r="ATQ4"/>
      <c r="ATU4"/>
      <c r="ATY4"/>
      <c r="AUC4"/>
      <c r="AUG4"/>
      <c r="AUK4"/>
      <c r="AUO4"/>
      <c r="AUS4"/>
      <c r="AUW4"/>
      <c r="AVA4"/>
      <c r="AVE4"/>
      <c r="AVI4"/>
      <c r="AVM4"/>
      <c r="AVQ4"/>
      <c r="AVU4"/>
      <c r="AVY4"/>
      <c r="AWC4"/>
      <c r="AWG4"/>
      <c r="AWK4"/>
      <c r="AWO4"/>
      <c r="AWS4"/>
      <c r="AWW4"/>
      <c r="AXA4"/>
      <c r="AXE4"/>
      <c r="AXI4"/>
      <c r="AXM4"/>
      <c r="AXQ4"/>
      <c r="AXU4"/>
      <c r="AXY4"/>
      <c r="AYC4"/>
      <c r="AYG4"/>
      <c r="AYK4"/>
      <c r="AYO4"/>
      <c r="AYS4"/>
      <c r="AYW4"/>
      <c r="AZA4"/>
      <c r="AZE4"/>
      <c r="AZI4"/>
      <c r="AZM4"/>
      <c r="AZQ4"/>
      <c r="AZU4"/>
      <c r="AZY4"/>
      <c r="BAC4"/>
      <c r="BAG4"/>
      <c r="BAK4"/>
      <c r="BAO4"/>
      <c r="BAS4"/>
      <c r="BAW4"/>
      <c r="BBA4"/>
      <c r="BBE4"/>
      <c r="BBI4"/>
      <c r="BBM4"/>
      <c r="BBQ4"/>
      <c r="BBU4"/>
      <c r="BBY4"/>
      <c r="BCC4"/>
      <c r="BCG4"/>
      <c r="BCK4"/>
      <c r="BCO4"/>
      <c r="BCS4"/>
      <c r="BCW4"/>
      <c r="BDA4"/>
      <c r="BDE4"/>
      <c r="BDI4"/>
      <c r="BDM4"/>
      <c r="BDQ4"/>
      <c r="BDU4"/>
      <c r="BDY4"/>
      <c r="BEC4"/>
      <c r="BEG4"/>
      <c r="BEK4"/>
      <c r="BEO4"/>
      <c r="BES4"/>
      <c r="BEW4"/>
      <c r="BFA4"/>
      <c r="BFE4"/>
      <c r="BFI4"/>
      <c r="BFM4"/>
      <c r="BFQ4"/>
      <c r="BFU4"/>
      <c r="BFY4"/>
      <c r="BGC4"/>
      <c r="BGG4"/>
      <c r="BGK4"/>
      <c r="BGO4"/>
      <c r="BGS4"/>
      <c r="BGW4"/>
      <c r="BHA4"/>
      <c r="BHE4"/>
      <c r="BHI4"/>
      <c r="BHM4"/>
      <c r="BHQ4"/>
      <c r="BHU4"/>
      <c r="BHY4"/>
      <c r="BIC4"/>
      <c r="BIG4"/>
      <c r="BIK4"/>
      <c r="BIO4"/>
      <c r="BIS4"/>
      <c r="BIW4"/>
      <c r="BJA4"/>
      <c r="BJE4"/>
      <c r="BJI4"/>
      <c r="BJM4"/>
      <c r="BJQ4"/>
      <c r="BJU4"/>
      <c r="BJY4"/>
      <c r="BKC4"/>
      <c r="BKG4"/>
      <c r="BKK4"/>
      <c r="BKO4"/>
      <c r="BKS4"/>
      <c r="BKW4"/>
      <c r="BLA4"/>
      <c r="BLE4"/>
      <c r="BLI4"/>
      <c r="BLM4"/>
      <c r="BLQ4"/>
      <c r="BLU4"/>
      <c r="BLY4"/>
      <c r="BMC4"/>
      <c r="BMG4"/>
      <c r="BMK4"/>
      <c r="BMO4"/>
      <c r="BMS4"/>
      <c r="BMW4"/>
      <c r="BNA4"/>
      <c r="BNE4"/>
      <c r="BNI4"/>
      <c r="BNM4"/>
      <c r="BNQ4"/>
      <c r="BNU4"/>
      <c r="BNY4"/>
      <c r="BOC4"/>
      <c r="BOG4"/>
      <c r="BOK4"/>
      <c r="BOO4"/>
      <c r="BOS4"/>
      <c r="BOW4"/>
      <c r="BPA4"/>
      <c r="BPE4"/>
      <c r="BPI4"/>
      <c r="BPM4"/>
      <c r="BPQ4"/>
      <c r="BPU4"/>
      <c r="BPY4"/>
      <c r="BQC4"/>
      <c r="BQG4"/>
      <c r="BQK4"/>
      <c r="BQO4"/>
      <c r="BQS4"/>
      <c r="BQW4"/>
      <c r="BRA4"/>
      <c r="BRE4"/>
      <c r="BRI4"/>
      <c r="BRM4"/>
      <c r="BRQ4"/>
      <c r="BRU4"/>
      <c r="BRY4"/>
      <c r="BSC4"/>
      <c r="BSG4"/>
      <c r="BSK4"/>
      <c r="BSO4"/>
      <c r="BSS4"/>
      <c r="BSW4"/>
      <c r="BTA4"/>
      <c r="BTE4"/>
      <c r="BTI4"/>
      <c r="BTM4"/>
      <c r="BTQ4"/>
      <c r="BTU4"/>
      <c r="BTY4"/>
      <c r="BUC4"/>
      <c r="BUG4"/>
      <c r="BUK4"/>
      <c r="BUO4"/>
      <c r="BUS4"/>
      <c r="BUW4"/>
      <c r="BVA4"/>
      <c r="BVE4"/>
      <c r="BVI4"/>
      <c r="BVM4"/>
      <c r="BVQ4"/>
      <c r="BVU4"/>
      <c r="BVY4"/>
      <c r="BWC4"/>
      <c r="BWG4"/>
      <c r="BWK4"/>
      <c r="BWO4"/>
      <c r="BWS4"/>
      <c r="BWW4"/>
      <c r="BXA4"/>
      <c r="BXE4"/>
      <c r="BXI4"/>
      <c r="BXM4"/>
      <c r="BXQ4"/>
      <c r="BXU4"/>
      <c r="BXY4"/>
      <c r="BYC4"/>
      <c r="BYG4"/>
      <c r="BYK4"/>
      <c r="BYO4"/>
      <c r="BYS4"/>
      <c r="BYW4"/>
      <c r="BZA4"/>
      <c r="BZE4"/>
      <c r="BZI4"/>
      <c r="BZM4"/>
      <c r="BZQ4"/>
      <c r="BZU4"/>
      <c r="BZY4"/>
      <c r="CAC4"/>
      <c r="CAG4"/>
      <c r="CAK4"/>
      <c r="CAO4"/>
      <c r="CAS4"/>
      <c r="CAW4"/>
      <c r="CBA4"/>
      <c r="CBE4"/>
      <c r="CBI4"/>
      <c r="CBM4"/>
      <c r="CBQ4"/>
      <c r="CBU4"/>
      <c r="CBY4"/>
      <c r="CCC4"/>
      <c r="CCG4"/>
      <c r="CCK4"/>
      <c r="CCO4"/>
      <c r="CCS4"/>
      <c r="CCW4"/>
      <c r="CDA4"/>
      <c r="CDE4"/>
      <c r="CDI4"/>
      <c r="CDM4"/>
      <c r="CDQ4"/>
      <c r="CDU4"/>
      <c r="CDY4"/>
      <c r="CEC4"/>
      <c r="CEG4"/>
      <c r="CEK4"/>
      <c r="CEO4"/>
      <c r="CES4"/>
      <c r="CEW4"/>
      <c r="CFA4"/>
      <c r="CFE4"/>
      <c r="CFI4"/>
      <c r="CFM4"/>
      <c r="CFQ4"/>
      <c r="CFU4"/>
      <c r="CFY4"/>
      <c r="CGC4"/>
      <c r="CGG4"/>
      <c r="CGK4"/>
      <c r="CGO4"/>
      <c r="CGS4"/>
      <c r="CGW4"/>
      <c r="CHA4"/>
      <c r="CHE4"/>
      <c r="CHI4"/>
      <c r="CHM4"/>
      <c r="CHQ4"/>
      <c r="CHU4"/>
      <c r="CHY4"/>
      <c r="CIC4"/>
      <c r="CIG4"/>
      <c r="CIK4"/>
      <c r="CIO4"/>
      <c r="CIS4"/>
      <c r="CIW4"/>
      <c r="CJA4"/>
      <c r="CJE4"/>
      <c r="CJI4"/>
      <c r="CJM4"/>
      <c r="CJQ4"/>
      <c r="CJU4"/>
      <c r="CJY4"/>
      <c r="CKC4"/>
      <c r="CKG4"/>
      <c r="CKK4"/>
      <c r="CKO4"/>
      <c r="CKS4"/>
      <c r="CKW4"/>
      <c r="CLA4"/>
      <c r="CLE4"/>
      <c r="CLI4"/>
      <c r="CLM4"/>
      <c r="CLQ4"/>
      <c r="CLU4"/>
      <c r="CLY4"/>
      <c r="CMC4"/>
      <c r="CMG4"/>
      <c r="CMK4"/>
      <c r="CMO4"/>
      <c r="CMS4"/>
      <c r="CMW4"/>
      <c r="CNA4"/>
      <c r="CNE4"/>
      <c r="CNI4"/>
      <c r="CNM4"/>
      <c r="CNQ4"/>
      <c r="CNU4"/>
      <c r="CNY4"/>
      <c r="COC4"/>
      <c r="COG4"/>
      <c r="COK4"/>
      <c r="COO4"/>
      <c r="COS4"/>
      <c r="COW4"/>
      <c r="CPA4"/>
      <c r="CPE4"/>
      <c r="CPI4"/>
      <c r="CPM4"/>
      <c r="CPQ4"/>
      <c r="CPU4"/>
      <c r="CPY4"/>
      <c r="CQC4"/>
      <c r="CQG4"/>
      <c r="CQK4"/>
      <c r="CQO4"/>
      <c r="CQS4"/>
      <c r="CQW4"/>
      <c r="CRA4"/>
      <c r="CRE4"/>
      <c r="CRI4"/>
      <c r="CRM4"/>
      <c r="CRQ4"/>
      <c r="CRU4"/>
      <c r="CRY4"/>
      <c r="CSC4"/>
      <c r="CSG4"/>
      <c r="CSK4"/>
      <c r="CSO4"/>
      <c r="CSS4"/>
      <c r="CSW4"/>
      <c r="CTA4"/>
      <c r="CTE4"/>
      <c r="CTI4"/>
      <c r="CTM4"/>
      <c r="CTQ4"/>
      <c r="CTU4"/>
      <c r="CTY4"/>
      <c r="CUC4"/>
      <c r="CUG4"/>
      <c r="CUK4"/>
      <c r="CUO4"/>
      <c r="CUS4"/>
      <c r="CUW4"/>
      <c r="CVA4"/>
      <c r="CVE4"/>
      <c r="CVI4"/>
      <c r="CVM4"/>
      <c r="CVQ4"/>
      <c r="CVU4"/>
      <c r="CVY4"/>
      <c r="CWC4"/>
      <c r="CWG4"/>
      <c r="CWK4"/>
      <c r="CWO4"/>
      <c r="CWS4"/>
      <c r="CWW4"/>
      <c r="CXA4"/>
      <c r="CXE4"/>
      <c r="CXI4"/>
      <c r="CXM4"/>
      <c r="CXQ4"/>
      <c r="CXU4"/>
      <c r="CXY4"/>
      <c r="CYC4"/>
      <c r="CYG4"/>
      <c r="CYK4"/>
      <c r="CYO4"/>
      <c r="CYS4"/>
      <c r="CYW4"/>
      <c r="CZA4"/>
      <c r="CZE4"/>
      <c r="CZI4"/>
      <c r="CZM4"/>
      <c r="CZQ4"/>
      <c r="CZU4"/>
      <c r="CZY4"/>
      <c r="DAC4"/>
      <c r="DAG4"/>
      <c r="DAK4"/>
      <c r="DAO4"/>
      <c r="DAS4"/>
      <c r="DAW4"/>
      <c r="DBA4"/>
      <c r="DBE4"/>
      <c r="DBI4"/>
      <c r="DBM4"/>
      <c r="DBQ4"/>
      <c r="DBU4"/>
      <c r="DBY4"/>
      <c r="DCC4"/>
      <c r="DCG4"/>
      <c r="DCK4"/>
      <c r="DCO4"/>
      <c r="DCS4"/>
      <c r="DCW4"/>
      <c r="DDA4"/>
      <c r="DDE4"/>
      <c r="DDI4"/>
      <c r="DDM4"/>
      <c r="DDQ4"/>
      <c r="DDU4"/>
      <c r="DDY4"/>
      <c r="DEC4"/>
      <c r="DEG4"/>
      <c r="DEK4"/>
      <c r="DEO4"/>
      <c r="DES4"/>
      <c r="DEW4"/>
      <c r="DFA4"/>
      <c r="DFE4"/>
      <c r="DFI4"/>
      <c r="DFM4"/>
      <c r="DFQ4"/>
      <c r="DFU4"/>
      <c r="DFY4"/>
      <c r="DGC4"/>
      <c r="DGG4"/>
      <c r="DGK4"/>
      <c r="DGO4"/>
      <c r="DGS4"/>
      <c r="DGW4"/>
      <c r="DHA4"/>
      <c r="DHE4"/>
      <c r="DHI4"/>
      <c r="DHM4"/>
      <c r="DHQ4"/>
      <c r="DHU4"/>
      <c r="DHY4"/>
      <c r="DIC4"/>
      <c r="DIG4"/>
      <c r="DIK4"/>
      <c r="DIO4"/>
      <c r="DIS4"/>
      <c r="DIW4"/>
      <c r="DJA4"/>
      <c r="DJE4"/>
      <c r="DJI4"/>
      <c r="DJM4"/>
      <c r="DJQ4"/>
      <c r="DJU4"/>
      <c r="DJY4"/>
      <c r="DKC4"/>
      <c r="DKG4"/>
      <c r="DKK4"/>
      <c r="DKO4"/>
      <c r="DKS4"/>
      <c r="DKW4"/>
      <c r="DLA4"/>
      <c r="DLE4"/>
      <c r="DLI4"/>
      <c r="DLM4"/>
      <c r="DLQ4"/>
      <c r="DLU4"/>
      <c r="DLY4"/>
      <c r="DMC4"/>
      <c r="DMG4"/>
      <c r="DMK4"/>
      <c r="DMO4"/>
      <c r="DMS4"/>
      <c r="DMW4"/>
      <c r="DNA4"/>
      <c r="DNE4"/>
      <c r="DNI4"/>
      <c r="DNM4"/>
      <c r="DNQ4"/>
      <c r="DNU4"/>
      <c r="DNY4"/>
      <c r="DOC4"/>
      <c r="DOG4"/>
      <c r="DOK4"/>
      <c r="DOO4"/>
      <c r="DOS4"/>
      <c r="DOW4"/>
      <c r="DPA4"/>
      <c r="DPE4"/>
      <c r="DPI4"/>
      <c r="DPM4"/>
      <c r="DPQ4"/>
      <c r="DPU4"/>
      <c r="DPY4"/>
      <c r="DQC4"/>
      <c r="DQG4"/>
      <c r="DQK4"/>
      <c r="DQO4"/>
      <c r="DQS4"/>
      <c r="DQW4"/>
      <c r="DRA4"/>
      <c r="DRE4"/>
      <c r="DRI4"/>
      <c r="DRM4"/>
      <c r="DRQ4"/>
      <c r="DRU4"/>
      <c r="DRY4"/>
      <c r="DSC4"/>
      <c r="DSG4"/>
      <c r="DSK4"/>
      <c r="DSO4"/>
      <c r="DSS4"/>
      <c r="DSW4"/>
      <c r="DTA4"/>
      <c r="DTE4"/>
      <c r="DTI4"/>
      <c r="DTM4"/>
      <c r="DTQ4"/>
      <c r="DTU4"/>
      <c r="DTY4"/>
      <c r="DUC4"/>
      <c r="DUG4"/>
      <c r="DUK4"/>
      <c r="DUO4"/>
      <c r="DUS4"/>
      <c r="DUW4"/>
      <c r="DVA4"/>
      <c r="DVE4"/>
      <c r="DVI4"/>
      <c r="DVM4"/>
      <c r="DVQ4"/>
      <c r="DVU4"/>
      <c r="DVY4"/>
      <c r="DWC4"/>
      <c r="DWG4"/>
      <c r="DWK4"/>
      <c r="DWO4"/>
      <c r="DWS4"/>
      <c r="DWW4"/>
      <c r="DXA4"/>
      <c r="DXE4"/>
      <c r="DXI4"/>
      <c r="DXM4"/>
      <c r="DXQ4"/>
      <c r="DXU4"/>
      <c r="DXY4"/>
      <c r="DYC4"/>
      <c r="DYG4"/>
      <c r="DYK4"/>
      <c r="DYO4"/>
      <c r="DYS4"/>
      <c r="DYW4"/>
      <c r="DZA4"/>
      <c r="DZE4"/>
      <c r="DZI4"/>
      <c r="DZM4"/>
      <c r="DZQ4"/>
      <c r="DZU4"/>
      <c r="DZY4"/>
      <c r="EAC4"/>
      <c r="EAG4"/>
      <c r="EAK4"/>
      <c r="EAO4"/>
      <c r="EAS4"/>
      <c r="EAW4"/>
      <c r="EBA4"/>
      <c r="EBE4"/>
      <c r="EBI4"/>
      <c r="EBM4"/>
      <c r="EBQ4"/>
      <c r="EBU4"/>
      <c r="EBY4"/>
      <c r="ECC4"/>
      <c r="ECG4"/>
      <c r="ECK4"/>
      <c r="ECO4"/>
      <c r="ECS4"/>
      <c r="ECW4"/>
      <c r="EDA4"/>
      <c r="EDE4"/>
      <c r="EDI4"/>
      <c r="EDM4"/>
      <c r="EDQ4"/>
      <c r="EDU4"/>
      <c r="EDY4"/>
      <c r="EEC4"/>
      <c r="EEG4"/>
      <c r="EEK4"/>
      <c r="EEO4"/>
      <c r="EES4"/>
      <c r="EEW4"/>
      <c r="EFA4"/>
      <c r="EFE4"/>
      <c r="EFI4"/>
      <c r="EFM4"/>
      <c r="EFQ4"/>
      <c r="EFU4"/>
      <c r="EFY4"/>
      <c r="EGC4"/>
      <c r="EGG4"/>
      <c r="EGK4"/>
      <c r="EGO4"/>
      <c r="EGS4"/>
      <c r="EGW4"/>
      <c r="EHA4"/>
      <c r="EHE4"/>
      <c r="EHI4"/>
      <c r="EHM4"/>
      <c r="EHQ4"/>
      <c r="EHU4"/>
      <c r="EHY4"/>
      <c r="EIC4"/>
      <c r="EIG4"/>
      <c r="EIK4"/>
      <c r="EIO4"/>
      <c r="EIS4"/>
      <c r="EIW4"/>
      <c r="EJA4"/>
      <c r="EJE4"/>
      <c r="EJI4"/>
      <c r="EJM4"/>
      <c r="EJQ4"/>
      <c r="EJU4"/>
      <c r="EJY4"/>
      <c r="EKC4"/>
      <c r="EKG4"/>
      <c r="EKK4"/>
      <c r="EKO4"/>
      <c r="EKS4"/>
      <c r="EKW4"/>
      <c r="ELA4"/>
      <c r="ELE4"/>
      <c r="ELI4"/>
      <c r="ELM4"/>
      <c r="ELQ4"/>
      <c r="ELU4"/>
      <c r="ELY4"/>
      <c r="EMC4"/>
      <c r="EMG4"/>
      <c r="EMK4"/>
      <c r="EMO4"/>
      <c r="EMS4"/>
      <c r="EMW4"/>
      <c r="ENA4"/>
      <c r="ENE4"/>
      <c r="ENI4"/>
      <c r="ENM4"/>
      <c r="ENQ4"/>
      <c r="ENU4"/>
      <c r="ENY4"/>
      <c r="EOC4"/>
      <c r="EOG4"/>
      <c r="EOK4"/>
      <c r="EOO4"/>
      <c r="EOS4"/>
      <c r="EOW4"/>
      <c r="EPA4"/>
      <c r="EPE4"/>
      <c r="EPI4"/>
      <c r="EPM4"/>
      <c r="EPQ4"/>
      <c r="EPU4"/>
      <c r="EPY4"/>
      <c r="EQC4"/>
      <c r="EQG4"/>
      <c r="EQK4"/>
      <c r="EQO4"/>
      <c r="EQS4"/>
      <c r="EQW4"/>
      <c r="ERA4"/>
      <c r="ERE4"/>
      <c r="ERI4"/>
      <c r="ERM4"/>
      <c r="ERQ4"/>
      <c r="ERU4"/>
      <c r="ERY4"/>
      <c r="ESC4"/>
      <c r="ESG4"/>
      <c r="ESK4"/>
      <c r="ESO4"/>
      <c r="ESS4"/>
      <c r="ESW4"/>
      <c r="ETA4"/>
      <c r="ETE4"/>
      <c r="ETI4"/>
      <c r="ETM4"/>
      <c r="ETQ4"/>
      <c r="ETU4"/>
      <c r="ETY4"/>
      <c r="EUC4"/>
      <c r="EUG4"/>
      <c r="EUK4"/>
      <c r="EUO4"/>
      <c r="EUS4"/>
      <c r="EUW4"/>
      <c r="EVA4"/>
      <c r="EVE4"/>
      <c r="EVI4"/>
      <c r="EVM4"/>
      <c r="EVQ4"/>
      <c r="EVU4"/>
      <c r="EVY4"/>
      <c r="EWC4"/>
      <c r="EWG4"/>
      <c r="EWK4"/>
      <c r="EWO4"/>
      <c r="EWS4"/>
      <c r="EWW4"/>
      <c r="EXA4"/>
      <c r="EXE4"/>
      <c r="EXI4"/>
      <c r="EXM4"/>
      <c r="EXQ4"/>
      <c r="EXU4"/>
      <c r="EXY4"/>
      <c r="EYC4"/>
      <c r="EYG4"/>
      <c r="EYK4"/>
      <c r="EYO4"/>
      <c r="EYS4"/>
      <c r="EYW4"/>
      <c r="EZA4"/>
      <c r="EZE4"/>
      <c r="EZI4"/>
      <c r="EZM4"/>
      <c r="EZQ4"/>
      <c r="EZU4"/>
      <c r="EZY4"/>
      <c r="FAC4"/>
      <c r="FAG4"/>
      <c r="FAK4"/>
      <c r="FAO4"/>
      <c r="FAS4"/>
      <c r="FAW4"/>
      <c r="FBA4"/>
      <c r="FBE4"/>
      <c r="FBI4"/>
      <c r="FBM4"/>
      <c r="FBQ4"/>
      <c r="FBU4"/>
      <c r="FBY4"/>
      <c r="FCC4"/>
      <c r="FCG4"/>
      <c r="FCK4"/>
      <c r="FCO4"/>
      <c r="FCS4"/>
      <c r="FCW4"/>
      <c r="FDA4"/>
      <c r="FDE4"/>
      <c r="FDI4"/>
      <c r="FDM4"/>
      <c r="FDQ4"/>
      <c r="FDU4"/>
      <c r="FDY4"/>
      <c r="FEC4"/>
      <c r="FEG4"/>
      <c r="FEK4"/>
      <c r="FEO4"/>
      <c r="FES4"/>
      <c r="FEW4"/>
      <c r="FFA4"/>
      <c r="FFE4"/>
      <c r="FFI4"/>
      <c r="FFM4"/>
      <c r="FFQ4"/>
      <c r="FFU4"/>
      <c r="FFY4"/>
      <c r="FGC4"/>
      <c r="FGG4"/>
      <c r="FGK4"/>
      <c r="FGO4"/>
      <c r="FGS4"/>
      <c r="FGW4"/>
      <c r="FHA4"/>
      <c r="FHE4"/>
      <c r="FHI4"/>
      <c r="FHM4"/>
      <c r="FHQ4"/>
      <c r="FHU4"/>
      <c r="FHY4"/>
      <c r="FIC4"/>
      <c r="FIG4"/>
      <c r="FIK4"/>
      <c r="FIO4"/>
      <c r="FIS4"/>
      <c r="FIW4"/>
      <c r="FJA4"/>
      <c r="FJE4"/>
      <c r="FJI4"/>
      <c r="FJM4"/>
      <c r="FJQ4"/>
      <c r="FJU4"/>
      <c r="FJY4"/>
      <c r="FKC4"/>
      <c r="FKG4"/>
      <c r="FKK4"/>
      <c r="FKO4"/>
      <c r="FKS4"/>
      <c r="FKW4"/>
      <c r="FLA4"/>
      <c r="FLE4"/>
      <c r="FLI4"/>
      <c r="FLM4"/>
      <c r="FLQ4"/>
      <c r="FLU4"/>
      <c r="FLY4"/>
      <c r="FMC4"/>
      <c r="FMG4"/>
      <c r="FMK4"/>
      <c r="FMO4"/>
      <c r="FMS4"/>
      <c r="FMW4"/>
      <c r="FNA4"/>
      <c r="FNE4"/>
      <c r="FNI4"/>
      <c r="FNM4"/>
      <c r="FNQ4"/>
      <c r="FNU4"/>
      <c r="FNY4"/>
      <c r="FOC4"/>
      <c r="FOG4"/>
      <c r="FOK4"/>
      <c r="FOO4"/>
      <c r="FOS4"/>
      <c r="FOW4"/>
      <c r="FPA4"/>
      <c r="FPE4"/>
      <c r="FPI4"/>
      <c r="FPM4"/>
      <c r="FPQ4"/>
      <c r="FPU4"/>
      <c r="FPY4"/>
      <c r="FQC4"/>
      <c r="FQG4"/>
      <c r="FQK4"/>
      <c r="FQO4"/>
      <c r="FQS4"/>
      <c r="FQW4"/>
      <c r="FRA4"/>
      <c r="FRE4"/>
      <c r="FRI4"/>
      <c r="FRM4"/>
      <c r="FRQ4"/>
      <c r="FRU4"/>
      <c r="FRY4"/>
      <c r="FSC4"/>
      <c r="FSG4"/>
      <c r="FSK4"/>
      <c r="FSO4"/>
      <c r="FSS4"/>
      <c r="FSW4"/>
      <c r="FTA4"/>
      <c r="FTE4"/>
      <c r="FTI4"/>
      <c r="FTM4"/>
      <c r="FTQ4"/>
      <c r="FTU4"/>
      <c r="FTY4"/>
      <c r="FUC4"/>
      <c r="FUG4"/>
      <c r="FUK4"/>
      <c r="FUO4"/>
      <c r="FUS4"/>
      <c r="FUW4"/>
      <c r="FVA4"/>
      <c r="FVE4"/>
      <c r="FVI4"/>
      <c r="FVM4"/>
      <c r="FVQ4"/>
      <c r="FVU4"/>
      <c r="FVY4"/>
      <c r="FWC4"/>
      <c r="FWG4"/>
      <c r="FWK4"/>
      <c r="FWO4"/>
      <c r="FWS4"/>
      <c r="FWW4"/>
      <c r="FXA4"/>
      <c r="FXE4"/>
      <c r="FXI4"/>
      <c r="FXM4"/>
      <c r="FXQ4"/>
      <c r="FXU4"/>
      <c r="FXY4"/>
      <c r="FYC4"/>
      <c r="FYG4"/>
      <c r="FYK4"/>
      <c r="FYO4"/>
      <c r="FYS4"/>
      <c r="FYW4"/>
      <c r="FZA4"/>
      <c r="FZE4"/>
      <c r="FZI4"/>
      <c r="FZM4"/>
      <c r="FZQ4"/>
      <c r="FZU4"/>
      <c r="FZY4"/>
      <c r="GAC4"/>
      <c r="GAG4"/>
      <c r="GAK4"/>
      <c r="GAO4"/>
      <c r="GAS4"/>
      <c r="GAW4"/>
      <c r="GBA4"/>
      <c r="GBE4"/>
      <c r="GBI4"/>
      <c r="GBM4"/>
      <c r="GBQ4"/>
      <c r="GBU4"/>
      <c r="GBY4"/>
      <c r="GCC4"/>
      <c r="GCG4"/>
      <c r="GCK4"/>
      <c r="GCO4"/>
      <c r="GCS4"/>
      <c r="GCW4"/>
      <c r="GDA4"/>
      <c r="GDE4"/>
      <c r="GDI4"/>
      <c r="GDM4"/>
      <c r="GDQ4"/>
      <c r="GDU4"/>
      <c r="GDY4"/>
      <c r="GEC4"/>
      <c r="GEG4"/>
      <c r="GEK4"/>
      <c r="GEO4"/>
      <c r="GES4"/>
      <c r="GEW4"/>
      <c r="GFA4"/>
      <c r="GFE4"/>
      <c r="GFI4"/>
      <c r="GFM4"/>
      <c r="GFQ4"/>
      <c r="GFU4"/>
      <c r="GFY4"/>
      <c r="GGC4"/>
      <c r="GGG4"/>
      <c r="GGK4"/>
      <c r="GGO4"/>
      <c r="GGS4"/>
      <c r="GGW4"/>
      <c r="GHA4"/>
      <c r="GHE4"/>
      <c r="GHI4"/>
      <c r="GHM4"/>
      <c r="GHQ4"/>
      <c r="GHU4"/>
      <c r="GHY4"/>
      <c r="GIC4"/>
      <c r="GIG4"/>
      <c r="GIK4"/>
      <c r="GIO4"/>
      <c r="GIS4"/>
      <c r="GIW4"/>
      <c r="GJA4"/>
      <c r="GJE4"/>
      <c r="GJI4"/>
      <c r="GJM4"/>
      <c r="GJQ4"/>
      <c r="GJU4"/>
      <c r="GJY4"/>
      <c r="GKC4"/>
      <c r="GKG4"/>
      <c r="GKK4"/>
      <c r="GKO4"/>
      <c r="GKS4"/>
      <c r="GKW4"/>
      <c r="GLA4"/>
      <c r="GLE4"/>
      <c r="GLI4"/>
      <c r="GLM4"/>
      <c r="GLQ4"/>
      <c r="GLU4"/>
      <c r="GLY4"/>
      <c r="GMC4"/>
      <c r="GMG4"/>
      <c r="GMK4"/>
      <c r="GMO4"/>
      <c r="GMS4"/>
      <c r="GMW4"/>
      <c r="GNA4"/>
      <c r="GNE4"/>
      <c r="GNI4"/>
      <c r="GNM4"/>
      <c r="GNQ4"/>
      <c r="GNU4"/>
      <c r="GNY4"/>
      <c r="GOC4"/>
      <c r="GOG4"/>
      <c r="GOK4"/>
      <c r="GOO4"/>
      <c r="GOS4"/>
      <c r="GOW4"/>
      <c r="GPA4"/>
      <c r="GPE4"/>
      <c r="GPI4"/>
      <c r="GPM4"/>
      <c r="GPQ4"/>
      <c r="GPU4"/>
      <c r="GPY4"/>
      <c r="GQC4"/>
      <c r="GQG4"/>
      <c r="GQK4"/>
      <c r="GQO4"/>
      <c r="GQS4"/>
      <c r="GQW4"/>
      <c r="GRA4"/>
      <c r="GRE4"/>
      <c r="GRI4"/>
      <c r="GRM4"/>
      <c r="GRQ4"/>
      <c r="GRU4"/>
      <c r="GRY4"/>
      <c r="GSC4"/>
      <c r="GSG4"/>
      <c r="GSK4"/>
      <c r="GSO4"/>
      <c r="GSS4"/>
      <c r="GSW4"/>
      <c r="GTA4"/>
      <c r="GTE4"/>
      <c r="GTI4"/>
      <c r="GTM4"/>
      <c r="GTQ4"/>
      <c r="GTU4"/>
      <c r="GTY4"/>
      <c r="GUC4"/>
      <c r="GUG4"/>
      <c r="GUK4"/>
      <c r="GUO4"/>
      <c r="GUS4"/>
      <c r="GUW4"/>
      <c r="GVA4"/>
      <c r="GVE4"/>
      <c r="GVI4"/>
      <c r="GVM4"/>
      <c r="GVQ4"/>
      <c r="GVU4"/>
      <c r="GVY4"/>
      <c r="GWC4"/>
      <c r="GWG4"/>
      <c r="GWK4"/>
      <c r="GWO4"/>
      <c r="GWS4"/>
      <c r="GWW4"/>
      <c r="GXA4"/>
      <c r="GXE4"/>
      <c r="GXI4"/>
      <c r="GXM4"/>
      <c r="GXQ4"/>
      <c r="GXU4"/>
      <c r="GXY4"/>
      <c r="GYC4"/>
      <c r="GYG4"/>
      <c r="GYK4"/>
      <c r="GYO4"/>
      <c r="GYS4"/>
      <c r="GYW4"/>
      <c r="GZA4"/>
      <c r="GZE4"/>
      <c r="GZI4"/>
      <c r="GZM4"/>
      <c r="GZQ4"/>
      <c r="GZU4"/>
      <c r="GZY4"/>
      <c r="HAC4"/>
      <c r="HAG4"/>
      <c r="HAK4"/>
      <c r="HAO4"/>
      <c r="HAS4"/>
      <c r="HAW4"/>
      <c r="HBA4"/>
      <c r="HBE4"/>
      <c r="HBI4"/>
      <c r="HBM4"/>
      <c r="HBQ4"/>
      <c r="HBU4"/>
      <c r="HBY4"/>
      <c r="HCC4"/>
      <c r="HCG4"/>
      <c r="HCK4"/>
      <c r="HCO4"/>
      <c r="HCS4"/>
      <c r="HCW4"/>
      <c r="HDA4"/>
      <c r="HDE4"/>
      <c r="HDI4"/>
      <c r="HDM4"/>
      <c r="HDQ4"/>
      <c r="HDU4"/>
      <c r="HDY4"/>
      <c r="HEC4"/>
      <c r="HEG4"/>
      <c r="HEK4"/>
      <c r="HEO4"/>
      <c r="HES4"/>
      <c r="HEW4"/>
      <c r="HFA4"/>
      <c r="HFE4"/>
      <c r="HFI4"/>
      <c r="HFM4"/>
      <c r="HFQ4"/>
      <c r="HFU4"/>
      <c r="HFY4"/>
      <c r="HGC4"/>
      <c r="HGG4"/>
      <c r="HGK4"/>
      <c r="HGO4"/>
      <c r="HGS4"/>
      <c r="HGW4"/>
      <c r="HHA4"/>
      <c r="HHE4"/>
      <c r="HHI4"/>
      <c r="HHM4"/>
      <c r="HHQ4"/>
      <c r="HHU4"/>
      <c r="HHY4"/>
      <c r="HIC4"/>
      <c r="HIG4"/>
      <c r="HIK4"/>
      <c r="HIO4"/>
      <c r="HIS4"/>
      <c r="HIW4"/>
      <c r="HJA4"/>
      <c r="HJE4"/>
      <c r="HJI4"/>
      <c r="HJM4"/>
      <c r="HJQ4"/>
      <c r="HJU4"/>
      <c r="HJY4"/>
      <c r="HKC4"/>
      <c r="HKG4"/>
      <c r="HKK4"/>
      <c r="HKO4"/>
      <c r="HKS4"/>
      <c r="HKW4"/>
      <c r="HLA4"/>
      <c r="HLE4"/>
      <c r="HLI4"/>
      <c r="HLM4"/>
      <c r="HLQ4"/>
      <c r="HLU4"/>
      <c r="HLY4"/>
      <c r="HMC4"/>
      <c r="HMG4"/>
      <c r="HMK4"/>
      <c r="HMO4"/>
      <c r="HMS4"/>
      <c r="HMW4"/>
      <c r="HNA4"/>
      <c r="HNE4"/>
      <c r="HNI4"/>
      <c r="HNM4"/>
      <c r="HNQ4"/>
      <c r="HNU4"/>
      <c r="HNY4"/>
      <c r="HOC4"/>
      <c r="HOG4"/>
      <c r="HOK4"/>
      <c r="HOO4"/>
      <c r="HOS4"/>
      <c r="HOW4"/>
      <c r="HPA4"/>
      <c r="HPE4"/>
      <c r="HPI4"/>
      <c r="HPM4"/>
      <c r="HPQ4"/>
      <c r="HPU4"/>
      <c r="HPY4"/>
      <c r="HQC4"/>
      <c r="HQG4"/>
      <c r="HQK4"/>
      <c r="HQO4"/>
      <c r="HQS4"/>
      <c r="HQW4"/>
      <c r="HRA4"/>
      <c r="HRE4"/>
      <c r="HRI4"/>
      <c r="HRM4"/>
      <c r="HRQ4"/>
      <c r="HRU4"/>
      <c r="HRY4"/>
      <c r="HSC4"/>
      <c r="HSG4"/>
      <c r="HSK4"/>
      <c r="HSO4"/>
      <c r="HSS4"/>
      <c r="HSW4"/>
      <c r="HTA4"/>
      <c r="HTE4"/>
      <c r="HTI4"/>
      <c r="HTM4"/>
      <c r="HTQ4"/>
      <c r="HTU4"/>
      <c r="HTY4"/>
      <c r="HUC4"/>
      <c r="HUG4"/>
      <c r="HUK4"/>
      <c r="HUO4"/>
      <c r="HUS4"/>
      <c r="HUW4"/>
      <c r="HVA4"/>
      <c r="HVE4"/>
      <c r="HVI4"/>
      <c r="HVM4"/>
      <c r="HVQ4"/>
      <c r="HVU4"/>
      <c r="HVY4"/>
      <c r="HWC4"/>
      <c r="HWG4"/>
      <c r="HWK4"/>
      <c r="HWO4"/>
      <c r="HWS4"/>
      <c r="HWW4"/>
      <c r="HXA4"/>
      <c r="HXE4"/>
      <c r="HXI4"/>
      <c r="HXM4"/>
      <c r="HXQ4"/>
      <c r="HXU4"/>
      <c r="HXY4"/>
      <c r="HYC4"/>
      <c r="HYG4"/>
      <c r="HYK4"/>
      <c r="HYO4"/>
      <c r="HYS4"/>
      <c r="HYW4"/>
      <c r="HZA4"/>
      <c r="HZE4"/>
      <c r="HZI4"/>
      <c r="HZM4"/>
      <c r="HZQ4"/>
      <c r="HZU4"/>
      <c r="HZY4"/>
      <c r="IAC4"/>
      <c r="IAG4"/>
      <c r="IAK4"/>
      <c r="IAO4"/>
      <c r="IAS4"/>
      <c r="IAW4"/>
      <c r="IBA4"/>
      <c r="IBE4"/>
      <c r="IBI4"/>
      <c r="IBM4"/>
      <c r="IBQ4"/>
      <c r="IBU4"/>
      <c r="IBY4"/>
      <c r="ICC4"/>
      <c r="ICG4"/>
      <c r="ICK4"/>
      <c r="ICO4"/>
      <c r="ICS4"/>
      <c r="ICW4"/>
      <c r="IDA4"/>
      <c r="IDE4"/>
      <c r="IDI4"/>
      <c r="IDM4"/>
      <c r="IDQ4"/>
      <c r="IDU4"/>
      <c r="IDY4"/>
      <c r="IEC4"/>
      <c r="IEG4"/>
      <c r="IEK4"/>
      <c r="IEO4"/>
      <c r="IES4"/>
      <c r="IEW4"/>
      <c r="IFA4"/>
      <c r="IFE4"/>
      <c r="IFI4"/>
      <c r="IFM4"/>
      <c r="IFQ4"/>
      <c r="IFU4"/>
      <c r="IFY4"/>
      <c r="IGC4"/>
      <c r="IGG4"/>
      <c r="IGK4"/>
      <c r="IGO4"/>
      <c r="IGS4"/>
      <c r="IGW4"/>
      <c r="IHA4"/>
      <c r="IHE4"/>
      <c r="IHI4"/>
      <c r="IHM4"/>
      <c r="IHQ4"/>
      <c r="IHU4"/>
      <c r="IHY4"/>
      <c r="IIC4"/>
      <c r="IIG4"/>
      <c r="IIK4"/>
      <c r="IIO4"/>
      <c r="IIS4"/>
      <c r="IIW4"/>
      <c r="IJA4"/>
      <c r="IJE4"/>
      <c r="IJI4"/>
      <c r="IJM4"/>
      <c r="IJQ4"/>
      <c r="IJU4"/>
      <c r="IJY4"/>
      <c r="IKC4"/>
      <c r="IKG4"/>
      <c r="IKK4"/>
      <c r="IKO4"/>
      <c r="IKS4"/>
      <c r="IKW4"/>
      <c r="ILA4"/>
      <c r="ILE4"/>
      <c r="ILI4"/>
      <c r="ILM4"/>
      <c r="ILQ4"/>
      <c r="ILU4"/>
      <c r="ILY4"/>
      <c r="IMC4"/>
      <c r="IMG4"/>
      <c r="IMK4"/>
      <c r="IMO4"/>
      <c r="IMS4"/>
      <c r="IMW4"/>
      <c r="INA4"/>
      <c r="INE4"/>
      <c r="INI4"/>
      <c r="INM4"/>
      <c r="INQ4"/>
      <c r="INU4"/>
      <c r="INY4"/>
      <c r="IOC4"/>
      <c r="IOG4"/>
      <c r="IOK4"/>
      <c r="IOO4"/>
      <c r="IOS4"/>
      <c r="IOW4"/>
      <c r="IPA4"/>
      <c r="IPE4"/>
      <c r="IPI4"/>
      <c r="IPM4"/>
      <c r="IPQ4"/>
      <c r="IPU4"/>
      <c r="IPY4"/>
      <c r="IQC4"/>
      <c r="IQG4"/>
      <c r="IQK4"/>
      <c r="IQO4"/>
      <c r="IQS4"/>
      <c r="IQW4"/>
      <c r="IRA4"/>
      <c r="IRE4"/>
      <c r="IRI4"/>
      <c r="IRM4"/>
      <c r="IRQ4"/>
      <c r="IRU4"/>
      <c r="IRY4"/>
      <c r="ISC4"/>
      <c r="ISG4"/>
      <c r="ISK4"/>
      <c r="ISO4"/>
      <c r="ISS4"/>
      <c r="ISW4"/>
      <c r="ITA4"/>
      <c r="ITE4"/>
      <c r="ITI4"/>
      <c r="ITM4"/>
      <c r="ITQ4"/>
      <c r="ITU4"/>
      <c r="ITY4"/>
      <c r="IUC4"/>
      <c r="IUG4"/>
      <c r="IUK4"/>
      <c r="IUO4"/>
      <c r="IUS4"/>
      <c r="IUW4"/>
      <c r="IVA4"/>
      <c r="IVE4"/>
      <c r="IVI4"/>
      <c r="IVM4"/>
      <c r="IVQ4"/>
      <c r="IVU4"/>
      <c r="IVY4"/>
      <c r="IWC4"/>
      <c r="IWG4"/>
      <c r="IWK4"/>
      <c r="IWO4"/>
      <c r="IWS4"/>
      <c r="IWW4"/>
      <c r="IXA4"/>
      <c r="IXE4"/>
      <c r="IXI4"/>
      <c r="IXM4"/>
      <c r="IXQ4"/>
      <c r="IXU4"/>
      <c r="IXY4"/>
      <c r="IYC4"/>
      <c r="IYG4"/>
      <c r="IYK4"/>
      <c r="IYO4"/>
      <c r="IYS4"/>
      <c r="IYW4"/>
      <c r="IZA4"/>
      <c r="IZE4"/>
      <c r="IZI4"/>
      <c r="IZM4"/>
      <c r="IZQ4"/>
      <c r="IZU4"/>
      <c r="IZY4"/>
      <c r="JAC4"/>
      <c r="JAG4"/>
      <c r="JAK4"/>
      <c r="JAO4"/>
      <c r="JAS4"/>
      <c r="JAW4"/>
      <c r="JBA4"/>
      <c r="JBE4"/>
      <c r="JBI4"/>
      <c r="JBM4"/>
      <c r="JBQ4"/>
      <c r="JBU4"/>
      <c r="JBY4"/>
      <c r="JCC4"/>
      <c r="JCG4"/>
      <c r="JCK4"/>
      <c r="JCO4"/>
      <c r="JCS4"/>
      <c r="JCW4"/>
      <c r="JDA4"/>
      <c r="JDE4"/>
      <c r="JDI4"/>
      <c r="JDM4"/>
      <c r="JDQ4"/>
      <c r="JDU4"/>
      <c r="JDY4"/>
      <c r="JEC4"/>
      <c r="JEG4"/>
      <c r="JEK4"/>
      <c r="JEO4"/>
      <c r="JES4"/>
      <c r="JEW4"/>
      <c r="JFA4"/>
      <c r="JFE4"/>
      <c r="JFI4"/>
      <c r="JFM4"/>
      <c r="JFQ4"/>
      <c r="JFU4"/>
      <c r="JFY4"/>
      <c r="JGC4"/>
      <c r="JGG4"/>
      <c r="JGK4"/>
      <c r="JGO4"/>
      <c r="JGS4"/>
      <c r="JGW4"/>
      <c r="JHA4"/>
      <c r="JHE4"/>
      <c r="JHI4"/>
      <c r="JHM4"/>
      <c r="JHQ4"/>
      <c r="JHU4"/>
      <c r="JHY4"/>
      <c r="JIC4"/>
      <c r="JIG4"/>
      <c r="JIK4"/>
      <c r="JIO4"/>
      <c r="JIS4"/>
      <c r="JIW4"/>
      <c r="JJA4"/>
      <c r="JJE4"/>
      <c r="JJI4"/>
      <c r="JJM4"/>
      <c r="JJQ4"/>
      <c r="JJU4"/>
      <c r="JJY4"/>
      <c r="JKC4"/>
      <c r="JKG4"/>
      <c r="JKK4"/>
      <c r="JKO4"/>
      <c r="JKS4"/>
      <c r="JKW4"/>
      <c r="JLA4"/>
      <c r="JLE4"/>
      <c r="JLI4"/>
      <c r="JLM4"/>
      <c r="JLQ4"/>
      <c r="JLU4"/>
      <c r="JLY4"/>
      <c r="JMC4"/>
      <c r="JMG4"/>
      <c r="JMK4"/>
      <c r="JMO4"/>
      <c r="JMS4"/>
      <c r="JMW4"/>
      <c r="JNA4"/>
      <c r="JNE4"/>
      <c r="JNI4"/>
      <c r="JNM4"/>
      <c r="JNQ4"/>
      <c r="JNU4"/>
      <c r="JNY4"/>
      <c r="JOC4"/>
      <c r="JOG4"/>
      <c r="JOK4"/>
      <c r="JOO4"/>
      <c r="JOS4"/>
      <c r="JOW4"/>
      <c r="JPA4"/>
      <c r="JPE4"/>
      <c r="JPI4"/>
      <c r="JPM4"/>
      <c r="JPQ4"/>
      <c r="JPU4"/>
      <c r="JPY4"/>
      <c r="JQC4"/>
      <c r="JQG4"/>
      <c r="JQK4"/>
      <c r="JQO4"/>
      <c r="JQS4"/>
      <c r="JQW4"/>
      <c r="JRA4"/>
      <c r="JRE4"/>
      <c r="JRI4"/>
      <c r="JRM4"/>
      <c r="JRQ4"/>
      <c r="JRU4"/>
      <c r="JRY4"/>
      <c r="JSC4"/>
      <c r="JSG4"/>
      <c r="JSK4"/>
      <c r="JSO4"/>
      <c r="JSS4"/>
      <c r="JSW4"/>
      <c r="JTA4"/>
      <c r="JTE4"/>
      <c r="JTI4"/>
      <c r="JTM4"/>
      <c r="JTQ4"/>
      <c r="JTU4"/>
      <c r="JTY4"/>
      <c r="JUC4"/>
      <c r="JUG4"/>
      <c r="JUK4"/>
      <c r="JUO4"/>
      <c r="JUS4"/>
      <c r="JUW4"/>
      <c r="JVA4"/>
      <c r="JVE4"/>
      <c r="JVI4"/>
      <c r="JVM4"/>
      <c r="JVQ4"/>
      <c r="JVU4"/>
      <c r="JVY4"/>
      <c r="JWC4"/>
      <c r="JWG4"/>
      <c r="JWK4"/>
      <c r="JWO4"/>
      <c r="JWS4"/>
      <c r="JWW4"/>
      <c r="JXA4"/>
      <c r="JXE4"/>
      <c r="JXI4"/>
      <c r="JXM4"/>
      <c r="JXQ4"/>
      <c r="JXU4"/>
      <c r="JXY4"/>
      <c r="JYC4"/>
      <c r="JYG4"/>
      <c r="JYK4"/>
      <c r="JYO4"/>
      <c r="JYS4"/>
      <c r="JYW4"/>
      <c r="JZA4"/>
      <c r="JZE4"/>
      <c r="JZI4"/>
      <c r="JZM4"/>
      <c r="JZQ4"/>
      <c r="JZU4"/>
      <c r="JZY4"/>
      <c r="KAC4"/>
      <c r="KAG4"/>
      <c r="KAK4"/>
      <c r="KAO4"/>
      <c r="KAS4"/>
      <c r="KAW4"/>
      <c r="KBA4"/>
      <c r="KBE4"/>
      <c r="KBI4"/>
      <c r="KBM4"/>
      <c r="KBQ4"/>
      <c r="KBU4"/>
      <c r="KBY4"/>
      <c r="KCC4"/>
      <c r="KCG4"/>
      <c r="KCK4"/>
      <c r="KCO4"/>
      <c r="KCS4"/>
      <c r="KCW4"/>
      <c r="KDA4"/>
      <c r="KDE4"/>
      <c r="KDI4"/>
      <c r="KDM4"/>
      <c r="KDQ4"/>
      <c r="KDU4"/>
      <c r="KDY4"/>
      <c r="KEC4"/>
      <c r="KEG4"/>
      <c r="KEK4"/>
      <c r="KEO4"/>
      <c r="KES4"/>
      <c r="KEW4"/>
      <c r="KFA4"/>
      <c r="KFE4"/>
      <c r="KFI4"/>
      <c r="KFM4"/>
      <c r="KFQ4"/>
      <c r="KFU4"/>
      <c r="KFY4"/>
      <c r="KGC4"/>
      <c r="KGG4"/>
      <c r="KGK4"/>
      <c r="KGO4"/>
      <c r="KGS4"/>
      <c r="KGW4"/>
      <c r="KHA4"/>
      <c r="KHE4"/>
      <c r="KHI4"/>
      <c r="KHM4"/>
      <c r="KHQ4"/>
      <c r="KHU4"/>
      <c r="KHY4"/>
      <c r="KIC4"/>
      <c r="KIG4"/>
      <c r="KIK4"/>
      <c r="KIO4"/>
      <c r="KIS4"/>
      <c r="KIW4"/>
      <c r="KJA4"/>
      <c r="KJE4"/>
      <c r="KJI4"/>
      <c r="KJM4"/>
      <c r="KJQ4"/>
      <c r="KJU4"/>
      <c r="KJY4"/>
      <c r="KKC4"/>
      <c r="KKG4"/>
      <c r="KKK4"/>
      <c r="KKO4"/>
      <c r="KKS4"/>
      <c r="KKW4"/>
      <c r="KLA4"/>
      <c r="KLE4"/>
      <c r="KLI4"/>
      <c r="KLM4"/>
      <c r="KLQ4"/>
      <c r="KLU4"/>
      <c r="KLY4"/>
      <c r="KMC4"/>
      <c r="KMG4"/>
      <c r="KMK4"/>
      <c r="KMO4"/>
      <c r="KMS4"/>
      <c r="KMW4"/>
      <c r="KNA4"/>
      <c r="KNE4"/>
      <c r="KNI4"/>
      <c r="KNM4"/>
      <c r="KNQ4"/>
      <c r="KNU4"/>
      <c r="KNY4"/>
      <c r="KOC4"/>
      <c r="KOG4"/>
      <c r="KOK4"/>
      <c r="KOO4"/>
      <c r="KOS4"/>
      <c r="KOW4"/>
      <c r="KPA4"/>
      <c r="KPE4"/>
      <c r="KPI4"/>
      <c r="KPM4"/>
      <c r="KPQ4"/>
      <c r="KPU4"/>
      <c r="KPY4"/>
      <c r="KQC4"/>
      <c r="KQG4"/>
      <c r="KQK4"/>
      <c r="KQO4"/>
      <c r="KQS4"/>
      <c r="KQW4"/>
      <c r="KRA4"/>
      <c r="KRE4"/>
      <c r="KRI4"/>
      <c r="KRM4"/>
      <c r="KRQ4"/>
      <c r="KRU4"/>
      <c r="KRY4"/>
      <c r="KSC4"/>
      <c r="KSG4"/>
      <c r="KSK4"/>
      <c r="KSO4"/>
      <c r="KSS4"/>
      <c r="KSW4"/>
      <c r="KTA4"/>
      <c r="KTE4"/>
      <c r="KTI4"/>
      <c r="KTM4"/>
      <c r="KTQ4"/>
      <c r="KTU4"/>
      <c r="KTY4"/>
      <c r="KUC4"/>
      <c r="KUG4"/>
      <c r="KUK4"/>
      <c r="KUO4"/>
      <c r="KUS4"/>
      <c r="KUW4"/>
      <c r="KVA4"/>
      <c r="KVE4"/>
      <c r="KVI4"/>
      <c r="KVM4"/>
      <c r="KVQ4"/>
      <c r="KVU4"/>
      <c r="KVY4"/>
      <c r="KWC4"/>
      <c r="KWG4"/>
      <c r="KWK4"/>
      <c r="KWO4"/>
      <c r="KWS4"/>
      <c r="KWW4"/>
      <c r="KXA4"/>
      <c r="KXE4"/>
      <c r="KXI4"/>
      <c r="KXM4"/>
      <c r="KXQ4"/>
      <c r="KXU4"/>
      <c r="KXY4"/>
      <c r="KYC4"/>
      <c r="KYG4"/>
      <c r="KYK4"/>
      <c r="KYO4"/>
      <c r="KYS4"/>
      <c r="KYW4"/>
      <c r="KZA4"/>
      <c r="KZE4"/>
      <c r="KZI4"/>
      <c r="KZM4"/>
      <c r="KZQ4"/>
      <c r="KZU4"/>
      <c r="KZY4"/>
      <c r="LAC4"/>
      <c r="LAG4"/>
      <c r="LAK4"/>
      <c r="LAO4"/>
      <c r="LAS4"/>
      <c r="LAW4"/>
      <c r="LBA4"/>
      <c r="LBE4"/>
      <c r="LBI4"/>
      <c r="LBM4"/>
      <c r="LBQ4"/>
      <c r="LBU4"/>
      <c r="LBY4"/>
      <c r="LCC4"/>
      <c r="LCG4"/>
      <c r="LCK4"/>
      <c r="LCO4"/>
      <c r="LCS4"/>
      <c r="LCW4"/>
      <c r="LDA4"/>
      <c r="LDE4"/>
      <c r="LDI4"/>
      <c r="LDM4"/>
      <c r="LDQ4"/>
      <c r="LDU4"/>
      <c r="LDY4"/>
      <c r="LEC4"/>
      <c r="LEG4"/>
      <c r="LEK4"/>
      <c r="LEO4"/>
      <c r="LES4"/>
      <c r="LEW4"/>
      <c r="LFA4"/>
      <c r="LFE4"/>
      <c r="LFI4"/>
      <c r="LFM4"/>
      <c r="LFQ4"/>
      <c r="LFU4"/>
      <c r="LFY4"/>
      <c r="LGC4"/>
      <c r="LGG4"/>
      <c r="LGK4"/>
      <c r="LGO4"/>
      <c r="LGS4"/>
      <c r="LGW4"/>
      <c r="LHA4"/>
      <c r="LHE4"/>
      <c r="LHI4"/>
      <c r="LHM4"/>
      <c r="LHQ4"/>
      <c r="LHU4"/>
      <c r="LHY4"/>
      <c r="LIC4"/>
      <c r="LIG4"/>
      <c r="LIK4"/>
      <c r="LIO4"/>
      <c r="LIS4"/>
      <c r="LIW4"/>
      <c r="LJA4"/>
      <c r="LJE4"/>
      <c r="LJI4"/>
      <c r="LJM4"/>
      <c r="LJQ4"/>
      <c r="LJU4"/>
      <c r="LJY4"/>
      <c r="LKC4"/>
      <c r="LKG4"/>
      <c r="LKK4"/>
      <c r="LKO4"/>
      <c r="LKS4"/>
      <c r="LKW4"/>
      <c r="LLA4"/>
      <c r="LLE4"/>
      <c r="LLI4"/>
      <c r="LLM4"/>
      <c r="LLQ4"/>
      <c r="LLU4"/>
      <c r="LLY4"/>
      <c r="LMC4"/>
      <c r="LMG4"/>
      <c r="LMK4"/>
      <c r="LMO4"/>
      <c r="LMS4"/>
      <c r="LMW4"/>
      <c r="LNA4"/>
      <c r="LNE4"/>
      <c r="LNI4"/>
      <c r="LNM4"/>
      <c r="LNQ4"/>
      <c r="LNU4"/>
      <c r="LNY4"/>
      <c r="LOC4"/>
      <c r="LOG4"/>
      <c r="LOK4"/>
      <c r="LOO4"/>
      <c r="LOS4"/>
      <c r="LOW4"/>
      <c r="LPA4"/>
      <c r="LPE4"/>
      <c r="LPI4"/>
      <c r="LPM4"/>
      <c r="LPQ4"/>
      <c r="LPU4"/>
      <c r="LPY4"/>
      <c r="LQC4"/>
      <c r="LQG4"/>
      <c r="LQK4"/>
      <c r="LQO4"/>
      <c r="LQS4"/>
      <c r="LQW4"/>
      <c r="LRA4"/>
      <c r="LRE4"/>
      <c r="LRI4"/>
      <c r="LRM4"/>
      <c r="LRQ4"/>
      <c r="LRU4"/>
      <c r="LRY4"/>
      <c r="LSC4"/>
      <c r="LSG4"/>
      <c r="LSK4"/>
      <c r="LSO4"/>
      <c r="LSS4"/>
      <c r="LSW4"/>
      <c r="LTA4"/>
      <c r="LTE4"/>
      <c r="LTI4"/>
      <c r="LTM4"/>
      <c r="LTQ4"/>
      <c r="LTU4"/>
      <c r="LTY4"/>
      <c r="LUC4"/>
      <c r="LUG4"/>
      <c r="LUK4"/>
      <c r="LUO4"/>
      <c r="LUS4"/>
      <c r="LUW4"/>
      <c r="LVA4"/>
      <c r="LVE4"/>
      <c r="LVI4"/>
      <c r="LVM4"/>
      <c r="LVQ4"/>
      <c r="LVU4"/>
      <c r="LVY4"/>
      <c r="LWC4"/>
      <c r="LWG4"/>
      <c r="LWK4"/>
      <c r="LWO4"/>
      <c r="LWS4"/>
      <c r="LWW4"/>
      <c r="LXA4"/>
      <c r="LXE4"/>
      <c r="LXI4"/>
      <c r="LXM4"/>
      <c r="LXQ4"/>
      <c r="LXU4"/>
      <c r="LXY4"/>
      <c r="LYC4"/>
      <c r="LYG4"/>
      <c r="LYK4"/>
      <c r="LYO4"/>
      <c r="LYS4"/>
      <c r="LYW4"/>
      <c r="LZA4"/>
      <c r="LZE4"/>
      <c r="LZI4"/>
      <c r="LZM4"/>
      <c r="LZQ4"/>
      <c r="LZU4"/>
      <c r="LZY4"/>
      <c r="MAC4"/>
      <c r="MAG4"/>
      <c r="MAK4"/>
      <c r="MAO4"/>
      <c r="MAS4"/>
      <c r="MAW4"/>
      <c r="MBA4"/>
      <c r="MBE4"/>
      <c r="MBI4"/>
      <c r="MBM4"/>
      <c r="MBQ4"/>
      <c r="MBU4"/>
      <c r="MBY4"/>
      <c r="MCC4"/>
      <c r="MCG4"/>
      <c r="MCK4"/>
      <c r="MCO4"/>
      <c r="MCS4"/>
      <c r="MCW4"/>
      <c r="MDA4"/>
      <c r="MDE4"/>
      <c r="MDI4"/>
      <c r="MDM4"/>
      <c r="MDQ4"/>
      <c r="MDU4"/>
      <c r="MDY4"/>
      <c r="MEC4"/>
      <c r="MEG4"/>
      <c r="MEK4"/>
      <c r="MEO4"/>
      <c r="MES4"/>
      <c r="MEW4"/>
      <c r="MFA4"/>
      <c r="MFE4"/>
      <c r="MFI4"/>
      <c r="MFM4"/>
      <c r="MFQ4"/>
      <c r="MFU4"/>
      <c r="MFY4"/>
      <c r="MGC4"/>
      <c r="MGG4"/>
      <c r="MGK4"/>
      <c r="MGO4"/>
      <c r="MGS4"/>
      <c r="MGW4"/>
      <c r="MHA4"/>
      <c r="MHE4"/>
      <c r="MHI4"/>
      <c r="MHM4"/>
      <c r="MHQ4"/>
      <c r="MHU4"/>
      <c r="MHY4"/>
      <c r="MIC4"/>
      <c r="MIG4"/>
      <c r="MIK4"/>
      <c r="MIO4"/>
      <c r="MIS4"/>
      <c r="MIW4"/>
      <c r="MJA4"/>
      <c r="MJE4"/>
      <c r="MJI4"/>
      <c r="MJM4"/>
      <c r="MJQ4"/>
      <c r="MJU4"/>
      <c r="MJY4"/>
      <c r="MKC4"/>
      <c r="MKG4"/>
      <c r="MKK4"/>
      <c r="MKO4"/>
      <c r="MKS4"/>
      <c r="MKW4"/>
      <c r="MLA4"/>
      <c r="MLE4"/>
      <c r="MLI4"/>
      <c r="MLM4"/>
      <c r="MLQ4"/>
      <c r="MLU4"/>
      <c r="MLY4"/>
      <c r="MMC4"/>
      <c r="MMG4"/>
      <c r="MMK4"/>
      <c r="MMO4"/>
      <c r="MMS4"/>
      <c r="MMW4"/>
      <c r="MNA4"/>
      <c r="MNE4"/>
      <c r="MNI4"/>
      <c r="MNM4"/>
      <c r="MNQ4"/>
      <c r="MNU4"/>
      <c r="MNY4"/>
      <c r="MOC4"/>
      <c r="MOG4"/>
      <c r="MOK4"/>
      <c r="MOO4"/>
      <c r="MOS4"/>
      <c r="MOW4"/>
      <c r="MPA4"/>
      <c r="MPE4"/>
      <c r="MPI4"/>
      <c r="MPM4"/>
      <c r="MPQ4"/>
      <c r="MPU4"/>
      <c r="MPY4"/>
      <c r="MQC4"/>
      <c r="MQG4"/>
      <c r="MQK4"/>
      <c r="MQO4"/>
      <c r="MQS4"/>
      <c r="MQW4"/>
      <c r="MRA4"/>
      <c r="MRE4"/>
      <c r="MRI4"/>
      <c r="MRM4"/>
      <c r="MRQ4"/>
      <c r="MRU4"/>
      <c r="MRY4"/>
      <c r="MSC4"/>
      <c r="MSG4"/>
      <c r="MSK4"/>
      <c r="MSO4"/>
      <c r="MSS4"/>
      <c r="MSW4"/>
      <c r="MTA4"/>
      <c r="MTE4"/>
      <c r="MTI4"/>
      <c r="MTM4"/>
      <c r="MTQ4"/>
      <c r="MTU4"/>
      <c r="MTY4"/>
      <c r="MUC4"/>
      <c r="MUG4"/>
      <c r="MUK4"/>
      <c r="MUO4"/>
      <c r="MUS4"/>
      <c r="MUW4"/>
      <c r="MVA4"/>
      <c r="MVE4"/>
      <c r="MVI4"/>
      <c r="MVM4"/>
      <c r="MVQ4"/>
      <c r="MVU4"/>
      <c r="MVY4"/>
      <c r="MWC4"/>
      <c r="MWG4"/>
      <c r="MWK4"/>
      <c r="MWO4"/>
      <c r="MWS4"/>
      <c r="MWW4"/>
      <c r="MXA4"/>
      <c r="MXE4"/>
      <c r="MXI4"/>
      <c r="MXM4"/>
      <c r="MXQ4"/>
      <c r="MXU4"/>
      <c r="MXY4"/>
      <c r="MYC4"/>
      <c r="MYG4"/>
      <c r="MYK4"/>
      <c r="MYO4"/>
      <c r="MYS4"/>
      <c r="MYW4"/>
      <c r="MZA4"/>
      <c r="MZE4"/>
      <c r="MZI4"/>
      <c r="MZM4"/>
      <c r="MZQ4"/>
      <c r="MZU4"/>
      <c r="MZY4"/>
      <c r="NAC4"/>
      <c r="NAG4"/>
      <c r="NAK4"/>
      <c r="NAO4"/>
      <c r="NAS4"/>
      <c r="NAW4"/>
      <c r="NBA4"/>
      <c r="NBE4"/>
      <c r="NBI4"/>
      <c r="NBM4"/>
      <c r="NBQ4"/>
      <c r="NBU4"/>
      <c r="NBY4"/>
      <c r="NCC4"/>
      <c r="NCG4"/>
      <c r="NCK4"/>
      <c r="NCO4"/>
      <c r="NCS4"/>
      <c r="NCW4"/>
      <c r="NDA4"/>
      <c r="NDE4"/>
      <c r="NDI4"/>
      <c r="NDM4"/>
      <c r="NDQ4"/>
      <c r="NDU4"/>
      <c r="NDY4"/>
      <c r="NEC4"/>
      <c r="NEG4"/>
      <c r="NEK4"/>
      <c r="NEO4"/>
      <c r="NES4"/>
      <c r="NEW4"/>
      <c r="NFA4"/>
      <c r="NFE4"/>
      <c r="NFI4"/>
      <c r="NFM4"/>
      <c r="NFQ4"/>
      <c r="NFU4"/>
      <c r="NFY4"/>
      <c r="NGC4"/>
      <c r="NGG4"/>
      <c r="NGK4"/>
      <c r="NGO4"/>
      <c r="NGS4"/>
      <c r="NGW4"/>
      <c r="NHA4"/>
      <c r="NHE4"/>
      <c r="NHI4"/>
      <c r="NHM4"/>
      <c r="NHQ4"/>
      <c r="NHU4"/>
      <c r="NHY4"/>
      <c r="NIC4"/>
      <c r="NIG4"/>
      <c r="NIK4"/>
      <c r="NIO4"/>
      <c r="NIS4"/>
      <c r="NIW4"/>
      <c r="NJA4"/>
      <c r="NJE4"/>
      <c r="NJI4"/>
      <c r="NJM4"/>
      <c r="NJQ4"/>
      <c r="NJU4"/>
      <c r="NJY4"/>
      <c r="NKC4"/>
      <c r="NKG4"/>
      <c r="NKK4"/>
      <c r="NKO4"/>
      <c r="NKS4"/>
      <c r="NKW4"/>
      <c r="NLA4"/>
      <c r="NLE4"/>
      <c r="NLI4"/>
      <c r="NLM4"/>
      <c r="NLQ4"/>
      <c r="NLU4"/>
      <c r="NLY4"/>
      <c r="NMC4"/>
      <c r="NMG4"/>
      <c r="NMK4"/>
      <c r="NMO4"/>
      <c r="NMS4"/>
      <c r="NMW4"/>
      <c r="NNA4"/>
      <c r="NNE4"/>
      <c r="NNI4"/>
      <c r="NNM4"/>
      <c r="NNQ4"/>
      <c r="NNU4"/>
      <c r="NNY4"/>
      <c r="NOC4"/>
      <c r="NOG4"/>
      <c r="NOK4"/>
      <c r="NOO4"/>
      <c r="NOS4"/>
      <c r="NOW4"/>
      <c r="NPA4"/>
      <c r="NPE4"/>
      <c r="NPI4"/>
      <c r="NPM4"/>
      <c r="NPQ4"/>
      <c r="NPU4"/>
      <c r="NPY4"/>
      <c r="NQC4"/>
      <c r="NQG4"/>
      <c r="NQK4"/>
      <c r="NQO4"/>
      <c r="NQS4"/>
      <c r="NQW4"/>
      <c r="NRA4"/>
      <c r="NRE4"/>
      <c r="NRI4"/>
      <c r="NRM4"/>
      <c r="NRQ4"/>
      <c r="NRU4"/>
      <c r="NRY4"/>
      <c r="NSC4"/>
      <c r="NSG4"/>
      <c r="NSK4"/>
      <c r="NSO4"/>
      <c r="NSS4"/>
      <c r="NSW4"/>
      <c r="NTA4"/>
      <c r="NTE4"/>
      <c r="NTI4"/>
      <c r="NTM4"/>
      <c r="NTQ4"/>
      <c r="NTU4"/>
      <c r="NTY4"/>
      <c r="NUC4"/>
      <c r="NUG4"/>
      <c r="NUK4"/>
      <c r="NUO4"/>
      <c r="NUS4"/>
      <c r="NUW4"/>
      <c r="NVA4"/>
      <c r="NVE4"/>
      <c r="NVI4"/>
      <c r="NVM4"/>
      <c r="NVQ4"/>
      <c r="NVU4"/>
      <c r="NVY4"/>
      <c r="NWC4"/>
      <c r="NWG4"/>
      <c r="NWK4"/>
      <c r="NWO4"/>
      <c r="NWS4"/>
      <c r="NWW4"/>
      <c r="NXA4"/>
      <c r="NXE4"/>
      <c r="NXI4"/>
      <c r="NXM4"/>
      <c r="NXQ4"/>
      <c r="NXU4"/>
      <c r="NXY4"/>
      <c r="NYC4"/>
      <c r="NYG4"/>
      <c r="NYK4"/>
      <c r="NYO4"/>
      <c r="NYS4"/>
      <c r="NYW4"/>
      <c r="NZA4"/>
      <c r="NZE4"/>
      <c r="NZI4"/>
      <c r="NZM4"/>
      <c r="NZQ4"/>
      <c r="NZU4"/>
      <c r="NZY4"/>
      <c r="OAC4"/>
      <c r="OAG4"/>
      <c r="OAK4"/>
      <c r="OAO4"/>
      <c r="OAS4"/>
      <c r="OAW4"/>
      <c r="OBA4"/>
      <c r="OBE4"/>
      <c r="OBI4"/>
      <c r="OBM4"/>
      <c r="OBQ4"/>
      <c r="OBU4"/>
      <c r="OBY4"/>
      <c r="OCC4"/>
      <c r="OCG4"/>
      <c r="OCK4"/>
      <c r="OCO4"/>
      <c r="OCS4"/>
      <c r="OCW4"/>
      <c r="ODA4"/>
      <c r="ODE4"/>
      <c r="ODI4"/>
      <c r="ODM4"/>
      <c r="ODQ4"/>
      <c r="ODU4"/>
      <c r="ODY4"/>
      <c r="OEC4"/>
      <c r="OEG4"/>
      <c r="OEK4"/>
      <c r="OEO4"/>
      <c r="OES4"/>
      <c r="OEW4"/>
      <c r="OFA4"/>
      <c r="OFE4"/>
      <c r="OFI4"/>
      <c r="OFM4"/>
      <c r="OFQ4"/>
      <c r="OFU4"/>
      <c r="OFY4"/>
      <c r="OGC4"/>
      <c r="OGG4"/>
      <c r="OGK4"/>
      <c r="OGO4"/>
      <c r="OGS4"/>
      <c r="OGW4"/>
      <c r="OHA4"/>
      <c r="OHE4"/>
      <c r="OHI4"/>
      <c r="OHM4"/>
      <c r="OHQ4"/>
      <c r="OHU4"/>
      <c r="OHY4"/>
      <c r="OIC4"/>
      <c r="OIG4"/>
      <c r="OIK4"/>
      <c r="OIO4"/>
      <c r="OIS4"/>
      <c r="OIW4"/>
      <c r="OJA4"/>
      <c r="OJE4"/>
      <c r="OJI4"/>
      <c r="OJM4"/>
      <c r="OJQ4"/>
      <c r="OJU4"/>
      <c r="OJY4"/>
      <c r="OKC4"/>
      <c r="OKG4"/>
      <c r="OKK4"/>
      <c r="OKO4"/>
      <c r="OKS4"/>
      <c r="OKW4"/>
      <c r="OLA4"/>
      <c r="OLE4"/>
      <c r="OLI4"/>
      <c r="OLM4"/>
      <c r="OLQ4"/>
      <c r="OLU4"/>
      <c r="OLY4"/>
      <c r="OMC4"/>
      <c r="OMG4"/>
      <c r="OMK4"/>
      <c r="OMO4"/>
      <c r="OMS4"/>
      <c r="OMW4"/>
      <c r="ONA4"/>
      <c r="ONE4"/>
      <c r="ONI4"/>
      <c r="ONM4"/>
      <c r="ONQ4"/>
      <c r="ONU4"/>
      <c r="ONY4"/>
      <c r="OOC4"/>
      <c r="OOG4"/>
      <c r="OOK4"/>
      <c r="OOO4"/>
      <c r="OOS4"/>
      <c r="OOW4"/>
      <c r="OPA4"/>
      <c r="OPE4"/>
      <c r="OPI4"/>
      <c r="OPM4"/>
      <c r="OPQ4"/>
      <c r="OPU4"/>
      <c r="OPY4"/>
      <c r="OQC4"/>
      <c r="OQG4"/>
      <c r="OQK4"/>
      <c r="OQO4"/>
      <c r="OQS4"/>
      <c r="OQW4"/>
      <c r="ORA4"/>
      <c r="ORE4"/>
      <c r="ORI4"/>
      <c r="ORM4"/>
      <c r="ORQ4"/>
      <c r="ORU4"/>
      <c r="ORY4"/>
      <c r="OSC4"/>
      <c r="OSG4"/>
      <c r="OSK4"/>
      <c r="OSO4"/>
      <c r="OSS4"/>
      <c r="OSW4"/>
      <c r="OTA4"/>
      <c r="OTE4"/>
      <c r="OTI4"/>
      <c r="OTM4"/>
      <c r="OTQ4"/>
      <c r="OTU4"/>
      <c r="OTY4"/>
      <c r="OUC4"/>
      <c r="OUG4"/>
      <c r="OUK4"/>
      <c r="OUO4"/>
      <c r="OUS4"/>
      <c r="OUW4"/>
      <c r="OVA4"/>
      <c r="OVE4"/>
      <c r="OVI4"/>
      <c r="OVM4"/>
      <c r="OVQ4"/>
      <c r="OVU4"/>
      <c r="OVY4"/>
      <c r="OWC4"/>
      <c r="OWG4"/>
      <c r="OWK4"/>
      <c r="OWO4"/>
      <c r="OWS4"/>
      <c r="OWW4"/>
      <c r="OXA4"/>
      <c r="OXE4"/>
      <c r="OXI4"/>
      <c r="OXM4"/>
      <c r="OXQ4"/>
      <c r="OXU4"/>
      <c r="OXY4"/>
      <c r="OYC4"/>
      <c r="OYG4"/>
      <c r="OYK4"/>
      <c r="OYO4"/>
      <c r="OYS4"/>
      <c r="OYW4"/>
      <c r="OZA4"/>
      <c r="OZE4"/>
      <c r="OZI4"/>
      <c r="OZM4"/>
      <c r="OZQ4"/>
      <c r="OZU4"/>
      <c r="OZY4"/>
      <c r="PAC4"/>
      <c r="PAG4"/>
      <c r="PAK4"/>
      <c r="PAO4"/>
      <c r="PAS4"/>
      <c r="PAW4"/>
      <c r="PBA4"/>
      <c r="PBE4"/>
      <c r="PBI4"/>
      <c r="PBM4"/>
      <c r="PBQ4"/>
      <c r="PBU4"/>
      <c r="PBY4"/>
      <c r="PCC4"/>
      <c r="PCG4"/>
      <c r="PCK4"/>
      <c r="PCO4"/>
      <c r="PCS4"/>
      <c r="PCW4"/>
      <c r="PDA4"/>
      <c r="PDE4"/>
      <c r="PDI4"/>
      <c r="PDM4"/>
      <c r="PDQ4"/>
      <c r="PDU4"/>
      <c r="PDY4"/>
      <c r="PEC4"/>
      <c r="PEG4"/>
      <c r="PEK4"/>
      <c r="PEO4"/>
      <c r="PES4"/>
      <c r="PEW4"/>
      <c r="PFA4"/>
      <c r="PFE4"/>
      <c r="PFI4"/>
      <c r="PFM4"/>
      <c r="PFQ4"/>
      <c r="PFU4"/>
      <c r="PFY4"/>
      <c r="PGC4"/>
      <c r="PGG4"/>
      <c r="PGK4"/>
      <c r="PGO4"/>
      <c r="PGS4"/>
      <c r="PGW4"/>
      <c r="PHA4"/>
      <c r="PHE4"/>
      <c r="PHI4"/>
      <c r="PHM4"/>
      <c r="PHQ4"/>
      <c r="PHU4"/>
      <c r="PHY4"/>
      <c r="PIC4"/>
      <c r="PIG4"/>
      <c r="PIK4"/>
      <c r="PIO4"/>
      <c r="PIS4"/>
      <c r="PIW4"/>
      <c r="PJA4"/>
      <c r="PJE4"/>
      <c r="PJI4"/>
      <c r="PJM4"/>
      <c r="PJQ4"/>
      <c r="PJU4"/>
      <c r="PJY4"/>
      <c r="PKC4"/>
      <c r="PKG4"/>
      <c r="PKK4"/>
      <c r="PKO4"/>
      <c r="PKS4"/>
      <c r="PKW4"/>
      <c r="PLA4"/>
      <c r="PLE4"/>
      <c r="PLI4"/>
      <c r="PLM4"/>
      <c r="PLQ4"/>
      <c r="PLU4"/>
      <c r="PLY4"/>
      <c r="PMC4"/>
      <c r="PMG4"/>
      <c r="PMK4"/>
      <c r="PMO4"/>
      <c r="PMS4"/>
      <c r="PMW4"/>
      <c r="PNA4"/>
      <c r="PNE4"/>
      <c r="PNI4"/>
      <c r="PNM4"/>
      <c r="PNQ4"/>
      <c r="PNU4"/>
      <c r="PNY4"/>
      <c r="POC4"/>
      <c r="POG4"/>
      <c r="POK4"/>
      <c r="POO4"/>
      <c r="POS4"/>
      <c r="POW4"/>
      <c r="PPA4"/>
      <c r="PPE4"/>
      <c r="PPI4"/>
      <c r="PPM4"/>
      <c r="PPQ4"/>
      <c r="PPU4"/>
      <c r="PPY4"/>
      <c r="PQC4"/>
      <c r="PQG4"/>
      <c r="PQK4"/>
      <c r="PQO4"/>
      <c r="PQS4"/>
      <c r="PQW4"/>
      <c r="PRA4"/>
      <c r="PRE4"/>
      <c r="PRI4"/>
      <c r="PRM4"/>
      <c r="PRQ4"/>
      <c r="PRU4"/>
      <c r="PRY4"/>
      <c r="PSC4"/>
      <c r="PSG4"/>
      <c r="PSK4"/>
      <c r="PSO4"/>
      <c r="PSS4"/>
      <c r="PSW4"/>
      <c r="PTA4"/>
      <c r="PTE4"/>
      <c r="PTI4"/>
      <c r="PTM4"/>
      <c r="PTQ4"/>
      <c r="PTU4"/>
      <c r="PTY4"/>
      <c r="PUC4"/>
      <c r="PUG4"/>
      <c r="PUK4"/>
      <c r="PUO4"/>
      <c r="PUS4"/>
      <c r="PUW4"/>
      <c r="PVA4"/>
      <c r="PVE4"/>
      <c r="PVI4"/>
      <c r="PVM4"/>
      <c r="PVQ4"/>
      <c r="PVU4"/>
      <c r="PVY4"/>
      <c r="PWC4"/>
      <c r="PWG4"/>
      <c r="PWK4"/>
      <c r="PWO4"/>
      <c r="PWS4"/>
      <c r="PWW4"/>
      <c r="PXA4"/>
      <c r="PXE4"/>
      <c r="PXI4"/>
      <c r="PXM4"/>
      <c r="PXQ4"/>
      <c r="PXU4"/>
      <c r="PXY4"/>
      <c r="PYC4"/>
      <c r="PYG4"/>
      <c r="PYK4"/>
      <c r="PYO4"/>
      <c r="PYS4"/>
      <c r="PYW4"/>
      <c r="PZA4"/>
      <c r="PZE4"/>
      <c r="PZI4"/>
      <c r="PZM4"/>
      <c r="PZQ4"/>
      <c r="PZU4"/>
      <c r="PZY4"/>
      <c r="QAC4"/>
      <c r="QAG4"/>
      <c r="QAK4"/>
      <c r="QAO4"/>
      <c r="QAS4"/>
      <c r="QAW4"/>
      <c r="QBA4"/>
      <c r="QBE4"/>
      <c r="QBI4"/>
      <c r="QBM4"/>
      <c r="QBQ4"/>
      <c r="QBU4"/>
      <c r="QBY4"/>
      <c r="QCC4"/>
      <c r="QCG4"/>
      <c r="QCK4"/>
      <c r="QCO4"/>
      <c r="QCS4"/>
      <c r="QCW4"/>
      <c r="QDA4"/>
      <c r="QDE4"/>
      <c r="QDI4"/>
      <c r="QDM4"/>
      <c r="QDQ4"/>
      <c r="QDU4"/>
      <c r="QDY4"/>
      <c r="QEC4"/>
      <c r="QEG4"/>
      <c r="QEK4"/>
      <c r="QEO4"/>
      <c r="QES4"/>
      <c r="QEW4"/>
      <c r="QFA4"/>
      <c r="QFE4"/>
      <c r="QFI4"/>
      <c r="QFM4"/>
      <c r="QFQ4"/>
      <c r="QFU4"/>
      <c r="QFY4"/>
      <c r="QGC4"/>
      <c r="QGG4"/>
      <c r="QGK4"/>
      <c r="QGO4"/>
      <c r="QGS4"/>
      <c r="QGW4"/>
      <c r="QHA4"/>
      <c r="QHE4"/>
      <c r="QHI4"/>
      <c r="QHM4"/>
      <c r="QHQ4"/>
      <c r="QHU4"/>
      <c r="QHY4"/>
      <c r="QIC4"/>
      <c r="QIG4"/>
      <c r="QIK4"/>
      <c r="QIO4"/>
      <c r="QIS4"/>
      <c r="QIW4"/>
      <c r="QJA4"/>
      <c r="QJE4"/>
      <c r="QJI4"/>
      <c r="QJM4"/>
      <c r="QJQ4"/>
      <c r="QJU4"/>
      <c r="QJY4"/>
      <c r="QKC4"/>
      <c r="QKG4"/>
      <c r="QKK4"/>
      <c r="QKO4"/>
      <c r="QKS4"/>
      <c r="QKW4"/>
      <c r="QLA4"/>
      <c r="QLE4"/>
      <c r="QLI4"/>
      <c r="QLM4"/>
      <c r="QLQ4"/>
      <c r="QLU4"/>
      <c r="QLY4"/>
      <c r="QMC4"/>
      <c r="QMG4"/>
      <c r="QMK4"/>
      <c r="QMO4"/>
      <c r="QMS4"/>
      <c r="QMW4"/>
      <c r="QNA4"/>
      <c r="QNE4"/>
      <c r="QNI4"/>
      <c r="QNM4"/>
      <c r="QNQ4"/>
      <c r="QNU4"/>
      <c r="QNY4"/>
      <c r="QOC4"/>
      <c r="QOG4"/>
      <c r="QOK4"/>
      <c r="QOO4"/>
      <c r="QOS4"/>
      <c r="QOW4"/>
      <c r="QPA4"/>
      <c r="QPE4"/>
      <c r="QPI4"/>
      <c r="QPM4"/>
      <c r="QPQ4"/>
      <c r="QPU4"/>
      <c r="QPY4"/>
      <c r="QQC4"/>
      <c r="QQG4"/>
      <c r="QQK4"/>
      <c r="QQO4"/>
      <c r="QQS4"/>
      <c r="QQW4"/>
      <c r="QRA4"/>
      <c r="QRE4"/>
      <c r="QRI4"/>
      <c r="QRM4"/>
      <c r="QRQ4"/>
      <c r="QRU4"/>
      <c r="QRY4"/>
      <c r="QSC4"/>
      <c r="QSG4"/>
      <c r="QSK4"/>
      <c r="QSO4"/>
      <c r="QSS4"/>
      <c r="QSW4"/>
      <c r="QTA4"/>
      <c r="QTE4"/>
      <c r="QTI4"/>
      <c r="QTM4"/>
      <c r="QTQ4"/>
      <c r="QTU4"/>
      <c r="QTY4"/>
      <c r="QUC4"/>
      <c r="QUG4"/>
      <c r="QUK4"/>
      <c r="QUO4"/>
      <c r="QUS4"/>
      <c r="QUW4"/>
      <c r="QVA4"/>
      <c r="QVE4"/>
      <c r="QVI4"/>
      <c r="QVM4"/>
      <c r="QVQ4"/>
      <c r="QVU4"/>
      <c r="QVY4"/>
      <c r="QWC4"/>
      <c r="QWG4"/>
      <c r="QWK4"/>
      <c r="QWO4"/>
      <c r="QWS4"/>
      <c r="QWW4"/>
      <c r="QXA4"/>
      <c r="QXE4"/>
      <c r="QXI4"/>
      <c r="QXM4"/>
      <c r="QXQ4"/>
      <c r="QXU4"/>
      <c r="QXY4"/>
      <c r="QYC4"/>
      <c r="QYG4"/>
      <c r="QYK4"/>
      <c r="QYO4"/>
      <c r="QYS4"/>
      <c r="QYW4"/>
      <c r="QZA4"/>
      <c r="QZE4"/>
      <c r="QZI4"/>
      <c r="QZM4"/>
      <c r="QZQ4"/>
      <c r="QZU4"/>
      <c r="QZY4"/>
      <c r="RAC4"/>
      <c r="RAG4"/>
      <c r="RAK4"/>
      <c r="RAO4"/>
      <c r="RAS4"/>
      <c r="RAW4"/>
      <c r="RBA4"/>
      <c r="RBE4"/>
      <c r="RBI4"/>
      <c r="RBM4"/>
      <c r="RBQ4"/>
      <c r="RBU4"/>
      <c r="RBY4"/>
      <c r="RCC4"/>
      <c r="RCG4"/>
      <c r="RCK4"/>
      <c r="RCO4"/>
      <c r="RCS4"/>
      <c r="RCW4"/>
      <c r="RDA4"/>
      <c r="RDE4"/>
      <c r="RDI4"/>
      <c r="RDM4"/>
      <c r="RDQ4"/>
      <c r="RDU4"/>
      <c r="RDY4"/>
      <c r="REC4"/>
      <c r="REG4"/>
      <c r="REK4"/>
      <c r="REO4"/>
      <c r="RES4"/>
      <c r="REW4"/>
      <c r="RFA4"/>
      <c r="RFE4"/>
      <c r="RFI4"/>
      <c r="RFM4"/>
      <c r="RFQ4"/>
      <c r="RFU4"/>
      <c r="RFY4"/>
      <c r="RGC4"/>
      <c r="RGG4"/>
      <c r="RGK4"/>
      <c r="RGO4"/>
      <c r="RGS4"/>
      <c r="RGW4"/>
      <c r="RHA4"/>
      <c r="RHE4"/>
      <c r="RHI4"/>
      <c r="RHM4"/>
      <c r="RHQ4"/>
      <c r="RHU4"/>
      <c r="RHY4"/>
      <c r="RIC4"/>
      <c r="RIG4"/>
      <c r="RIK4"/>
      <c r="RIO4"/>
      <c r="RIS4"/>
      <c r="RIW4"/>
      <c r="RJA4"/>
      <c r="RJE4"/>
      <c r="RJI4"/>
      <c r="RJM4"/>
      <c r="RJQ4"/>
      <c r="RJU4"/>
      <c r="RJY4"/>
      <c r="RKC4"/>
      <c r="RKG4"/>
      <c r="RKK4"/>
      <c r="RKO4"/>
      <c r="RKS4"/>
      <c r="RKW4"/>
      <c r="RLA4"/>
      <c r="RLE4"/>
      <c r="RLI4"/>
      <c r="RLM4"/>
      <c r="RLQ4"/>
      <c r="RLU4"/>
      <c r="RLY4"/>
      <c r="RMC4"/>
      <c r="RMG4"/>
      <c r="RMK4"/>
      <c r="RMO4"/>
      <c r="RMS4"/>
      <c r="RMW4"/>
      <c r="RNA4"/>
      <c r="RNE4"/>
      <c r="RNI4"/>
      <c r="RNM4"/>
      <c r="RNQ4"/>
      <c r="RNU4"/>
      <c r="RNY4"/>
      <c r="ROC4"/>
      <c r="ROG4"/>
      <c r="ROK4"/>
      <c r="ROO4"/>
      <c r="ROS4"/>
      <c r="ROW4"/>
      <c r="RPA4"/>
      <c r="RPE4"/>
      <c r="RPI4"/>
      <c r="RPM4"/>
      <c r="RPQ4"/>
      <c r="RPU4"/>
      <c r="RPY4"/>
      <c r="RQC4"/>
      <c r="RQG4"/>
      <c r="RQK4"/>
      <c r="RQO4"/>
      <c r="RQS4"/>
      <c r="RQW4"/>
      <c r="RRA4"/>
      <c r="RRE4"/>
      <c r="RRI4"/>
      <c r="RRM4"/>
      <c r="RRQ4"/>
      <c r="RRU4"/>
      <c r="RRY4"/>
      <c r="RSC4"/>
      <c r="RSG4"/>
      <c r="RSK4"/>
      <c r="RSO4"/>
      <c r="RSS4"/>
      <c r="RSW4"/>
      <c r="RTA4"/>
      <c r="RTE4"/>
      <c r="RTI4"/>
      <c r="RTM4"/>
      <c r="RTQ4"/>
      <c r="RTU4"/>
      <c r="RTY4"/>
      <c r="RUC4"/>
      <c r="RUG4"/>
      <c r="RUK4"/>
      <c r="RUO4"/>
      <c r="RUS4"/>
      <c r="RUW4"/>
      <c r="RVA4"/>
      <c r="RVE4"/>
      <c r="RVI4"/>
      <c r="RVM4"/>
      <c r="RVQ4"/>
      <c r="RVU4"/>
      <c r="RVY4"/>
      <c r="RWC4"/>
      <c r="RWG4"/>
      <c r="RWK4"/>
      <c r="RWO4"/>
      <c r="RWS4"/>
      <c r="RWW4"/>
      <c r="RXA4"/>
      <c r="RXE4"/>
      <c r="RXI4"/>
      <c r="RXM4"/>
      <c r="RXQ4"/>
      <c r="RXU4"/>
      <c r="RXY4"/>
      <c r="RYC4"/>
      <c r="RYG4"/>
      <c r="RYK4"/>
      <c r="RYO4"/>
      <c r="RYS4"/>
      <c r="RYW4"/>
      <c r="RZA4"/>
      <c r="RZE4"/>
      <c r="RZI4"/>
      <c r="RZM4"/>
      <c r="RZQ4"/>
      <c r="RZU4"/>
      <c r="RZY4"/>
      <c r="SAC4"/>
      <c r="SAG4"/>
      <c r="SAK4"/>
      <c r="SAO4"/>
      <c r="SAS4"/>
      <c r="SAW4"/>
      <c r="SBA4"/>
      <c r="SBE4"/>
      <c r="SBI4"/>
      <c r="SBM4"/>
      <c r="SBQ4"/>
      <c r="SBU4"/>
      <c r="SBY4"/>
      <c r="SCC4"/>
      <c r="SCG4"/>
      <c r="SCK4"/>
      <c r="SCO4"/>
      <c r="SCS4"/>
      <c r="SCW4"/>
      <c r="SDA4"/>
      <c r="SDE4"/>
      <c r="SDI4"/>
      <c r="SDM4"/>
      <c r="SDQ4"/>
      <c r="SDU4"/>
      <c r="SDY4"/>
      <c r="SEC4"/>
      <c r="SEG4"/>
      <c r="SEK4"/>
      <c r="SEO4"/>
      <c r="SES4"/>
      <c r="SEW4"/>
      <c r="SFA4"/>
      <c r="SFE4"/>
      <c r="SFI4"/>
      <c r="SFM4"/>
      <c r="SFQ4"/>
      <c r="SFU4"/>
      <c r="SFY4"/>
      <c r="SGC4"/>
      <c r="SGG4"/>
      <c r="SGK4"/>
      <c r="SGO4"/>
      <c r="SGS4"/>
      <c r="SGW4"/>
      <c r="SHA4"/>
      <c r="SHE4"/>
      <c r="SHI4"/>
      <c r="SHM4"/>
      <c r="SHQ4"/>
      <c r="SHU4"/>
      <c r="SHY4"/>
      <c r="SIC4"/>
      <c r="SIG4"/>
      <c r="SIK4"/>
      <c r="SIO4"/>
      <c r="SIS4"/>
      <c r="SIW4"/>
      <c r="SJA4"/>
      <c r="SJE4"/>
      <c r="SJI4"/>
      <c r="SJM4"/>
      <c r="SJQ4"/>
      <c r="SJU4"/>
      <c r="SJY4"/>
      <c r="SKC4"/>
      <c r="SKG4"/>
      <c r="SKK4"/>
      <c r="SKO4"/>
      <c r="SKS4"/>
      <c r="SKW4"/>
      <c r="SLA4"/>
      <c r="SLE4"/>
      <c r="SLI4"/>
      <c r="SLM4"/>
      <c r="SLQ4"/>
      <c r="SLU4"/>
      <c r="SLY4"/>
      <c r="SMC4"/>
      <c r="SMG4"/>
      <c r="SMK4"/>
      <c r="SMO4"/>
      <c r="SMS4"/>
      <c r="SMW4"/>
      <c r="SNA4"/>
      <c r="SNE4"/>
      <c r="SNI4"/>
      <c r="SNM4"/>
      <c r="SNQ4"/>
      <c r="SNU4"/>
      <c r="SNY4"/>
      <c r="SOC4"/>
      <c r="SOG4"/>
      <c r="SOK4"/>
      <c r="SOO4"/>
      <c r="SOS4"/>
      <c r="SOW4"/>
      <c r="SPA4"/>
      <c r="SPE4"/>
      <c r="SPI4"/>
      <c r="SPM4"/>
      <c r="SPQ4"/>
      <c r="SPU4"/>
      <c r="SPY4"/>
      <c r="SQC4"/>
      <c r="SQG4"/>
      <c r="SQK4"/>
      <c r="SQO4"/>
      <c r="SQS4"/>
      <c r="SQW4"/>
      <c r="SRA4"/>
      <c r="SRE4"/>
      <c r="SRI4"/>
      <c r="SRM4"/>
      <c r="SRQ4"/>
      <c r="SRU4"/>
      <c r="SRY4"/>
      <c r="SSC4"/>
      <c r="SSG4"/>
      <c r="SSK4"/>
      <c r="SSO4"/>
      <c r="SSS4"/>
      <c r="SSW4"/>
      <c r="STA4"/>
      <c r="STE4"/>
      <c r="STI4"/>
      <c r="STM4"/>
      <c r="STQ4"/>
      <c r="STU4"/>
      <c r="STY4"/>
      <c r="SUC4"/>
      <c r="SUG4"/>
      <c r="SUK4"/>
      <c r="SUO4"/>
      <c r="SUS4"/>
      <c r="SUW4"/>
      <c r="SVA4"/>
      <c r="SVE4"/>
      <c r="SVI4"/>
      <c r="SVM4"/>
      <c r="SVQ4"/>
      <c r="SVU4"/>
      <c r="SVY4"/>
      <c r="SWC4"/>
      <c r="SWG4"/>
      <c r="SWK4"/>
      <c r="SWO4"/>
      <c r="SWS4"/>
      <c r="SWW4"/>
      <c r="SXA4"/>
      <c r="SXE4"/>
      <c r="SXI4"/>
      <c r="SXM4"/>
      <c r="SXQ4"/>
      <c r="SXU4"/>
      <c r="SXY4"/>
      <c r="SYC4"/>
      <c r="SYG4"/>
      <c r="SYK4"/>
      <c r="SYO4"/>
      <c r="SYS4"/>
      <c r="SYW4"/>
      <c r="SZA4"/>
      <c r="SZE4"/>
      <c r="SZI4"/>
      <c r="SZM4"/>
      <c r="SZQ4"/>
      <c r="SZU4"/>
      <c r="SZY4"/>
      <c r="TAC4"/>
      <c r="TAG4"/>
      <c r="TAK4"/>
      <c r="TAO4"/>
      <c r="TAS4"/>
      <c r="TAW4"/>
      <c r="TBA4"/>
      <c r="TBE4"/>
      <c r="TBI4"/>
      <c r="TBM4"/>
      <c r="TBQ4"/>
      <c r="TBU4"/>
      <c r="TBY4"/>
      <c r="TCC4"/>
      <c r="TCG4"/>
      <c r="TCK4"/>
      <c r="TCO4"/>
      <c r="TCS4"/>
      <c r="TCW4"/>
      <c r="TDA4"/>
      <c r="TDE4"/>
      <c r="TDI4"/>
      <c r="TDM4"/>
      <c r="TDQ4"/>
      <c r="TDU4"/>
      <c r="TDY4"/>
      <c r="TEC4"/>
      <c r="TEG4"/>
      <c r="TEK4"/>
      <c r="TEO4"/>
      <c r="TES4"/>
      <c r="TEW4"/>
      <c r="TFA4"/>
      <c r="TFE4"/>
      <c r="TFI4"/>
      <c r="TFM4"/>
      <c r="TFQ4"/>
      <c r="TFU4"/>
      <c r="TFY4"/>
      <c r="TGC4"/>
      <c r="TGG4"/>
      <c r="TGK4"/>
      <c r="TGO4"/>
      <c r="TGS4"/>
      <c r="TGW4"/>
      <c r="THA4"/>
      <c r="THE4"/>
      <c r="THI4"/>
      <c r="THM4"/>
      <c r="THQ4"/>
      <c r="THU4"/>
      <c r="THY4"/>
      <c r="TIC4"/>
      <c r="TIG4"/>
      <c r="TIK4"/>
      <c r="TIO4"/>
      <c r="TIS4"/>
      <c r="TIW4"/>
      <c r="TJA4"/>
      <c r="TJE4"/>
      <c r="TJI4"/>
      <c r="TJM4"/>
      <c r="TJQ4"/>
      <c r="TJU4"/>
      <c r="TJY4"/>
      <c r="TKC4"/>
      <c r="TKG4"/>
      <c r="TKK4"/>
      <c r="TKO4"/>
      <c r="TKS4"/>
      <c r="TKW4"/>
      <c r="TLA4"/>
      <c r="TLE4"/>
      <c r="TLI4"/>
      <c r="TLM4"/>
      <c r="TLQ4"/>
      <c r="TLU4"/>
      <c r="TLY4"/>
      <c r="TMC4"/>
      <c r="TMG4"/>
      <c r="TMK4"/>
      <c r="TMO4"/>
      <c r="TMS4"/>
      <c r="TMW4"/>
      <c r="TNA4"/>
      <c r="TNE4"/>
      <c r="TNI4"/>
      <c r="TNM4"/>
      <c r="TNQ4"/>
      <c r="TNU4"/>
      <c r="TNY4"/>
      <c r="TOC4"/>
      <c r="TOG4"/>
      <c r="TOK4"/>
      <c r="TOO4"/>
      <c r="TOS4"/>
      <c r="TOW4"/>
      <c r="TPA4"/>
      <c r="TPE4"/>
      <c r="TPI4"/>
      <c r="TPM4"/>
      <c r="TPQ4"/>
      <c r="TPU4"/>
      <c r="TPY4"/>
      <c r="TQC4"/>
      <c r="TQG4"/>
      <c r="TQK4"/>
      <c r="TQO4"/>
      <c r="TQS4"/>
      <c r="TQW4"/>
      <c r="TRA4"/>
      <c r="TRE4"/>
      <c r="TRI4"/>
      <c r="TRM4"/>
      <c r="TRQ4"/>
      <c r="TRU4"/>
      <c r="TRY4"/>
      <c r="TSC4"/>
      <c r="TSG4"/>
      <c r="TSK4"/>
      <c r="TSO4"/>
      <c r="TSS4"/>
      <c r="TSW4"/>
      <c r="TTA4"/>
      <c r="TTE4"/>
      <c r="TTI4"/>
      <c r="TTM4"/>
      <c r="TTQ4"/>
      <c r="TTU4"/>
      <c r="TTY4"/>
      <c r="TUC4"/>
      <c r="TUG4"/>
      <c r="TUK4"/>
      <c r="TUO4"/>
      <c r="TUS4"/>
      <c r="TUW4"/>
      <c r="TVA4"/>
      <c r="TVE4"/>
      <c r="TVI4"/>
      <c r="TVM4"/>
      <c r="TVQ4"/>
      <c r="TVU4"/>
      <c r="TVY4"/>
      <c r="TWC4"/>
      <c r="TWG4"/>
      <c r="TWK4"/>
      <c r="TWO4"/>
      <c r="TWS4"/>
      <c r="TWW4"/>
      <c r="TXA4"/>
      <c r="TXE4"/>
      <c r="TXI4"/>
      <c r="TXM4"/>
      <c r="TXQ4"/>
      <c r="TXU4"/>
      <c r="TXY4"/>
      <c r="TYC4"/>
      <c r="TYG4"/>
      <c r="TYK4"/>
      <c r="TYO4"/>
      <c r="TYS4"/>
      <c r="TYW4"/>
      <c r="TZA4"/>
      <c r="TZE4"/>
      <c r="TZI4"/>
      <c r="TZM4"/>
      <c r="TZQ4"/>
      <c r="TZU4"/>
      <c r="TZY4"/>
      <c r="UAC4"/>
      <c r="UAG4"/>
      <c r="UAK4"/>
      <c r="UAO4"/>
      <c r="UAS4"/>
      <c r="UAW4"/>
      <c r="UBA4"/>
      <c r="UBE4"/>
      <c r="UBI4"/>
      <c r="UBM4"/>
      <c r="UBQ4"/>
      <c r="UBU4"/>
      <c r="UBY4"/>
      <c r="UCC4"/>
      <c r="UCG4"/>
      <c r="UCK4"/>
      <c r="UCO4"/>
      <c r="UCS4"/>
      <c r="UCW4"/>
      <c r="UDA4"/>
      <c r="UDE4"/>
      <c r="UDI4"/>
      <c r="UDM4"/>
      <c r="UDQ4"/>
      <c r="UDU4"/>
      <c r="UDY4"/>
      <c r="UEC4"/>
      <c r="UEG4"/>
      <c r="UEK4"/>
      <c r="UEO4"/>
      <c r="UES4"/>
      <c r="UEW4"/>
      <c r="UFA4"/>
      <c r="UFE4"/>
      <c r="UFI4"/>
      <c r="UFM4"/>
      <c r="UFQ4"/>
      <c r="UFU4"/>
      <c r="UFY4"/>
      <c r="UGC4"/>
      <c r="UGG4"/>
      <c r="UGK4"/>
      <c r="UGO4"/>
      <c r="UGS4"/>
      <c r="UGW4"/>
      <c r="UHA4"/>
      <c r="UHE4"/>
      <c r="UHI4"/>
      <c r="UHM4"/>
      <c r="UHQ4"/>
      <c r="UHU4"/>
      <c r="UHY4"/>
      <c r="UIC4"/>
      <c r="UIG4"/>
      <c r="UIK4"/>
      <c r="UIO4"/>
      <c r="UIS4"/>
      <c r="UIW4"/>
      <c r="UJA4"/>
      <c r="UJE4"/>
      <c r="UJI4"/>
      <c r="UJM4"/>
      <c r="UJQ4"/>
      <c r="UJU4"/>
      <c r="UJY4"/>
      <c r="UKC4"/>
      <c r="UKG4"/>
      <c r="UKK4"/>
      <c r="UKO4"/>
      <c r="UKS4"/>
      <c r="UKW4"/>
      <c r="ULA4"/>
      <c r="ULE4"/>
      <c r="ULI4"/>
      <c r="ULM4"/>
      <c r="ULQ4"/>
      <c r="ULU4"/>
      <c r="ULY4"/>
      <c r="UMC4"/>
      <c r="UMG4"/>
      <c r="UMK4"/>
      <c r="UMO4"/>
      <c r="UMS4"/>
      <c r="UMW4"/>
      <c r="UNA4"/>
      <c r="UNE4"/>
      <c r="UNI4"/>
      <c r="UNM4"/>
      <c r="UNQ4"/>
      <c r="UNU4"/>
      <c r="UNY4"/>
      <c r="UOC4"/>
      <c r="UOG4"/>
      <c r="UOK4"/>
      <c r="UOO4"/>
      <c r="UOS4"/>
      <c r="UOW4"/>
      <c r="UPA4"/>
      <c r="UPE4"/>
      <c r="UPI4"/>
      <c r="UPM4"/>
      <c r="UPQ4"/>
      <c r="UPU4"/>
      <c r="UPY4"/>
      <c r="UQC4"/>
      <c r="UQG4"/>
      <c r="UQK4"/>
      <c r="UQO4"/>
      <c r="UQS4"/>
      <c r="UQW4"/>
      <c r="URA4"/>
      <c r="URE4"/>
      <c r="URI4"/>
      <c r="URM4"/>
      <c r="URQ4"/>
      <c r="URU4"/>
      <c r="URY4"/>
      <c r="USC4"/>
      <c r="USG4"/>
      <c r="USK4"/>
      <c r="USO4"/>
      <c r="USS4"/>
      <c r="USW4"/>
      <c r="UTA4"/>
      <c r="UTE4"/>
      <c r="UTI4"/>
      <c r="UTM4"/>
      <c r="UTQ4"/>
      <c r="UTU4"/>
      <c r="UTY4"/>
      <c r="UUC4"/>
      <c r="UUG4"/>
      <c r="UUK4"/>
      <c r="UUO4"/>
      <c r="UUS4"/>
      <c r="UUW4"/>
      <c r="UVA4"/>
      <c r="UVE4"/>
      <c r="UVI4"/>
      <c r="UVM4"/>
      <c r="UVQ4"/>
      <c r="UVU4"/>
      <c r="UVY4"/>
      <c r="UWC4"/>
      <c r="UWG4"/>
      <c r="UWK4"/>
      <c r="UWO4"/>
      <c r="UWS4"/>
      <c r="UWW4"/>
      <c r="UXA4"/>
      <c r="UXE4"/>
      <c r="UXI4"/>
      <c r="UXM4"/>
      <c r="UXQ4"/>
      <c r="UXU4"/>
      <c r="UXY4"/>
      <c r="UYC4"/>
      <c r="UYG4"/>
      <c r="UYK4"/>
      <c r="UYO4"/>
      <c r="UYS4"/>
      <c r="UYW4"/>
      <c r="UZA4"/>
      <c r="UZE4"/>
      <c r="UZI4"/>
      <c r="UZM4"/>
      <c r="UZQ4"/>
      <c r="UZU4"/>
      <c r="UZY4"/>
      <c r="VAC4"/>
      <c r="VAG4"/>
      <c r="VAK4"/>
      <c r="VAO4"/>
      <c r="VAS4"/>
      <c r="VAW4"/>
      <c r="VBA4"/>
      <c r="VBE4"/>
      <c r="VBI4"/>
      <c r="VBM4"/>
      <c r="VBQ4"/>
      <c r="VBU4"/>
      <c r="VBY4"/>
      <c r="VCC4"/>
      <c r="VCG4"/>
      <c r="VCK4"/>
      <c r="VCO4"/>
      <c r="VCS4"/>
      <c r="VCW4"/>
      <c r="VDA4"/>
      <c r="VDE4"/>
      <c r="VDI4"/>
      <c r="VDM4"/>
      <c r="VDQ4"/>
      <c r="VDU4"/>
      <c r="VDY4"/>
      <c r="VEC4"/>
      <c r="VEG4"/>
      <c r="VEK4"/>
      <c r="VEO4"/>
      <c r="VES4"/>
      <c r="VEW4"/>
      <c r="VFA4"/>
      <c r="VFE4"/>
      <c r="VFI4"/>
      <c r="VFM4"/>
      <c r="VFQ4"/>
      <c r="VFU4"/>
      <c r="VFY4"/>
      <c r="VGC4"/>
      <c r="VGG4"/>
      <c r="VGK4"/>
      <c r="VGO4"/>
      <c r="VGS4"/>
      <c r="VGW4"/>
      <c r="VHA4"/>
      <c r="VHE4"/>
      <c r="VHI4"/>
      <c r="VHM4"/>
      <c r="VHQ4"/>
      <c r="VHU4"/>
      <c r="VHY4"/>
      <c r="VIC4"/>
      <c r="VIG4"/>
      <c r="VIK4"/>
      <c r="VIO4"/>
      <c r="VIS4"/>
      <c r="VIW4"/>
      <c r="VJA4"/>
      <c r="VJE4"/>
      <c r="VJI4"/>
      <c r="VJM4"/>
      <c r="VJQ4"/>
      <c r="VJU4"/>
      <c r="VJY4"/>
      <c r="VKC4"/>
      <c r="VKG4"/>
      <c r="VKK4"/>
      <c r="VKO4"/>
      <c r="VKS4"/>
      <c r="VKW4"/>
      <c r="VLA4"/>
      <c r="VLE4"/>
      <c r="VLI4"/>
      <c r="VLM4"/>
      <c r="VLQ4"/>
      <c r="VLU4"/>
      <c r="VLY4"/>
      <c r="VMC4"/>
      <c r="VMG4"/>
      <c r="VMK4"/>
      <c r="VMO4"/>
      <c r="VMS4"/>
      <c r="VMW4"/>
      <c r="VNA4"/>
      <c r="VNE4"/>
      <c r="VNI4"/>
      <c r="VNM4"/>
      <c r="VNQ4"/>
      <c r="VNU4"/>
      <c r="VNY4"/>
      <c r="VOC4"/>
      <c r="VOG4"/>
      <c r="VOK4"/>
      <c r="VOO4"/>
      <c r="VOS4"/>
      <c r="VOW4"/>
      <c r="VPA4"/>
      <c r="VPE4"/>
      <c r="VPI4"/>
      <c r="VPM4"/>
      <c r="VPQ4"/>
      <c r="VPU4"/>
      <c r="VPY4"/>
      <c r="VQC4"/>
      <c r="VQG4"/>
      <c r="VQK4"/>
      <c r="VQO4"/>
      <c r="VQS4"/>
      <c r="VQW4"/>
      <c r="VRA4"/>
      <c r="VRE4"/>
      <c r="VRI4"/>
      <c r="VRM4"/>
      <c r="VRQ4"/>
      <c r="VRU4"/>
      <c r="VRY4"/>
      <c r="VSC4"/>
      <c r="VSG4"/>
      <c r="VSK4"/>
      <c r="VSO4"/>
      <c r="VSS4"/>
      <c r="VSW4"/>
      <c r="VTA4"/>
      <c r="VTE4"/>
      <c r="VTI4"/>
      <c r="VTM4"/>
      <c r="VTQ4"/>
      <c r="VTU4"/>
      <c r="VTY4"/>
      <c r="VUC4"/>
      <c r="VUG4"/>
      <c r="VUK4"/>
      <c r="VUO4"/>
      <c r="VUS4"/>
      <c r="VUW4"/>
      <c r="VVA4"/>
      <c r="VVE4"/>
      <c r="VVI4"/>
      <c r="VVM4"/>
      <c r="VVQ4"/>
      <c r="VVU4"/>
      <c r="VVY4"/>
      <c r="VWC4"/>
      <c r="VWG4"/>
      <c r="VWK4"/>
      <c r="VWO4"/>
      <c r="VWS4"/>
      <c r="VWW4"/>
      <c r="VXA4"/>
      <c r="VXE4"/>
      <c r="VXI4"/>
      <c r="VXM4"/>
      <c r="VXQ4"/>
      <c r="VXU4"/>
      <c r="VXY4"/>
      <c r="VYC4"/>
      <c r="VYG4"/>
      <c r="VYK4"/>
      <c r="VYO4"/>
      <c r="VYS4"/>
      <c r="VYW4"/>
      <c r="VZA4"/>
      <c r="VZE4"/>
      <c r="VZI4"/>
      <c r="VZM4"/>
      <c r="VZQ4"/>
      <c r="VZU4"/>
      <c r="VZY4"/>
      <c r="WAC4"/>
      <c r="WAG4"/>
      <c r="WAK4"/>
      <c r="WAO4"/>
      <c r="WAS4"/>
      <c r="WAW4"/>
      <c r="WBA4"/>
      <c r="WBE4"/>
      <c r="WBI4"/>
      <c r="WBM4"/>
      <c r="WBQ4"/>
      <c r="WBU4"/>
      <c r="WBY4"/>
      <c r="WCC4"/>
      <c r="WCG4"/>
      <c r="WCK4"/>
      <c r="WCO4"/>
      <c r="WCS4"/>
      <c r="WCW4"/>
      <c r="WDA4"/>
      <c r="WDE4"/>
      <c r="WDI4"/>
      <c r="WDM4"/>
      <c r="WDQ4"/>
      <c r="WDU4"/>
      <c r="WDY4"/>
      <c r="WEC4"/>
      <c r="WEG4"/>
      <c r="WEK4"/>
      <c r="WEO4"/>
      <c r="WES4"/>
      <c r="WEW4"/>
      <c r="WFA4"/>
      <c r="WFE4"/>
      <c r="WFI4"/>
      <c r="WFM4"/>
      <c r="WFQ4"/>
      <c r="WFU4"/>
      <c r="WFY4"/>
      <c r="WGC4"/>
      <c r="WGG4"/>
      <c r="WGK4"/>
      <c r="WGO4"/>
      <c r="WGS4"/>
      <c r="WGW4"/>
      <c r="WHA4"/>
      <c r="WHE4"/>
      <c r="WHI4"/>
      <c r="WHM4"/>
      <c r="WHQ4"/>
      <c r="WHU4"/>
      <c r="WHY4"/>
      <c r="WIC4"/>
      <c r="WIG4"/>
      <c r="WIK4"/>
      <c r="WIO4"/>
      <c r="WIS4"/>
      <c r="WIW4"/>
      <c r="WJA4"/>
      <c r="WJE4"/>
      <c r="WJI4"/>
      <c r="WJM4"/>
      <c r="WJQ4"/>
      <c r="WJU4"/>
      <c r="WJY4"/>
      <c r="WKC4"/>
      <c r="WKG4"/>
      <c r="WKK4"/>
      <c r="WKO4"/>
      <c r="WKS4"/>
      <c r="WKW4"/>
      <c r="WLA4"/>
      <c r="WLE4"/>
      <c r="WLI4"/>
      <c r="WLM4"/>
      <c r="WLQ4"/>
      <c r="WLU4"/>
      <c r="WLY4"/>
      <c r="WMC4"/>
      <c r="WMG4"/>
      <c r="WMK4"/>
      <c r="WMO4"/>
      <c r="WMS4"/>
      <c r="WMW4"/>
      <c r="WNA4"/>
      <c r="WNE4"/>
      <c r="WNI4"/>
      <c r="WNM4"/>
      <c r="WNQ4"/>
      <c r="WNU4"/>
      <c r="WNY4"/>
      <c r="WOC4"/>
      <c r="WOG4"/>
      <c r="WOK4"/>
      <c r="WOO4"/>
      <c r="WOS4"/>
      <c r="WOW4"/>
      <c r="WPA4"/>
      <c r="WPE4"/>
      <c r="WPI4"/>
      <c r="WPM4"/>
      <c r="WPQ4"/>
      <c r="WPU4"/>
      <c r="WPY4"/>
      <c r="WQC4"/>
      <c r="WQG4"/>
      <c r="WQK4"/>
      <c r="WQO4"/>
      <c r="WQS4"/>
      <c r="WQW4"/>
      <c r="WRA4"/>
      <c r="WRE4"/>
      <c r="WRI4"/>
      <c r="WRM4"/>
      <c r="WRQ4"/>
      <c r="WRU4"/>
      <c r="WRY4"/>
      <c r="WSC4"/>
      <c r="WSG4"/>
      <c r="WSK4"/>
      <c r="WSO4"/>
      <c r="WSS4"/>
      <c r="WSW4"/>
      <c r="WTA4"/>
      <c r="WTE4"/>
      <c r="WTI4"/>
      <c r="WTM4"/>
      <c r="WTQ4"/>
      <c r="WTU4"/>
      <c r="WTY4"/>
      <c r="WUC4"/>
      <c r="WUG4"/>
      <c r="WUK4"/>
      <c r="WUO4"/>
      <c r="WUS4"/>
      <c r="WUW4"/>
      <c r="WVA4"/>
      <c r="WVE4"/>
      <c r="WVI4"/>
      <c r="WVM4"/>
      <c r="WVQ4"/>
      <c r="WVU4"/>
      <c r="WVY4"/>
      <c r="WWC4"/>
      <c r="WWG4"/>
      <c r="WWK4"/>
      <c r="WWO4"/>
      <c r="WWS4"/>
      <c r="WWW4"/>
      <c r="WXA4"/>
      <c r="WXE4"/>
      <c r="WXI4"/>
      <c r="WXM4"/>
      <c r="WXQ4"/>
      <c r="WXU4"/>
      <c r="WXY4"/>
      <c r="WYC4"/>
      <c r="WYG4"/>
      <c r="WYK4"/>
      <c r="WYO4"/>
      <c r="WYS4"/>
      <c r="WYW4"/>
      <c r="WZA4"/>
      <c r="WZE4"/>
      <c r="WZI4"/>
      <c r="WZM4"/>
      <c r="WZQ4"/>
      <c r="WZU4"/>
      <c r="WZY4"/>
      <c r="XAC4"/>
      <c r="XAG4"/>
      <c r="XAK4"/>
      <c r="XAO4"/>
      <c r="XAS4"/>
      <c r="XAW4"/>
      <c r="XBA4"/>
      <c r="XBE4"/>
      <c r="XBI4"/>
      <c r="XBM4"/>
      <c r="XBQ4"/>
      <c r="XBU4"/>
      <c r="XBY4"/>
      <c r="XCC4"/>
      <c r="XCG4"/>
      <c r="XCK4"/>
      <c r="XCO4"/>
      <c r="XCS4"/>
      <c r="XCW4"/>
      <c r="XDA4"/>
      <c r="XDE4"/>
      <c r="XDI4"/>
      <c r="XDM4"/>
      <c r="XDQ4"/>
      <c r="XDU4"/>
      <c r="XDY4"/>
      <c r="XEC4"/>
      <c r="XEG4"/>
      <c r="XEK4"/>
      <c r="XEO4"/>
      <c r="XES4"/>
      <c r="XEW4"/>
      <c r="XFA4"/>
    </row>
    <row r="5" spans="1:1021 1025:2045 2049:3069 3073:4093 4097:5117 5121:6141 6145:7165 7169:8189 8193:9213 9217:10237 10241:11261 11265:12285 12289:13309 13313:14333 14337:15357 15361:16381" s="1" customFormat="1" x14ac:dyDescent="0.35">
      <c r="A5" s="21">
        <v>1</v>
      </c>
      <c r="B5" s="21">
        <v>1</v>
      </c>
      <c r="C5" s="1" t="str">
        <f xml:space="preserve"> IF('Master Player List'!L3=1,'Master Player List'!C3,"")</f>
        <v xml:space="preserve">Brijalba, Rufus </v>
      </c>
      <c r="D5" s="1" t="str">
        <f xml:space="preserve"> IF('Master Player List'!L3=1,'Master Player List'!F3,"")</f>
        <v xml:space="preserve">Peck, Colin </v>
      </c>
      <c r="E5" s="21">
        <f xml:space="preserve"> IF('Master Player List'!L3=1,'Master Player List'!I3,"")</f>
        <v>-5.2</v>
      </c>
      <c r="F5" s="22"/>
      <c r="I5" s="21"/>
      <c r="J5" s="22"/>
      <c r="M5"/>
      <c r="Q5"/>
      <c r="U5"/>
      <c r="Y5"/>
      <c r="AC5"/>
      <c r="AG5"/>
      <c r="AK5"/>
      <c r="AO5"/>
      <c r="AS5"/>
      <c r="AW5"/>
      <c r="BA5"/>
      <c r="BE5"/>
      <c r="BI5"/>
      <c r="BM5"/>
      <c r="BQ5"/>
      <c r="BU5"/>
      <c r="BY5"/>
      <c r="CC5"/>
      <c r="CG5"/>
      <c r="CK5"/>
      <c r="CO5"/>
      <c r="CS5"/>
      <c r="CW5"/>
      <c r="DA5"/>
      <c r="DE5"/>
      <c r="DI5"/>
      <c r="DM5"/>
      <c r="DQ5"/>
      <c r="DU5"/>
      <c r="DY5"/>
      <c r="EC5"/>
      <c r="EG5"/>
      <c r="EK5"/>
      <c r="EO5"/>
      <c r="ES5"/>
      <c r="EW5"/>
      <c r="FA5"/>
      <c r="FE5"/>
      <c r="FI5"/>
      <c r="FM5"/>
      <c r="FQ5"/>
      <c r="FU5"/>
      <c r="FY5"/>
      <c r="GC5"/>
      <c r="GG5"/>
      <c r="GK5"/>
      <c r="GO5"/>
      <c r="GS5"/>
      <c r="GW5"/>
      <c r="HA5"/>
      <c r="HE5"/>
      <c r="HI5"/>
      <c r="HM5"/>
      <c r="HQ5"/>
      <c r="HU5"/>
      <c r="HY5"/>
      <c r="IC5"/>
      <c r="IG5"/>
      <c r="IK5"/>
      <c r="IO5"/>
      <c r="IS5"/>
      <c r="IW5"/>
      <c r="JA5"/>
      <c r="JE5"/>
      <c r="JI5"/>
      <c r="JM5"/>
      <c r="JQ5"/>
      <c r="JU5"/>
      <c r="JY5"/>
      <c r="KC5"/>
      <c r="KG5"/>
      <c r="KK5"/>
      <c r="KO5"/>
      <c r="KS5"/>
      <c r="KW5"/>
      <c r="LA5"/>
      <c r="LE5"/>
      <c r="LI5"/>
      <c r="LM5"/>
      <c r="LQ5"/>
      <c r="LU5"/>
      <c r="LY5"/>
      <c r="MC5"/>
      <c r="MG5"/>
      <c r="MK5"/>
      <c r="MO5"/>
      <c r="MS5"/>
      <c r="MW5"/>
      <c r="NA5"/>
      <c r="NE5"/>
      <c r="NI5"/>
      <c r="NM5"/>
      <c r="NQ5"/>
      <c r="NU5"/>
      <c r="NY5"/>
      <c r="OC5"/>
      <c r="OG5"/>
      <c r="OK5"/>
      <c r="OO5"/>
      <c r="OS5"/>
      <c r="OW5"/>
      <c r="PA5"/>
      <c r="PE5"/>
      <c r="PI5"/>
      <c r="PM5"/>
      <c r="PQ5"/>
      <c r="PU5"/>
      <c r="PY5"/>
      <c r="QC5"/>
      <c r="QG5"/>
      <c r="QK5"/>
      <c r="QO5"/>
      <c r="QS5"/>
      <c r="QW5"/>
      <c r="RA5"/>
      <c r="RE5"/>
      <c r="RI5"/>
      <c r="RM5"/>
      <c r="RQ5"/>
      <c r="RU5"/>
      <c r="RY5"/>
      <c r="SC5"/>
      <c r="SG5"/>
      <c r="SK5"/>
      <c r="SO5"/>
      <c r="SS5"/>
      <c r="SW5"/>
      <c r="TA5"/>
      <c r="TE5"/>
      <c r="TI5"/>
      <c r="TM5"/>
      <c r="TQ5"/>
      <c r="TU5"/>
      <c r="TY5"/>
      <c r="UC5"/>
      <c r="UG5"/>
      <c r="UK5"/>
      <c r="UO5"/>
      <c r="US5"/>
      <c r="UW5"/>
      <c r="VA5"/>
      <c r="VE5"/>
      <c r="VI5"/>
      <c r="VM5"/>
      <c r="VQ5"/>
      <c r="VU5"/>
      <c r="VY5"/>
      <c r="WC5"/>
      <c r="WG5"/>
      <c r="WK5"/>
      <c r="WO5"/>
      <c r="WS5"/>
      <c r="WW5"/>
      <c r="XA5"/>
      <c r="XE5"/>
      <c r="XI5"/>
      <c r="XM5"/>
      <c r="XQ5"/>
      <c r="XU5"/>
      <c r="XY5"/>
      <c r="YC5"/>
      <c r="YG5"/>
      <c r="YK5"/>
      <c r="YO5"/>
      <c r="YS5"/>
      <c r="YW5"/>
      <c r="ZA5"/>
      <c r="ZE5"/>
      <c r="ZI5"/>
      <c r="ZM5"/>
      <c r="ZQ5"/>
      <c r="ZU5"/>
      <c r="ZY5"/>
      <c r="AAC5"/>
      <c r="AAG5"/>
      <c r="AAK5"/>
      <c r="AAO5"/>
      <c r="AAS5"/>
      <c r="AAW5"/>
      <c r="ABA5"/>
      <c r="ABE5"/>
      <c r="ABI5"/>
      <c r="ABM5"/>
      <c r="ABQ5"/>
      <c r="ABU5"/>
      <c r="ABY5"/>
      <c r="ACC5"/>
      <c r="ACG5"/>
      <c r="ACK5"/>
      <c r="ACO5"/>
      <c r="ACS5"/>
      <c r="ACW5"/>
      <c r="ADA5"/>
      <c r="ADE5"/>
      <c r="ADI5"/>
      <c r="ADM5"/>
      <c r="ADQ5"/>
      <c r="ADU5"/>
      <c r="ADY5"/>
      <c r="AEC5"/>
      <c r="AEG5"/>
      <c r="AEK5"/>
      <c r="AEO5"/>
      <c r="AES5"/>
      <c r="AEW5"/>
      <c r="AFA5"/>
      <c r="AFE5"/>
      <c r="AFI5"/>
      <c r="AFM5"/>
      <c r="AFQ5"/>
      <c r="AFU5"/>
      <c r="AFY5"/>
      <c r="AGC5"/>
      <c r="AGG5"/>
      <c r="AGK5"/>
      <c r="AGO5"/>
      <c r="AGS5"/>
      <c r="AGW5"/>
      <c r="AHA5"/>
      <c r="AHE5"/>
      <c r="AHI5"/>
      <c r="AHM5"/>
      <c r="AHQ5"/>
      <c r="AHU5"/>
      <c r="AHY5"/>
      <c r="AIC5"/>
      <c r="AIG5"/>
      <c r="AIK5"/>
      <c r="AIO5"/>
      <c r="AIS5"/>
      <c r="AIW5"/>
      <c r="AJA5"/>
      <c r="AJE5"/>
      <c r="AJI5"/>
      <c r="AJM5"/>
      <c r="AJQ5"/>
      <c r="AJU5"/>
      <c r="AJY5"/>
      <c r="AKC5"/>
      <c r="AKG5"/>
      <c r="AKK5"/>
      <c r="AKO5"/>
      <c r="AKS5"/>
      <c r="AKW5"/>
      <c r="ALA5"/>
      <c r="ALE5"/>
      <c r="ALI5"/>
      <c r="ALM5"/>
      <c r="ALQ5"/>
      <c r="ALU5"/>
      <c r="ALY5"/>
      <c r="AMC5"/>
      <c r="AMG5"/>
      <c r="AMK5"/>
      <c r="AMO5"/>
      <c r="AMS5"/>
      <c r="AMW5"/>
      <c r="ANA5"/>
      <c r="ANE5"/>
      <c r="ANI5"/>
      <c r="ANM5"/>
      <c r="ANQ5"/>
      <c r="ANU5"/>
      <c r="ANY5"/>
      <c r="AOC5"/>
      <c r="AOG5"/>
      <c r="AOK5"/>
      <c r="AOO5"/>
      <c r="AOS5"/>
      <c r="AOW5"/>
      <c r="APA5"/>
      <c r="APE5"/>
      <c r="API5"/>
      <c r="APM5"/>
      <c r="APQ5"/>
      <c r="APU5"/>
      <c r="APY5"/>
      <c r="AQC5"/>
      <c r="AQG5"/>
      <c r="AQK5"/>
      <c r="AQO5"/>
      <c r="AQS5"/>
      <c r="AQW5"/>
      <c r="ARA5"/>
      <c r="ARE5"/>
      <c r="ARI5"/>
      <c r="ARM5"/>
      <c r="ARQ5"/>
      <c r="ARU5"/>
      <c r="ARY5"/>
      <c r="ASC5"/>
      <c r="ASG5"/>
      <c r="ASK5"/>
      <c r="ASO5"/>
      <c r="ASS5"/>
      <c r="ASW5"/>
      <c r="ATA5"/>
      <c r="ATE5"/>
      <c r="ATI5"/>
      <c r="ATM5"/>
      <c r="ATQ5"/>
      <c r="ATU5"/>
      <c r="ATY5"/>
      <c r="AUC5"/>
      <c r="AUG5"/>
      <c r="AUK5"/>
      <c r="AUO5"/>
      <c r="AUS5"/>
      <c r="AUW5"/>
      <c r="AVA5"/>
      <c r="AVE5"/>
      <c r="AVI5"/>
      <c r="AVM5"/>
      <c r="AVQ5"/>
      <c r="AVU5"/>
      <c r="AVY5"/>
      <c r="AWC5"/>
      <c r="AWG5"/>
      <c r="AWK5"/>
      <c r="AWO5"/>
      <c r="AWS5"/>
      <c r="AWW5"/>
      <c r="AXA5"/>
      <c r="AXE5"/>
      <c r="AXI5"/>
      <c r="AXM5"/>
      <c r="AXQ5"/>
      <c r="AXU5"/>
      <c r="AXY5"/>
      <c r="AYC5"/>
      <c r="AYG5"/>
      <c r="AYK5"/>
      <c r="AYO5"/>
      <c r="AYS5"/>
      <c r="AYW5"/>
      <c r="AZA5"/>
      <c r="AZE5"/>
      <c r="AZI5"/>
      <c r="AZM5"/>
      <c r="AZQ5"/>
      <c r="AZU5"/>
      <c r="AZY5"/>
      <c r="BAC5"/>
      <c r="BAG5"/>
      <c r="BAK5"/>
      <c r="BAO5"/>
      <c r="BAS5"/>
      <c r="BAW5"/>
      <c r="BBA5"/>
      <c r="BBE5"/>
      <c r="BBI5"/>
      <c r="BBM5"/>
      <c r="BBQ5"/>
      <c r="BBU5"/>
      <c r="BBY5"/>
      <c r="BCC5"/>
      <c r="BCG5"/>
      <c r="BCK5"/>
      <c r="BCO5"/>
      <c r="BCS5"/>
      <c r="BCW5"/>
      <c r="BDA5"/>
      <c r="BDE5"/>
      <c r="BDI5"/>
      <c r="BDM5"/>
      <c r="BDQ5"/>
      <c r="BDU5"/>
      <c r="BDY5"/>
      <c r="BEC5"/>
      <c r="BEG5"/>
      <c r="BEK5"/>
      <c r="BEO5"/>
      <c r="BES5"/>
      <c r="BEW5"/>
      <c r="BFA5"/>
      <c r="BFE5"/>
      <c r="BFI5"/>
      <c r="BFM5"/>
      <c r="BFQ5"/>
      <c r="BFU5"/>
      <c r="BFY5"/>
      <c r="BGC5"/>
      <c r="BGG5"/>
      <c r="BGK5"/>
      <c r="BGO5"/>
      <c r="BGS5"/>
      <c r="BGW5"/>
      <c r="BHA5"/>
      <c r="BHE5"/>
      <c r="BHI5"/>
      <c r="BHM5"/>
      <c r="BHQ5"/>
      <c r="BHU5"/>
      <c r="BHY5"/>
      <c r="BIC5"/>
      <c r="BIG5"/>
      <c r="BIK5"/>
      <c r="BIO5"/>
      <c r="BIS5"/>
      <c r="BIW5"/>
      <c r="BJA5"/>
      <c r="BJE5"/>
      <c r="BJI5"/>
      <c r="BJM5"/>
      <c r="BJQ5"/>
      <c r="BJU5"/>
      <c r="BJY5"/>
      <c r="BKC5"/>
      <c r="BKG5"/>
      <c r="BKK5"/>
      <c r="BKO5"/>
      <c r="BKS5"/>
      <c r="BKW5"/>
      <c r="BLA5"/>
      <c r="BLE5"/>
      <c r="BLI5"/>
      <c r="BLM5"/>
      <c r="BLQ5"/>
      <c r="BLU5"/>
      <c r="BLY5"/>
      <c r="BMC5"/>
      <c r="BMG5"/>
      <c r="BMK5"/>
      <c r="BMO5"/>
      <c r="BMS5"/>
      <c r="BMW5"/>
      <c r="BNA5"/>
      <c r="BNE5"/>
      <c r="BNI5"/>
      <c r="BNM5"/>
      <c r="BNQ5"/>
      <c r="BNU5"/>
      <c r="BNY5"/>
      <c r="BOC5"/>
      <c r="BOG5"/>
      <c r="BOK5"/>
      <c r="BOO5"/>
      <c r="BOS5"/>
      <c r="BOW5"/>
      <c r="BPA5"/>
      <c r="BPE5"/>
      <c r="BPI5"/>
      <c r="BPM5"/>
      <c r="BPQ5"/>
      <c r="BPU5"/>
      <c r="BPY5"/>
      <c r="BQC5"/>
      <c r="BQG5"/>
      <c r="BQK5"/>
      <c r="BQO5"/>
      <c r="BQS5"/>
      <c r="BQW5"/>
      <c r="BRA5"/>
      <c r="BRE5"/>
      <c r="BRI5"/>
      <c r="BRM5"/>
      <c r="BRQ5"/>
      <c r="BRU5"/>
      <c r="BRY5"/>
      <c r="BSC5"/>
      <c r="BSG5"/>
      <c r="BSK5"/>
      <c r="BSO5"/>
      <c r="BSS5"/>
      <c r="BSW5"/>
      <c r="BTA5"/>
      <c r="BTE5"/>
      <c r="BTI5"/>
      <c r="BTM5"/>
      <c r="BTQ5"/>
      <c r="BTU5"/>
      <c r="BTY5"/>
      <c r="BUC5"/>
      <c r="BUG5"/>
      <c r="BUK5"/>
      <c r="BUO5"/>
      <c r="BUS5"/>
      <c r="BUW5"/>
      <c r="BVA5"/>
      <c r="BVE5"/>
      <c r="BVI5"/>
      <c r="BVM5"/>
      <c r="BVQ5"/>
      <c r="BVU5"/>
      <c r="BVY5"/>
      <c r="BWC5"/>
      <c r="BWG5"/>
      <c r="BWK5"/>
      <c r="BWO5"/>
      <c r="BWS5"/>
      <c r="BWW5"/>
      <c r="BXA5"/>
      <c r="BXE5"/>
      <c r="BXI5"/>
      <c r="BXM5"/>
      <c r="BXQ5"/>
      <c r="BXU5"/>
      <c r="BXY5"/>
      <c r="BYC5"/>
      <c r="BYG5"/>
      <c r="BYK5"/>
      <c r="BYO5"/>
      <c r="BYS5"/>
      <c r="BYW5"/>
      <c r="BZA5"/>
      <c r="BZE5"/>
      <c r="BZI5"/>
      <c r="BZM5"/>
      <c r="BZQ5"/>
      <c r="BZU5"/>
      <c r="BZY5"/>
      <c r="CAC5"/>
      <c r="CAG5"/>
      <c r="CAK5"/>
      <c r="CAO5"/>
      <c r="CAS5"/>
      <c r="CAW5"/>
      <c r="CBA5"/>
      <c r="CBE5"/>
      <c r="CBI5"/>
      <c r="CBM5"/>
      <c r="CBQ5"/>
      <c r="CBU5"/>
      <c r="CBY5"/>
      <c r="CCC5"/>
      <c r="CCG5"/>
      <c r="CCK5"/>
      <c r="CCO5"/>
      <c r="CCS5"/>
      <c r="CCW5"/>
      <c r="CDA5"/>
      <c r="CDE5"/>
      <c r="CDI5"/>
      <c r="CDM5"/>
      <c r="CDQ5"/>
      <c r="CDU5"/>
      <c r="CDY5"/>
      <c r="CEC5"/>
      <c r="CEG5"/>
      <c r="CEK5"/>
      <c r="CEO5"/>
      <c r="CES5"/>
      <c r="CEW5"/>
      <c r="CFA5"/>
      <c r="CFE5"/>
      <c r="CFI5"/>
      <c r="CFM5"/>
      <c r="CFQ5"/>
      <c r="CFU5"/>
      <c r="CFY5"/>
      <c r="CGC5"/>
      <c r="CGG5"/>
      <c r="CGK5"/>
      <c r="CGO5"/>
      <c r="CGS5"/>
      <c r="CGW5"/>
      <c r="CHA5"/>
      <c r="CHE5"/>
      <c r="CHI5"/>
      <c r="CHM5"/>
      <c r="CHQ5"/>
      <c r="CHU5"/>
      <c r="CHY5"/>
      <c r="CIC5"/>
      <c r="CIG5"/>
      <c r="CIK5"/>
      <c r="CIO5"/>
      <c r="CIS5"/>
      <c r="CIW5"/>
      <c r="CJA5"/>
      <c r="CJE5"/>
      <c r="CJI5"/>
      <c r="CJM5"/>
      <c r="CJQ5"/>
      <c r="CJU5"/>
      <c r="CJY5"/>
      <c r="CKC5"/>
      <c r="CKG5"/>
      <c r="CKK5"/>
      <c r="CKO5"/>
      <c r="CKS5"/>
      <c r="CKW5"/>
      <c r="CLA5"/>
      <c r="CLE5"/>
      <c r="CLI5"/>
      <c r="CLM5"/>
      <c r="CLQ5"/>
      <c r="CLU5"/>
      <c r="CLY5"/>
      <c r="CMC5"/>
      <c r="CMG5"/>
      <c r="CMK5"/>
      <c r="CMO5"/>
      <c r="CMS5"/>
      <c r="CMW5"/>
      <c r="CNA5"/>
      <c r="CNE5"/>
      <c r="CNI5"/>
      <c r="CNM5"/>
      <c r="CNQ5"/>
      <c r="CNU5"/>
      <c r="CNY5"/>
      <c r="COC5"/>
      <c r="COG5"/>
      <c r="COK5"/>
      <c r="COO5"/>
      <c r="COS5"/>
      <c r="COW5"/>
      <c r="CPA5"/>
      <c r="CPE5"/>
      <c r="CPI5"/>
      <c r="CPM5"/>
      <c r="CPQ5"/>
      <c r="CPU5"/>
      <c r="CPY5"/>
      <c r="CQC5"/>
      <c r="CQG5"/>
      <c r="CQK5"/>
      <c r="CQO5"/>
      <c r="CQS5"/>
      <c r="CQW5"/>
      <c r="CRA5"/>
      <c r="CRE5"/>
      <c r="CRI5"/>
      <c r="CRM5"/>
      <c r="CRQ5"/>
      <c r="CRU5"/>
      <c r="CRY5"/>
      <c r="CSC5"/>
      <c r="CSG5"/>
      <c r="CSK5"/>
      <c r="CSO5"/>
      <c r="CSS5"/>
      <c r="CSW5"/>
      <c r="CTA5"/>
      <c r="CTE5"/>
      <c r="CTI5"/>
      <c r="CTM5"/>
      <c r="CTQ5"/>
      <c r="CTU5"/>
      <c r="CTY5"/>
      <c r="CUC5"/>
      <c r="CUG5"/>
      <c r="CUK5"/>
      <c r="CUO5"/>
      <c r="CUS5"/>
      <c r="CUW5"/>
      <c r="CVA5"/>
      <c r="CVE5"/>
      <c r="CVI5"/>
      <c r="CVM5"/>
      <c r="CVQ5"/>
      <c r="CVU5"/>
      <c r="CVY5"/>
      <c r="CWC5"/>
      <c r="CWG5"/>
      <c r="CWK5"/>
      <c r="CWO5"/>
      <c r="CWS5"/>
      <c r="CWW5"/>
      <c r="CXA5"/>
      <c r="CXE5"/>
      <c r="CXI5"/>
      <c r="CXM5"/>
      <c r="CXQ5"/>
      <c r="CXU5"/>
      <c r="CXY5"/>
      <c r="CYC5"/>
      <c r="CYG5"/>
      <c r="CYK5"/>
      <c r="CYO5"/>
      <c r="CYS5"/>
      <c r="CYW5"/>
      <c r="CZA5"/>
      <c r="CZE5"/>
      <c r="CZI5"/>
      <c r="CZM5"/>
      <c r="CZQ5"/>
      <c r="CZU5"/>
      <c r="CZY5"/>
      <c r="DAC5"/>
      <c r="DAG5"/>
      <c r="DAK5"/>
      <c r="DAO5"/>
      <c r="DAS5"/>
      <c r="DAW5"/>
      <c r="DBA5"/>
      <c r="DBE5"/>
      <c r="DBI5"/>
      <c r="DBM5"/>
      <c r="DBQ5"/>
      <c r="DBU5"/>
      <c r="DBY5"/>
      <c r="DCC5"/>
      <c r="DCG5"/>
      <c r="DCK5"/>
      <c r="DCO5"/>
      <c r="DCS5"/>
      <c r="DCW5"/>
      <c r="DDA5"/>
      <c r="DDE5"/>
      <c r="DDI5"/>
      <c r="DDM5"/>
      <c r="DDQ5"/>
      <c r="DDU5"/>
      <c r="DDY5"/>
      <c r="DEC5"/>
      <c r="DEG5"/>
      <c r="DEK5"/>
      <c r="DEO5"/>
      <c r="DES5"/>
      <c r="DEW5"/>
      <c r="DFA5"/>
      <c r="DFE5"/>
      <c r="DFI5"/>
      <c r="DFM5"/>
      <c r="DFQ5"/>
      <c r="DFU5"/>
      <c r="DFY5"/>
      <c r="DGC5"/>
      <c r="DGG5"/>
      <c r="DGK5"/>
      <c r="DGO5"/>
      <c r="DGS5"/>
      <c r="DGW5"/>
      <c r="DHA5"/>
      <c r="DHE5"/>
      <c r="DHI5"/>
      <c r="DHM5"/>
      <c r="DHQ5"/>
      <c r="DHU5"/>
      <c r="DHY5"/>
      <c r="DIC5"/>
      <c r="DIG5"/>
      <c r="DIK5"/>
      <c r="DIO5"/>
      <c r="DIS5"/>
      <c r="DIW5"/>
      <c r="DJA5"/>
      <c r="DJE5"/>
      <c r="DJI5"/>
      <c r="DJM5"/>
      <c r="DJQ5"/>
      <c r="DJU5"/>
      <c r="DJY5"/>
      <c r="DKC5"/>
      <c r="DKG5"/>
      <c r="DKK5"/>
      <c r="DKO5"/>
      <c r="DKS5"/>
      <c r="DKW5"/>
      <c r="DLA5"/>
      <c r="DLE5"/>
      <c r="DLI5"/>
      <c r="DLM5"/>
      <c r="DLQ5"/>
      <c r="DLU5"/>
      <c r="DLY5"/>
      <c r="DMC5"/>
      <c r="DMG5"/>
      <c r="DMK5"/>
      <c r="DMO5"/>
      <c r="DMS5"/>
      <c r="DMW5"/>
      <c r="DNA5"/>
      <c r="DNE5"/>
      <c r="DNI5"/>
      <c r="DNM5"/>
      <c r="DNQ5"/>
      <c r="DNU5"/>
      <c r="DNY5"/>
      <c r="DOC5"/>
      <c r="DOG5"/>
      <c r="DOK5"/>
      <c r="DOO5"/>
      <c r="DOS5"/>
      <c r="DOW5"/>
      <c r="DPA5"/>
      <c r="DPE5"/>
      <c r="DPI5"/>
      <c r="DPM5"/>
      <c r="DPQ5"/>
      <c r="DPU5"/>
      <c r="DPY5"/>
      <c r="DQC5"/>
      <c r="DQG5"/>
      <c r="DQK5"/>
      <c r="DQO5"/>
      <c r="DQS5"/>
      <c r="DQW5"/>
      <c r="DRA5"/>
      <c r="DRE5"/>
      <c r="DRI5"/>
      <c r="DRM5"/>
      <c r="DRQ5"/>
      <c r="DRU5"/>
      <c r="DRY5"/>
      <c r="DSC5"/>
      <c r="DSG5"/>
      <c r="DSK5"/>
      <c r="DSO5"/>
      <c r="DSS5"/>
      <c r="DSW5"/>
      <c r="DTA5"/>
      <c r="DTE5"/>
      <c r="DTI5"/>
      <c r="DTM5"/>
      <c r="DTQ5"/>
      <c r="DTU5"/>
      <c r="DTY5"/>
      <c r="DUC5"/>
      <c r="DUG5"/>
      <c r="DUK5"/>
      <c r="DUO5"/>
      <c r="DUS5"/>
      <c r="DUW5"/>
      <c r="DVA5"/>
      <c r="DVE5"/>
      <c r="DVI5"/>
      <c r="DVM5"/>
      <c r="DVQ5"/>
      <c r="DVU5"/>
      <c r="DVY5"/>
      <c r="DWC5"/>
      <c r="DWG5"/>
      <c r="DWK5"/>
      <c r="DWO5"/>
      <c r="DWS5"/>
      <c r="DWW5"/>
      <c r="DXA5"/>
      <c r="DXE5"/>
      <c r="DXI5"/>
      <c r="DXM5"/>
      <c r="DXQ5"/>
      <c r="DXU5"/>
      <c r="DXY5"/>
      <c r="DYC5"/>
      <c r="DYG5"/>
      <c r="DYK5"/>
      <c r="DYO5"/>
      <c r="DYS5"/>
      <c r="DYW5"/>
      <c r="DZA5"/>
      <c r="DZE5"/>
      <c r="DZI5"/>
      <c r="DZM5"/>
      <c r="DZQ5"/>
      <c r="DZU5"/>
      <c r="DZY5"/>
      <c r="EAC5"/>
      <c r="EAG5"/>
      <c r="EAK5"/>
      <c r="EAO5"/>
      <c r="EAS5"/>
      <c r="EAW5"/>
      <c r="EBA5"/>
      <c r="EBE5"/>
      <c r="EBI5"/>
      <c r="EBM5"/>
      <c r="EBQ5"/>
      <c r="EBU5"/>
      <c r="EBY5"/>
      <c r="ECC5"/>
      <c r="ECG5"/>
      <c r="ECK5"/>
      <c r="ECO5"/>
      <c r="ECS5"/>
      <c r="ECW5"/>
      <c r="EDA5"/>
      <c r="EDE5"/>
      <c r="EDI5"/>
      <c r="EDM5"/>
      <c r="EDQ5"/>
      <c r="EDU5"/>
      <c r="EDY5"/>
      <c r="EEC5"/>
      <c r="EEG5"/>
      <c r="EEK5"/>
      <c r="EEO5"/>
      <c r="EES5"/>
      <c r="EEW5"/>
      <c r="EFA5"/>
      <c r="EFE5"/>
      <c r="EFI5"/>
      <c r="EFM5"/>
      <c r="EFQ5"/>
      <c r="EFU5"/>
      <c r="EFY5"/>
      <c r="EGC5"/>
      <c r="EGG5"/>
      <c r="EGK5"/>
      <c r="EGO5"/>
      <c r="EGS5"/>
      <c r="EGW5"/>
      <c r="EHA5"/>
      <c r="EHE5"/>
      <c r="EHI5"/>
      <c r="EHM5"/>
      <c r="EHQ5"/>
      <c r="EHU5"/>
      <c r="EHY5"/>
      <c r="EIC5"/>
      <c r="EIG5"/>
      <c r="EIK5"/>
      <c r="EIO5"/>
      <c r="EIS5"/>
      <c r="EIW5"/>
      <c r="EJA5"/>
      <c r="EJE5"/>
      <c r="EJI5"/>
      <c r="EJM5"/>
      <c r="EJQ5"/>
      <c r="EJU5"/>
      <c r="EJY5"/>
      <c r="EKC5"/>
      <c r="EKG5"/>
      <c r="EKK5"/>
      <c r="EKO5"/>
      <c r="EKS5"/>
      <c r="EKW5"/>
      <c r="ELA5"/>
      <c r="ELE5"/>
      <c r="ELI5"/>
      <c r="ELM5"/>
      <c r="ELQ5"/>
      <c r="ELU5"/>
      <c r="ELY5"/>
      <c r="EMC5"/>
      <c r="EMG5"/>
      <c r="EMK5"/>
      <c r="EMO5"/>
      <c r="EMS5"/>
      <c r="EMW5"/>
      <c r="ENA5"/>
      <c r="ENE5"/>
      <c r="ENI5"/>
      <c r="ENM5"/>
      <c r="ENQ5"/>
      <c r="ENU5"/>
      <c r="ENY5"/>
      <c r="EOC5"/>
      <c r="EOG5"/>
      <c r="EOK5"/>
      <c r="EOO5"/>
      <c r="EOS5"/>
      <c r="EOW5"/>
      <c r="EPA5"/>
      <c r="EPE5"/>
      <c r="EPI5"/>
      <c r="EPM5"/>
      <c r="EPQ5"/>
      <c r="EPU5"/>
      <c r="EPY5"/>
      <c r="EQC5"/>
      <c r="EQG5"/>
      <c r="EQK5"/>
      <c r="EQO5"/>
      <c r="EQS5"/>
      <c r="EQW5"/>
      <c r="ERA5"/>
      <c r="ERE5"/>
      <c r="ERI5"/>
      <c r="ERM5"/>
      <c r="ERQ5"/>
      <c r="ERU5"/>
      <c r="ERY5"/>
      <c r="ESC5"/>
      <c r="ESG5"/>
      <c r="ESK5"/>
      <c r="ESO5"/>
      <c r="ESS5"/>
      <c r="ESW5"/>
      <c r="ETA5"/>
      <c r="ETE5"/>
      <c r="ETI5"/>
      <c r="ETM5"/>
      <c r="ETQ5"/>
      <c r="ETU5"/>
      <c r="ETY5"/>
      <c r="EUC5"/>
      <c r="EUG5"/>
      <c r="EUK5"/>
      <c r="EUO5"/>
      <c r="EUS5"/>
      <c r="EUW5"/>
      <c r="EVA5"/>
      <c r="EVE5"/>
      <c r="EVI5"/>
      <c r="EVM5"/>
      <c r="EVQ5"/>
      <c r="EVU5"/>
      <c r="EVY5"/>
      <c r="EWC5"/>
      <c r="EWG5"/>
      <c r="EWK5"/>
      <c r="EWO5"/>
      <c r="EWS5"/>
      <c r="EWW5"/>
      <c r="EXA5"/>
      <c r="EXE5"/>
      <c r="EXI5"/>
      <c r="EXM5"/>
      <c r="EXQ5"/>
      <c r="EXU5"/>
      <c r="EXY5"/>
      <c r="EYC5"/>
      <c r="EYG5"/>
      <c r="EYK5"/>
      <c r="EYO5"/>
      <c r="EYS5"/>
      <c r="EYW5"/>
      <c r="EZA5"/>
      <c r="EZE5"/>
      <c r="EZI5"/>
      <c r="EZM5"/>
      <c r="EZQ5"/>
      <c r="EZU5"/>
      <c r="EZY5"/>
      <c r="FAC5"/>
      <c r="FAG5"/>
      <c r="FAK5"/>
      <c r="FAO5"/>
      <c r="FAS5"/>
      <c r="FAW5"/>
      <c r="FBA5"/>
      <c r="FBE5"/>
      <c r="FBI5"/>
      <c r="FBM5"/>
      <c r="FBQ5"/>
      <c r="FBU5"/>
      <c r="FBY5"/>
      <c r="FCC5"/>
      <c r="FCG5"/>
      <c r="FCK5"/>
      <c r="FCO5"/>
      <c r="FCS5"/>
      <c r="FCW5"/>
      <c r="FDA5"/>
      <c r="FDE5"/>
      <c r="FDI5"/>
      <c r="FDM5"/>
      <c r="FDQ5"/>
      <c r="FDU5"/>
      <c r="FDY5"/>
      <c r="FEC5"/>
      <c r="FEG5"/>
      <c r="FEK5"/>
      <c r="FEO5"/>
      <c r="FES5"/>
      <c r="FEW5"/>
      <c r="FFA5"/>
      <c r="FFE5"/>
      <c r="FFI5"/>
      <c r="FFM5"/>
      <c r="FFQ5"/>
      <c r="FFU5"/>
      <c r="FFY5"/>
      <c r="FGC5"/>
      <c r="FGG5"/>
      <c r="FGK5"/>
      <c r="FGO5"/>
      <c r="FGS5"/>
      <c r="FGW5"/>
      <c r="FHA5"/>
      <c r="FHE5"/>
      <c r="FHI5"/>
      <c r="FHM5"/>
      <c r="FHQ5"/>
      <c r="FHU5"/>
      <c r="FHY5"/>
      <c r="FIC5"/>
      <c r="FIG5"/>
      <c r="FIK5"/>
      <c r="FIO5"/>
      <c r="FIS5"/>
      <c r="FIW5"/>
      <c r="FJA5"/>
      <c r="FJE5"/>
      <c r="FJI5"/>
      <c r="FJM5"/>
      <c r="FJQ5"/>
      <c r="FJU5"/>
      <c r="FJY5"/>
      <c r="FKC5"/>
      <c r="FKG5"/>
      <c r="FKK5"/>
      <c r="FKO5"/>
      <c r="FKS5"/>
      <c r="FKW5"/>
      <c r="FLA5"/>
      <c r="FLE5"/>
      <c r="FLI5"/>
      <c r="FLM5"/>
      <c r="FLQ5"/>
      <c r="FLU5"/>
      <c r="FLY5"/>
      <c r="FMC5"/>
      <c r="FMG5"/>
      <c r="FMK5"/>
      <c r="FMO5"/>
      <c r="FMS5"/>
      <c r="FMW5"/>
      <c r="FNA5"/>
      <c r="FNE5"/>
      <c r="FNI5"/>
      <c r="FNM5"/>
      <c r="FNQ5"/>
      <c r="FNU5"/>
      <c r="FNY5"/>
      <c r="FOC5"/>
      <c r="FOG5"/>
      <c r="FOK5"/>
      <c r="FOO5"/>
      <c r="FOS5"/>
      <c r="FOW5"/>
      <c r="FPA5"/>
      <c r="FPE5"/>
      <c r="FPI5"/>
      <c r="FPM5"/>
      <c r="FPQ5"/>
      <c r="FPU5"/>
      <c r="FPY5"/>
      <c r="FQC5"/>
      <c r="FQG5"/>
      <c r="FQK5"/>
      <c r="FQO5"/>
      <c r="FQS5"/>
      <c r="FQW5"/>
      <c r="FRA5"/>
      <c r="FRE5"/>
      <c r="FRI5"/>
      <c r="FRM5"/>
      <c r="FRQ5"/>
      <c r="FRU5"/>
      <c r="FRY5"/>
      <c r="FSC5"/>
      <c r="FSG5"/>
      <c r="FSK5"/>
      <c r="FSO5"/>
      <c r="FSS5"/>
      <c r="FSW5"/>
      <c r="FTA5"/>
      <c r="FTE5"/>
      <c r="FTI5"/>
      <c r="FTM5"/>
      <c r="FTQ5"/>
      <c r="FTU5"/>
      <c r="FTY5"/>
      <c r="FUC5"/>
      <c r="FUG5"/>
      <c r="FUK5"/>
      <c r="FUO5"/>
      <c r="FUS5"/>
      <c r="FUW5"/>
      <c r="FVA5"/>
      <c r="FVE5"/>
      <c r="FVI5"/>
      <c r="FVM5"/>
      <c r="FVQ5"/>
      <c r="FVU5"/>
      <c r="FVY5"/>
      <c r="FWC5"/>
      <c r="FWG5"/>
      <c r="FWK5"/>
      <c r="FWO5"/>
      <c r="FWS5"/>
      <c r="FWW5"/>
      <c r="FXA5"/>
      <c r="FXE5"/>
      <c r="FXI5"/>
      <c r="FXM5"/>
      <c r="FXQ5"/>
      <c r="FXU5"/>
      <c r="FXY5"/>
      <c r="FYC5"/>
      <c r="FYG5"/>
      <c r="FYK5"/>
      <c r="FYO5"/>
      <c r="FYS5"/>
      <c r="FYW5"/>
      <c r="FZA5"/>
      <c r="FZE5"/>
      <c r="FZI5"/>
      <c r="FZM5"/>
      <c r="FZQ5"/>
      <c r="FZU5"/>
      <c r="FZY5"/>
      <c r="GAC5"/>
      <c r="GAG5"/>
      <c r="GAK5"/>
      <c r="GAO5"/>
      <c r="GAS5"/>
      <c r="GAW5"/>
      <c r="GBA5"/>
      <c r="GBE5"/>
      <c r="GBI5"/>
      <c r="GBM5"/>
      <c r="GBQ5"/>
      <c r="GBU5"/>
      <c r="GBY5"/>
      <c r="GCC5"/>
      <c r="GCG5"/>
      <c r="GCK5"/>
      <c r="GCO5"/>
      <c r="GCS5"/>
      <c r="GCW5"/>
      <c r="GDA5"/>
      <c r="GDE5"/>
      <c r="GDI5"/>
      <c r="GDM5"/>
      <c r="GDQ5"/>
      <c r="GDU5"/>
      <c r="GDY5"/>
      <c r="GEC5"/>
      <c r="GEG5"/>
      <c r="GEK5"/>
      <c r="GEO5"/>
      <c r="GES5"/>
      <c r="GEW5"/>
      <c r="GFA5"/>
      <c r="GFE5"/>
      <c r="GFI5"/>
      <c r="GFM5"/>
      <c r="GFQ5"/>
      <c r="GFU5"/>
      <c r="GFY5"/>
      <c r="GGC5"/>
      <c r="GGG5"/>
      <c r="GGK5"/>
      <c r="GGO5"/>
      <c r="GGS5"/>
      <c r="GGW5"/>
      <c r="GHA5"/>
      <c r="GHE5"/>
      <c r="GHI5"/>
      <c r="GHM5"/>
      <c r="GHQ5"/>
      <c r="GHU5"/>
      <c r="GHY5"/>
      <c r="GIC5"/>
      <c r="GIG5"/>
      <c r="GIK5"/>
      <c r="GIO5"/>
      <c r="GIS5"/>
      <c r="GIW5"/>
      <c r="GJA5"/>
      <c r="GJE5"/>
      <c r="GJI5"/>
      <c r="GJM5"/>
      <c r="GJQ5"/>
      <c r="GJU5"/>
      <c r="GJY5"/>
      <c r="GKC5"/>
      <c r="GKG5"/>
      <c r="GKK5"/>
      <c r="GKO5"/>
      <c r="GKS5"/>
      <c r="GKW5"/>
      <c r="GLA5"/>
      <c r="GLE5"/>
      <c r="GLI5"/>
      <c r="GLM5"/>
      <c r="GLQ5"/>
      <c r="GLU5"/>
      <c r="GLY5"/>
      <c r="GMC5"/>
      <c r="GMG5"/>
      <c r="GMK5"/>
      <c r="GMO5"/>
      <c r="GMS5"/>
      <c r="GMW5"/>
      <c r="GNA5"/>
      <c r="GNE5"/>
      <c r="GNI5"/>
      <c r="GNM5"/>
      <c r="GNQ5"/>
      <c r="GNU5"/>
      <c r="GNY5"/>
      <c r="GOC5"/>
      <c r="GOG5"/>
      <c r="GOK5"/>
      <c r="GOO5"/>
      <c r="GOS5"/>
      <c r="GOW5"/>
      <c r="GPA5"/>
      <c r="GPE5"/>
      <c r="GPI5"/>
      <c r="GPM5"/>
      <c r="GPQ5"/>
      <c r="GPU5"/>
      <c r="GPY5"/>
      <c r="GQC5"/>
      <c r="GQG5"/>
      <c r="GQK5"/>
      <c r="GQO5"/>
      <c r="GQS5"/>
      <c r="GQW5"/>
      <c r="GRA5"/>
      <c r="GRE5"/>
      <c r="GRI5"/>
      <c r="GRM5"/>
      <c r="GRQ5"/>
      <c r="GRU5"/>
      <c r="GRY5"/>
      <c r="GSC5"/>
      <c r="GSG5"/>
      <c r="GSK5"/>
      <c r="GSO5"/>
      <c r="GSS5"/>
      <c r="GSW5"/>
      <c r="GTA5"/>
      <c r="GTE5"/>
      <c r="GTI5"/>
      <c r="GTM5"/>
      <c r="GTQ5"/>
      <c r="GTU5"/>
      <c r="GTY5"/>
      <c r="GUC5"/>
      <c r="GUG5"/>
      <c r="GUK5"/>
      <c r="GUO5"/>
      <c r="GUS5"/>
      <c r="GUW5"/>
      <c r="GVA5"/>
      <c r="GVE5"/>
      <c r="GVI5"/>
      <c r="GVM5"/>
      <c r="GVQ5"/>
      <c r="GVU5"/>
      <c r="GVY5"/>
      <c r="GWC5"/>
      <c r="GWG5"/>
      <c r="GWK5"/>
      <c r="GWO5"/>
      <c r="GWS5"/>
      <c r="GWW5"/>
      <c r="GXA5"/>
      <c r="GXE5"/>
      <c r="GXI5"/>
      <c r="GXM5"/>
      <c r="GXQ5"/>
      <c r="GXU5"/>
      <c r="GXY5"/>
      <c r="GYC5"/>
      <c r="GYG5"/>
      <c r="GYK5"/>
      <c r="GYO5"/>
      <c r="GYS5"/>
      <c r="GYW5"/>
      <c r="GZA5"/>
      <c r="GZE5"/>
      <c r="GZI5"/>
      <c r="GZM5"/>
      <c r="GZQ5"/>
      <c r="GZU5"/>
      <c r="GZY5"/>
      <c r="HAC5"/>
      <c r="HAG5"/>
      <c r="HAK5"/>
      <c r="HAO5"/>
      <c r="HAS5"/>
      <c r="HAW5"/>
      <c r="HBA5"/>
      <c r="HBE5"/>
      <c r="HBI5"/>
      <c r="HBM5"/>
      <c r="HBQ5"/>
      <c r="HBU5"/>
      <c r="HBY5"/>
      <c r="HCC5"/>
      <c r="HCG5"/>
      <c r="HCK5"/>
      <c r="HCO5"/>
      <c r="HCS5"/>
      <c r="HCW5"/>
      <c r="HDA5"/>
      <c r="HDE5"/>
      <c r="HDI5"/>
      <c r="HDM5"/>
      <c r="HDQ5"/>
      <c r="HDU5"/>
      <c r="HDY5"/>
      <c r="HEC5"/>
      <c r="HEG5"/>
      <c r="HEK5"/>
      <c r="HEO5"/>
      <c r="HES5"/>
      <c r="HEW5"/>
      <c r="HFA5"/>
      <c r="HFE5"/>
      <c r="HFI5"/>
      <c r="HFM5"/>
      <c r="HFQ5"/>
      <c r="HFU5"/>
      <c r="HFY5"/>
      <c r="HGC5"/>
      <c r="HGG5"/>
      <c r="HGK5"/>
      <c r="HGO5"/>
      <c r="HGS5"/>
      <c r="HGW5"/>
      <c r="HHA5"/>
      <c r="HHE5"/>
      <c r="HHI5"/>
      <c r="HHM5"/>
      <c r="HHQ5"/>
      <c r="HHU5"/>
      <c r="HHY5"/>
      <c r="HIC5"/>
      <c r="HIG5"/>
      <c r="HIK5"/>
      <c r="HIO5"/>
      <c r="HIS5"/>
      <c r="HIW5"/>
      <c r="HJA5"/>
      <c r="HJE5"/>
      <c r="HJI5"/>
      <c r="HJM5"/>
      <c r="HJQ5"/>
      <c r="HJU5"/>
      <c r="HJY5"/>
      <c r="HKC5"/>
      <c r="HKG5"/>
      <c r="HKK5"/>
      <c r="HKO5"/>
      <c r="HKS5"/>
      <c r="HKW5"/>
      <c r="HLA5"/>
      <c r="HLE5"/>
      <c r="HLI5"/>
      <c r="HLM5"/>
      <c r="HLQ5"/>
      <c r="HLU5"/>
      <c r="HLY5"/>
      <c r="HMC5"/>
      <c r="HMG5"/>
      <c r="HMK5"/>
      <c r="HMO5"/>
      <c r="HMS5"/>
      <c r="HMW5"/>
      <c r="HNA5"/>
      <c r="HNE5"/>
      <c r="HNI5"/>
      <c r="HNM5"/>
      <c r="HNQ5"/>
      <c r="HNU5"/>
      <c r="HNY5"/>
      <c r="HOC5"/>
      <c r="HOG5"/>
      <c r="HOK5"/>
      <c r="HOO5"/>
      <c r="HOS5"/>
      <c r="HOW5"/>
      <c r="HPA5"/>
      <c r="HPE5"/>
      <c r="HPI5"/>
      <c r="HPM5"/>
      <c r="HPQ5"/>
      <c r="HPU5"/>
      <c r="HPY5"/>
      <c r="HQC5"/>
      <c r="HQG5"/>
      <c r="HQK5"/>
      <c r="HQO5"/>
      <c r="HQS5"/>
      <c r="HQW5"/>
      <c r="HRA5"/>
      <c r="HRE5"/>
      <c r="HRI5"/>
      <c r="HRM5"/>
      <c r="HRQ5"/>
      <c r="HRU5"/>
      <c r="HRY5"/>
      <c r="HSC5"/>
      <c r="HSG5"/>
      <c r="HSK5"/>
      <c r="HSO5"/>
      <c r="HSS5"/>
      <c r="HSW5"/>
      <c r="HTA5"/>
      <c r="HTE5"/>
      <c r="HTI5"/>
      <c r="HTM5"/>
      <c r="HTQ5"/>
      <c r="HTU5"/>
      <c r="HTY5"/>
      <c r="HUC5"/>
      <c r="HUG5"/>
      <c r="HUK5"/>
      <c r="HUO5"/>
      <c r="HUS5"/>
      <c r="HUW5"/>
      <c r="HVA5"/>
      <c r="HVE5"/>
      <c r="HVI5"/>
      <c r="HVM5"/>
      <c r="HVQ5"/>
      <c r="HVU5"/>
      <c r="HVY5"/>
      <c r="HWC5"/>
      <c r="HWG5"/>
      <c r="HWK5"/>
      <c r="HWO5"/>
      <c r="HWS5"/>
      <c r="HWW5"/>
      <c r="HXA5"/>
      <c r="HXE5"/>
      <c r="HXI5"/>
      <c r="HXM5"/>
      <c r="HXQ5"/>
      <c r="HXU5"/>
      <c r="HXY5"/>
      <c r="HYC5"/>
      <c r="HYG5"/>
      <c r="HYK5"/>
      <c r="HYO5"/>
      <c r="HYS5"/>
      <c r="HYW5"/>
      <c r="HZA5"/>
      <c r="HZE5"/>
      <c r="HZI5"/>
      <c r="HZM5"/>
      <c r="HZQ5"/>
      <c r="HZU5"/>
      <c r="HZY5"/>
      <c r="IAC5"/>
      <c r="IAG5"/>
      <c r="IAK5"/>
      <c r="IAO5"/>
      <c r="IAS5"/>
      <c r="IAW5"/>
      <c r="IBA5"/>
      <c r="IBE5"/>
      <c r="IBI5"/>
      <c r="IBM5"/>
      <c r="IBQ5"/>
      <c r="IBU5"/>
      <c r="IBY5"/>
      <c r="ICC5"/>
      <c r="ICG5"/>
      <c r="ICK5"/>
      <c r="ICO5"/>
      <c r="ICS5"/>
      <c r="ICW5"/>
      <c r="IDA5"/>
      <c r="IDE5"/>
      <c r="IDI5"/>
      <c r="IDM5"/>
      <c r="IDQ5"/>
      <c r="IDU5"/>
      <c r="IDY5"/>
      <c r="IEC5"/>
      <c r="IEG5"/>
      <c r="IEK5"/>
      <c r="IEO5"/>
      <c r="IES5"/>
      <c r="IEW5"/>
      <c r="IFA5"/>
      <c r="IFE5"/>
      <c r="IFI5"/>
      <c r="IFM5"/>
      <c r="IFQ5"/>
      <c r="IFU5"/>
      <c r="IFY5"/>
      <c r="IGC5"/>
      <c r="IGG5"/>
      <c r="IGK5"/>
      <c r="IGO5"/>
      <c r="IGS5"/>
      <c r="IGW5"/>
      <c r="IHA5"/>
      <c r="IHE5"/>
      <c r="IHI5"/>
      <c r="IHM5"/>
      <c r="IHQ5"/>
      <c r="IHU5"/>
      <c r="IHY5"/>
      <c r="IIC5"/>
      <c r="IIG5"/>
      <c r="IIK5"/>
      <c r="IIO5"/>
      <c r="IIS5"/>
      <c r="IIW5"/>
      <c r="IJA5"/>
      <c r="IJE5"/>
      <c r="IJI5"/>
      <c r="IJM5"/>
      <c r="IJQ5"/>
      <c r="IJU5"/>
      <c r="IJY5"/>
      <c r="IKC5"/>
      <c r="IKG5"/>
      <c r="IKK5"/>
      <c r="IKO5"/>
      <c r="IKS5"/>
      <c r="IKW5"/>
      <c r="ILA5"/>
      <c r="ILE5"/>
      <c r="ILI5"/>
      <c r="ILM5"/>
      <c r="ILQ5"/>
      <c r="ILU5"/>
      <c r="ILY5"/>
      <c r="IMC5"/>
      <c r="IMG5"/>
      <c r="IMK5"/>
      <c r="IMO5"/>
      <c r="IMS5"/>
      <c r="IMW5"/>
      <c r="INA5"/>
      <c r="INE5"/>
      <c r="INI5"/>
      <c r="INM5"/>
      <c r="INQ5"/>
      <c r="INU5"/>
      <c r="INY5"/>
      <c r="IOC5"/>
      <c r="IOG5"/>
      <c r="IOK5"/>
      <c r="IOO5"/>
      <c r="IOS5"/>
      <c r="IOW5"/>
      <c r="IPA5"/>
      <c r="IPE5"/>
      <c r="IPI5"/>
      <c r="IPM5"/>
      <c r="IPQ5"/>
      <c r="IPU5"/>
      <c r="IPY5"/>
      <c r="IQC5"/>
      <c r="IQG5"/>
      <c r="IQK5"/>
      <c r="IQO5"/>
      <c r="IQS5"/>
      <c r="IQW5"/>
      <c r="IRA5"/>
      <c r="IRE5"/>
      <c r="IRI5"/>
      <c r="IRM5"/>
      <c r="IRQ5"/>
      <c r="IRU5"/>
      <c r="IRY5"/>
      <c r="ISC5"/>
      <c r="ISG5"/>
      <c r="ISK5"/>
      <c r="ISO5"/>
      <c r="ISS5"/>
      <c r="ISW5"/>
      <c r="ITA5"/>
      <c r="ITE5"/>
      <c r="ITI5"/>
      <c r="ITM5"/>
      <c r="ITQ5"/>
      <c r="ITU5"/>
      <c r="ITY5"/>
      <c r="IUC5"/>
      <c r="IUG5"/>
      <c r="IUK5"/>
      <c r="IUO5"/>
      <c r="IUS5"/>
      <c r="IUW5"/>
      <c r="IVA5"/>
      <c r="IVE5"/>
      <c r="IVI5"/>
      <c r="IVM5"/>
      <c r="IVQ5"/>
      <c r="IVU5"/>
      <c r="IVY5"/>
      <c r="IWC5"/>
      <c r="IWG5"/>
      <c r="IWK5"/>
      <c r="IWO5"/>
      <c r="IWS5"/>
      <c r="IWW5"/>
      <c r="IXA5"/>
      <c r="IXE5"/>
      <c r="IXI5"/>
      <c r="IXM5"/>
      <c r="IXQ5"/>
      <c r="IXU5"/>
      <c r="IXY5"/>
      <c r="IYC5"/>
      <c r="IYG5"/>
      <c r="IYK5"/>
      <c r="IYO5"/>
      <c r="IYS5"/>
      <c r="IYW5"/>
      <c r="IZA5"/>
      <c r="IZE5"/>
      <c r="IZI5"/>
      <c r="IZM5"/>
      <c r="IZQ5"/>
      <c r="IZU5"/>
      <c r="IZY5"/>
      <c r="JAC5"/>
      <c r="JAG5"/>
      <c r="JAK5"/>
      <c r="JAO5"/>
      <c r="JAS5"/>
      <c r="JAW5"/>
      <c r="JBA5"/>
      <c r="JBE5"/>
      <c r="JBI5"/>
      <c r="JBM5"/>
      <c r="JBQ5"/>
      <c r="JBU5"/>
      <c r="JBY5"/>
      <c r="JCC5"/>
      <c r="JCG5"/>
      <c r="JCK5"/>
      <c r="JCO5"/>
      <c r="JCS5"/>
      <c r="JCW5"/>
      <c r="JDA5"/>
      <c r="JDE5"/>
      <c r="JDI5"/>
      <c r="JDM5"/>
      <c r="JDQ5"/>
      <c r="JDU5"/>
      <c r="JDY5"/>
      <c r="JEC5"/>
      <c r="JEG5"/>
      <c r="JEK5"/>
      <c r="JEO5"/>
      <c r="JES5"/>
      <c r="JEW5"/>
      <c r="JFA5"/>
      <c r="JFE5"/>
      <c r="JFI5"/>
      <c r="JFM5"/>
      <c r="JFQ5"/>
      <c r="JFU5"/>
      <c r="JFY5"/>
      <c r="JGC5"/>
      <c r="JGG5"/>
      <c r="JGK5"/>
      <c r="JGO5"/>
      <c r="JGS5"/>
      <c r="JGW5"/>
      <c r="JHA5"/>
      <c r="JHE5"/>
      <c r="JHI5"/>
      <c r="JHM5"/>
      <c r="JHQ5"/>
      <c r="JHU5"/>
      <c r="JHY5"/>
      <c r="JIC5"/>
      <c r="JIG5"/>
      <c r="JIK5"/>
      <c r="JIO5"/>
      <c r="JIS5"/>
      <c r="JIW5"/>
      <c r="JJA5"/>
      <c r="JJE5"/>
      <c r="JJI5"/>
      <c r="JJM5"/>
      <c r="JJQ5"/>
      <c r="JJU5"/>
      <c r="JJY5"/>
      <c r="JKC5"/>
      <c r="JKG5"/>
      <c r="JKK5"/>
      <c r="JKO5"/>
      <c r="JKS5"/>
      <c r="JKW5"/>
      <c r="JLA5"/>
      <c r="JLE5"/>
      <c r="JLI5"/>
      <c r="JLM5"/>
      <c r="JLQ5"/>
      <c r="JLU5"/>
      <c r="JLY5"/>
      <c r="JMC5"/>
      <c r="JMG5"/>
      <c r="JMK5"/>
      <c r="JMO5"/>
      <c r="JMS5"/>
      <c r="JMW5"/>
      <c r="JNA5"/>
      <c r="JNE5"/>
      <c r="JNI5"/>
      <c r="JNM5"/>
      <c r="JNQ5"/>
      <c r="JNU5"/>
      <c r="JNY5"/>
      <c r="JOC5"/>
      <c r="JOG5"/>
      <c r="JOK5"/>
      <c r="JOO5"/>
      <c r="JOS5"/>
      <c r="JOW5"/>
      <c r="JPA5"/>
      <c r="JPE5"/>
      <c r="JPI5"/>
      <c r="JPM5"/>
      <c r="JPQ5"/>
      <c r="JPU5"/>
      <c r="JPY5"/>
      <c r="JQC5"/>
      <c r="JQG5"/>
      <c r="JQK5"/>
      <c r="JQO5"/>
      <c r="JQS5"/>
      <c r="JQW5"/>
      <c r="JRA5"/>
      <c r="JRE5"/>
      <c r="JRI5"/>
      <c r="JRM5"/>
      <c r="JRQ5"/>
      <c r="JRU5"/>
      <c r="JRY5"/>
      <c r="JSC5"/>
      <c r="JSG5"/>
      <c r="JSK5"/>
      <c r="JSO5"/>
      <c r="JSS5"/>
      <c r="JSW5"/>
      <c r="JTA5"/>
      <c r="JTE5"/>
      <c r="JTI5"/>
      <c r="JTM5"/>
      <c r="JTQ5"/>
      <c r="JTU5"/>
      <c r="JTY5"/>
      <c r="JUC5"/>
      <c r="JUG5"/>
      <c r="JUK5"/>
      <c r="JUO5"/>
      <c r="JUS5"/>
      <c r="JUW5"/>
      <c r="JVA5"/>
      <c r="JVE5"/>
      <c r="JVI5"/>
      <c r="JVM5"/>
      <c r="JVQ5"/>
      <c r="JVU5"/>
      <c r="JVY5"/>
      <c r="JWC5"/>
      <c r="JWG5"/>
      <c r="JWK5"/>
      <c r="JWO5"/>
      <c r="JWS5"/>
      <c r="JWW5"/>
      <c r="JXA5"/>
      <c r="JXE5"/>
      <c r="JXI5"/>
      <c r="JXM5"/>
      <c r="JXQ5"/>
      <c r="JXU5"/>
      <c r="JXY5"/>
      <c r="JYC5"/>
      <c r="JYG5"/>
      <c r="JYK5"/>
      <c r="JYO5"/>
      <c r="JYS5"/>
      <c r="JYW5"/>
      <c r="JZA5"/>
      <c r="JZE5"/>
      <c r="JZI5"/>
      <c r="JZM5"/>
      <c r="JZQ5"/>
      <c r="JZU5"/>
      <c r="JZY5"/>
      <c r="KAC5"/>
      <c r="KAG5"/>
      <c r="KAK5"/>
      <c r="KAO5"/>
      <c r="KAS5"/>
      <c r="KAW5"/>
      <c r="KBA5"/>
      <c r="KBE5"/>
      <c r="KBI5"/>
      <c r="KBM5"/>
      <c r="KBQ5"/>
      <c r="KBU5"/>
      <c r="KBY5"/>
      <c r="KCC5"/>
      <c r="KCG5"/>
      <c r="KCK5"/>
      <c r="KCO5"/>
      <c r="KCS5"/>
      <c r="KCW5"/>
      <c r="KDA5"/>
      <c r="KDE5"/>
      <c r="KDI5"/>
      <c r="KDM5"/>
      <c r="KDQ5"/>
      <c r="KDU5"/>
      <c r="KDY5"/>
      <c r="KEC5"/>
      <c r="KEG5"/>
      <c r="KEK5"/>
      <c r="KEO5"/>
      <c r="KES5"/>
      <c r="KEW5"/>
      <c r="KFA5"/>
      <c r="KFE5"/>
      <c r="KFI5"/>
      <c r="KFM5"/>
      <c r="KFQ5"/>
      <c r="KFU5"/>
      <c r="KFY5"/>
      <c r="KGC5"/>
      <c r="KGG5"/>
      <c r="KGK5"/>
      <c r="KGO5"/>
      <c r="KGS5"/>
      <c r="KGW5"/>
      <c r="KHA5"/>
      <c r="KHE5"/>
      <c r="KHI5"/>
      <c r="KHM5"/>
      <c r="KHQ5"/>
      <c r="KHU5"/>
      <c r="KHY5"/>
      <c r="KIC5"/>
      <c r="KIG5"/>
      <c r="KIK5"/>
      <c r="KIO5"/>
      <c r="KIS5"/>
      <c r="KIW5"/>
      <c r="KJA5"/>
      <c r="KJE5"/>
      <c r="KJI5"/>
      <c r="KJM5"/>
      <c r="KJQ5"/>
      <c r="KJU5"/>
      <c r="KJY5"/>
      <c r="KKC5"/>
      <c r="KKG5"/>
      <c r="KKK5"/>
      <c r="KKO5"/>
      <c r="KKS5"/>
      <c r="KKW5"/>
      <c r="KLA5"/>
      <c r="KLE5"/>
      <c r="KLI5"/>
      <c r="KLM5"/>
      <c r="KLQ5"/>
      <c r="KLU5"/>
      <c r="KLY5"/>
      <c r="KMC5"/>
      <c r="KMG5"/>
      <c r="KMK5"/>
      <c r="KMO5"/>
      <c r="KMS5"/>
      <c r="KMW5"/>
      <c r="KNA5"/>
      <c r="KNE5"/>
      <c r="KNI5"/>
      <c r="KNM5"/>
      <c r="KNQ5"/>
      <c r="KNU5"/>
      <c r="KNY5"/>
      <c r="KOC5"/>
      <c r="KOG5"/>
      <c r="KOK5"/>
      <c r="KOO5"/>
      <c r="KOS5"/>
      <c r="KOW5"/>
      <c r="KPA5"/>
      <c r="KPE5"/>
      <c r="KPI5"/>
      <c r="KPM5"/>
      <c r="KPQ5"/>
      <c r="KPU5"/>
      <c r="KPY5"/>
      <c r="KQC5"/>
      <c r="KQG5"/>
      <c r="KQK5"/>
      <c r="KQO5"/>
      <c r="KQS5"/>
      <c r="KQW5"/>
      <c r="KRA5"/>
      <c r="KRE5"/>
      <c r="KRI5"/>
      <c r="KRM5"/>
      <c r="KRQ5"/>
      <c r="KRU5"/>
      <c r="KRY5"/>
      <c r="KSC5"/>
      <c r="KSG5"/>
      <c r="KSK5"/>
      <c r="KSO5"/>
      <c r="KSS5"/>
      <c r="KSW5"/>
      <c r="KTA5"/>
      <c r="KTE5"/>
      <c r="KTI5"/>
      <c r="KTM5"/>
      <c r="KTQ5"/>
      <c r="KTU5"/>
      <c r="KTY5"/>
      <c r="KUC5"/>
      <c r="KUG5"/>
      <c r="KUK5"/>
      <c r="KUO5"/>
      <c r="KUS5"/>
      <c r="KUW5"/>
      <c r="KVA5"/>
      <c r="KVE5"/>
      <c r="KVI5"/>
      <c r="KVM5"/>
      <c r="KVQ5"/>
      <c r="KVU5"/>
      <c r="KVY5"/>
      <c r="KWC5"/>
      <c r="KWG5"/>
      <c r="KWK5"/>
      <c r="KWO5"/>
      <c r="KWS5"/>
      <c r="KWW5"/>
      <c r="KXA5"/>
      <c r="KXE5"/>
      <c r="KXI5"/>
      <c r="KXM5"/>
      <c r="KXQ5"/>
      <c r="KXU5"/>
      <c r="KXY5"/>
      <c r="KYC5"/>
      <c r="KYG5"/>
      <c r="KYK5"/>
      <c r="KYO5"/>
      <c r="KYS5"/>
      <c r="KYW5"/>
      <c r="KZA5"/>
      <c r="KZE5"/>
      <c r="KZI5"/>
      <c r="KZM5"/>
      <c r="KZQ5"/>
      <c r="KZU5"/>
      <c r="KZY5"/>
      <c r="LAC5"/>
      <c r="LAG5"/>
      <c r="LAK5"/>
      <c r="LAO5"/>
      <c r="LAS5"/>
      <c r="LAW5"/>
      <c r="LBA5"/>
      <c r="LBE5"/>
      <c r="LBI5"/>
      <c r="LBM5"/>
      <c r="LBQ5"/>
      <c r="LBU5"/>
      <c r="LBY5"/>
      <c r="LCC5"/>
      <c r="LCG5"/>
      <c r="LCK5"/>
      <c r="LCO5"/>
      <c r="LCS5"/>
      <c r="LCW5"/>
      <c r="LDA5"/>
      <c r="LDE5"/>
      <c r="LDI5"/>
      <c r="LDM5"/>
      <c r="LDQ5"/>
      <c r="LDU5"/>
      <c r="LDY5"/>
      <c r="LEC5"/>
      <c r="LEG5"/>
      <c r="LEK5"/>
      <c r="LEO5"/>
      <c r="LES5"/>
      <c r="LEW5"/>
      <c r="LFA5"/>
      <c r="LFE5"/>
      <c r="LFI5"/>
      <c r="LFM5"/>
      <c r="LFQ5"/>
      <c r="LFU5"/>
      <c r="LFY5"/>
      <c r="LGC5"/>
      <c r="LGG5"/>
      <c r="LGK5"/>
      <c r="LGO5"/>
      <c r="LGS5"/>
      <c r="LGW5"/>
      <c r="LHA5"/>
      <c r="LHE5"/>
      <c r="LHI5"/>
      <c r="LHM5"/>
      <c r="LHQ5"/>
      <c r="LHU5"/>
      <c r="LHY5"/>
      <c r="LIC5"/>
      <c r="LIG5"/>
      <c r="LIK5"/>
      <c r="LIO5"/>
      <c r="LIS5"/>
      <c r="LIW5"/>
      <c r="LJA5"/>
      <c r="LJE5"/>
      <c r="LJI5"/>
      <c r="LJM5"/>
      <c r="LJQ5"/>
      <c r="LJU5"/>
      <c r="LJY5"/>
      <c r="LKC5"/>
      <c r="LKG5"/>
      <c r="LKK5"/>
      <c r="LKO5"/>
      <c r="LKS5"/>
      <c r="LKW5"/>
      <c r="LLA5"/>
      <c r="LLE5"/>
      <c r="LLI5"/>
      <c r="LLM5"/>
      <c r="LLQ5"/>
      <c r="LLU5"/>
      <c r="LLY5"/>
      <c r="LMC5"/>
      <c r="LMG5"/>
      <c r="LMK5"/>
      <c r="LMO5"/>
      <c r="LMS5"/>
      <c r="LMW5"/>
      <c r="LNA5"/>
      <c r="LNE5"/>
      <c r="LNI5"/>
      <c r="LNM5"/>
      <c r="LNQ5"/>
      <c r="LNU5"/>
      <c r="LNY5"/>
      <c r="LOC5"/>
      <c r="LOG5"/>
      <c r="LOK5"/>
      <c r="LOO5"/>
      <c r="LOS5"/>
      <c r="LOW5"/>
      <c r="LPA5"/>
      <c r="LPE5"/>
      <c r="LPI5"/>
      <c r="LPM5"/>
      <c r="LPQ5"/>
      <c r="LPU5"/>
      <c r="LPY5"/>
      <c r="LQC5"/>
      <c r="LQG5"/>
      <c r="LQK5"/>
      <c r="LQO5"/>
      <c r="LQS5"/>
      <c r="LQW5"/>
      <c r="LRA5"/>
      <c r="LRE5"/>
      <c r="LRI5"/>
      <c r="LRM5"/>
      <c r="LRQ5"/>
      <c r="LRU5"/>
      <c r="LRY5"/>
      <c r="LSC5"/>
      <c r="LSG5"/>
      <c r="LSK5"/>
      <c r="LSO5"/>
      <c r="LSS5"/>
      <c r="LSW5"/>
      <c r="LTA5"/>
      <c r="LTE5"/>
      <c r="LTI5"/>
      <c r="LTM5"/>
      <c r="LTQ5"/>
      <c r="LTU5"/>
      <c r="LTY5"/>
      <c r="LUC5"/>
      <c r="LUG5"/>
      <c r="LUK5"/>
      <c r="LUO5"/>
      <c r="LUS5"/>
      <c r="LUW5"/>
      <c r="LVA5"/>
      <c r="LVE5"/>
      <c r="LVI5"/>
      <c r="LVM5"/>
      <c r="LVQ5"/>
      <c r="LVU5"/>
      <c r="LVY5"/>
      <c r="LWC5"/>
      <c r="LWG5"/>
      <c r="LWK5"/>
      <c r="LWO5"/>
      <c r="LWS5"/>
      <c r="LWW5"/>
      <c r="LXA5"/>
      <c r="LXE5"/>
      <c r="LXI5"/>
      <c r="LXM5"/>
      <c r="LXQ5"/>
      <c r="LXU5"/>
      <c r="LXY5"/>
      <c r="LYC5"/>
      <c r="LYG5"/>
      <c r="LYK5"/>
      <c r="LYO5"/>
      <c r="LYS5"/>
      <c r="LYW5"/>
      <c r="LZA5"/>
      <c r="LZE5"/>
      <c r="LZI5"/>
      <c r="LZM5"/>
      <c r="LZQ5"/>
      <c r="LZU5"/>
      <c r="LZY5"/>
      <c r="MAC5"/>
      <c r="MAG5"/>
      <c r="MAK5"/>
      <c r="MAO5"/>
      <c r="MAS5"/>
      <c r="MAW5"/>
      <c r="MBA5"/>
      <c r="MBE5"/>
      <c r="MBI5"/>
      <c r="MBM5"/>
      <c r="MBQ5"/>
      <c r="MBU5"/>
      <c r="MBY5"/>
      <c r="MCC5"/>
      <c r="MCG5"/>
      <c r="MCK5"/>
      <c r="MCO5"/>
      <c r="MCS5"/>
      <c r="MCW5"/>
      <c r="MDA5"/>
      <c r="MDE5"/>
      <c r="MDI5"/>
      <c r="MDM5"/>
      <c r="MDQ5"/>
      <c r="MDU5"/>
      <c r="MDY5"/>
      <c r="MEC5"/>
      <c r="MEG5"/>
      <c r="MEK5"/>
      <c r="MEO5"/>
      <c r="MES5"/>
      <c r="MEW5"/>
      <c r="MFA5"/>
      <c r="MFE5"/>
      <c r="MFI5"/>
      <c r="MFM5"/>
      <c r="MFQ5"/>
      <c r="MFU5"/>
      <c r="MFY5"/>
      <c r="MGC5"/>
      <c r="MGG5"/>
      <c r="MGK5"/>
      <c r="MGO5"/>
      <c r="MGS5"/>
      <c r="MGW5"/>
      <c r="MHA5"/>
      <c r="MHE5"/>
      <c r="MHI5"/>
      <c r="MHM5"/>
      <c r="MHQ5"/>
      <c r="MHU5"/>
      <c r="MHY5"/>
      <c r="MIC5"/>
      <c r="MIG5"/>
      <c r="MIK5"/>
      <c r="MIO5"/>
      <c r="MIS5"/>
      <c r="MIW5"/>
      <c r="MJA5"/>
      <c r="MJE5"/>
      <c r="MJI5"/>
      <c r="MJM5"/>
      <c r="MJQ5"/>
      <c r="MJU5"/>
      <c r="MJY5"/>
      <c r="MKC5"/>
      <c r="MKG5"/>
      <c r="MKK5"/>
      <c r="MKO5"/>
      <c r="MKS5"/>
      <c r="MKW5"/>
      <c r="MLA5"/>
      <c r="MLE5"/>
      <c r="MLI5"/>
      <c r="MLM5"/>
      <c r="MLQ5"/>
      <c r="MLU5"/>
      <c r="MLY5"/>
      <c r="MMC5"/>
      <c r="MMG5"/>
      <c r="MMK5"/>
      <c r="MMO5"/>
      <c r="MMS5"/>
      <c r="MMW5"/>
      <c r="MNA5"/>
      <c r="MNE5"/>
      <c r="MNI5"/>
      <c r="MNM5"/>
      <c r="MNQ5"/>
      <c r="MNU5"/>
      <c r="MNY5"/>
      <c r="MOC5"/>
      <c r="MOG5"/>
      <c r="MOK5"/>
      <c r="MOO5"/>
      <c r="MOS5"/>
      <c r="MOW5"/>
      <c r="MPA5"/>
      <c r="MPE5"/>
      <c r="MPI5"/>
      <c r="MPM5"/>
      <c r="MPQ5"/>
      <c r="MPU5"/>
      <c r="MPY5"/>
      <c r="MQC5"/>
      <c r="MQG5"/>
      <c r="MQK5"/>
      <c r="MQO5"/>
      <c r="MQS5"/>
      <c r="MQW5"/>
      <c r="MRA5"/>
      <c r="MRE5"/>
      <c r="MRI5"/>
      <c r="MRM5"/>
      <c r="MRQ5"/>
      <c r="MRU5"/>
      <c r="MRY5"/>
      <c r="MSC5"/>
      <c r="MSG5"/>
      <c r="MSK5"/>
      <c r="MSO5"/>
      <c r="MSS5"/>
      <c r="MSW5"/>
      <c r="MTA5"/>
      <c r="MTE5"/>
      <c r="MTI5"/>
      <c r="MTM5"/>
      <c r="MTQ5"/>
      <c r="MTU5"/>
      <c r="MTY5"/>
      <c r="MUC5"/>
      <c r="MUG5"/>
      <c r="MUK5"/>
      <c r="MUO5"/>
      <c r="MUS5"/>
      <c r="MUW5"/>
      <c r="MVA5"/>
      <c r="MVE5"/>
      <c r="MVI5"/>
      <c r="MVM5"/>
      <c r="MVQ5"/>
      <c r="MVU5"/>
      <c r="MVY5"/>
      <c r="MWC5"/>
      <c r="MWG5"/>
      <c r="MWK5"/>
      <c r="MWO5"/>
      <c r="MWS5"/>
      <c r="MWW5"/>
      <c r="MXA5"/>
      <c r="MXE5"/>
      <c r="MXI5"/>
      <c r="MXM5"/>
      <c r="MXQ5"/>
      <c r="MXU5"/>
      <c r="MXY5"/>
      <c r="MYC5"/>
      <c r="MYG5"/>
      <c r="MYK5"/>
      <c r="MYO5"/>
      <c r="MYS5"/>
      <c r="MYW5"/>
      <c r="MZA5"/>
      <c r="MZE5"/>
      <c r="MZI5"/>
      <c r="MZM5"/>
      <c r="MZQ5"/>
      <c r="MZU5"/>
      <c r="MZY5"/>
      <c r="NAC5"/>
      <c r="NAG5"/>
      <c r="NAK5"/>
      <c r="NAO5"/>
      <c r="NAS5"/>
      <c r="NAW5"/>
      <c r="NBA5"/>
      <c r="NBE5"/>
      <c r="NBI5"/>
      <c r="NBM5"/>
      <c r="NBQ5"/>
      <c r="NBU5"/>
      <c r="NBY5"/>
      <c r="NCC5"/>
      <c r="NCG5"/>
      <c r="NCK5"/>
      <c r="NCO5"/>
      <c r="NCS5"/>
      <c r="NCW5"/>
      <c r="NDA5"/>
      <c r="NDE5"/>
      <c r="NDI5"/>
      <c r="NDM5"/>
      <c r="NDQ5"/>
      <c r="NDU5"/>
      <c r="NDY5"/>
      <c r="NEC5"/>
      <c r="NEG5"/>
      <c r="NEK5"/>
      <c r="NEO5"/>
      <c r="NES5"/>
      <c r="NEW5"/>
      <c r="NFA5"/>
      <c r="NFE5"/>
      <c r="NFI5"/>
      <c r="NFM5"/>
      <c r="NFQ5"/>
      <c r="NFU5"/>
      <c r="NFY5"/>
      <c r="NGC5"/>
      <c r="NGG5"/>
      <c r="NGK5"/>
      <c r="NGO5"/>
      <c r="NGS5"/>
      <c r="NGW5"/>
      <c r="NHA5"/>
      <c r="NHE5"/>
      <c r="NHI5"/>
      <c r="NHM5"/>
      <c r="NHQ5"/>
      <c r="NHU5"/>
      <c r="NHY5"/>
      <c r="NIC5"/>
      <c r="NIG5"/>
      <c r="NIK5"/>
      <c r="NIO5"/>
      <c r="NIS5"/>
      <c r="NIW5"/>
      <c r="NJA5"/>
      <c r="NJE5"/>
      <c r="NJI5"/>
      <c r="NJM5"/>
      <c r="NJQ5"/>
      <c r="NJU5"/>
      <c r="NJY5"/>
      <c r="NKC5"/>
      <c r="NKG5"/>
      <c r="NKK5"/>
      <c r="NKO5"/>
      <c r="NKS5"/>
      <c r="NKW5"/>
      <c r="NLA5"/>
      <c r="NLE5"/>
      <c r="NLI5"/>
      <c r="NLM5"/>
      <c r="NLQ5"/>
      <c r="NLU5"/>
      <c r="NLY5"/>
      <c r="NMC5"/>
      <c r="NMG5"/>
      <c r="NMK5"/>
      <c r="NMO5"/>
      <c r="NMS5"/>
      <c r="NMW5"/>
      <c r="NNA5"/>
      <c r="NNE5"/>
      <c r="NNI5"/>
      <c r="NNM5"/>
      <c r="NNQ5"/>
      <c r="NNU5"/>
      <c r="NNY5"/>
      <c r="NOC5"/>
      <c r="NOG5"/>
      <c r="NOK5"/>
      <c r="NOO5"/>
      <c r="NOS5"/>
      <c r="NOW5"/>
      <c r="NPA5"/>
      <c r="NPE5"/>
      <c r="NPI5"/>
      <c r="NPM5"/>
      <c r="NPQ5"/>
      <c r="NPU5"/>
      <c r="NPY5"/>
      <c r="NQC5"/>
      <c r="NQG5"/>
      <c r="NQK5"/>
      <c r="NQO5"/>
      <c r="NQS5"/>
      <c r="NQW5"/>
      <c r="NRA5"/>
      <c r="NRE5"/>
      <c r="NRI5"/>
      <c r="NRM5"/>
      <c r="NRQ5"/>
      <c r="NRU5"/>
      <c r="NRY5"/>
      <c r="NSC5"/>
      <c r="NSG5"/>
      <c r="NSK5"/>
      <c r="NSO5"/>
      <c r="NSS5"/>
      <c r="NSW5"/>
      <c r="NTA5"/>
      <c r="NTE5"/>
      <c r="NTI5"/>
      <c r="NTM5"/>
      <c r="NTQ5"/>
      <c r="NTU5"/>
      <c r="NTY5"/>
      <c r="NUC5"/>
      <c r="NUG5"/>
      <c r="NUK5"/>
      <c r="NUO5"/>
      <c r="NUS5"/>
      <c r="NUW5"/>
      <c r="NVA5"/>
      <c r="NVE5"/>
      <c r="NVI5"/>
      <c r="NVM5"/>
      <c r="NVQ5"/>
      <c r="NVU5"/>
      <c r="NVY5"/>
      <c r="NWC5"/>
      <c r="NWG5"/>
      <c r="NWK5"/>
      <c r="NWO5"/>
      <c r="NWS5"/>
      <c r="NWW5"/>
      <c r="NXA5"/>
      <c r="NXE5"/>
      <c r="NXI5"/>
      <c r="NXM5"/>
      <c r="NXQ5"/>
      <c r="NXU5"/>
      <c r="NXY5"/>
      <c r="NYC5"/>
      <c r="NYG5"/>
      <c r="NYK5"/>
      <c r="NYO5"/>
      <c r="NYS5"/>
      <c r="NYW5"/>
      <c r="NZA5"/>
      <c r="NZE5"/>
      <c r="NZI5"/>
      <c r="NZM5"/>
      <c r="NZQ5"/>
      <c r="NZU5"/>
      <c r="NZY5"/>
      <c r="OAC5"/>
      <c r="OAG5"/>
      <c r="OAK5"/>
      <c r="OAO5"/>
      <c r="OAS5"/>
      <c r="OAW5"/>
      <c r="OBA5"/>
      <c r="OBE5"/>
      <c r="OBI5"/>
      <c r="OBM5"/>
      <c r="OBQ5"/>
      <c r="OBU5"/>
      <c r="OBY5"/>
      <c r="OCC5"/>
      <c r="OCG5"/>
      <c r="OCK5"/>
      <c r="OCO5"/>
      <c r="OCS5"/>
      <c r="OCW5"/>
      <c r="ODA5"/>
      <c r="ODE5"/>
      <c r="ODI5"/>
      <c r="ODM5"/>
      <c r="ODQ5"/>
      <c r="ODU5"/>
      <c r="ODY5"/>
      <c r="OEC5"/>
      <c r="OEG5"/>
      <c r="OEK5"/>
      <c r="OEO5"/>
      <c r="OES5"/>
      <c r="OEW5"/>
      <c r="OFA5"/>
      <c r="OFE5"/>
      <c r="OFI5"/>
      <c r="OFM5"/>
      <c r="OFQ5"/>
      <c r="OFU5"/>
      <c r="OFY5"/>
      <c r="OGC5"/>
      <c r="OGG5"/>
      <c r="OGK5"/>
      <c r="OGO5"/>
      <c r="OGS5"/>
      <c r="OGW5"/>
      <c r="OHA5"/>
      <c r="OHE5"/>
      <c r="OHI5"/>
      <c r="OHM5"/>
      <c r="OHQ5"/>
      <c r="OHU5"/>
      <c r="OHY5"/>
      <c r="OIC5"/>
      <c r="OIG5"/>
      <c r="OIK5"/>
      <c r="OIO5"/>
      <c r="OIS5"/>
      <c r="OIW5"/>
      <c r="OJA5"/>
      <c r="OJE5"/>
      <c r="OJI5"/>
      <c r="OJM5"/>
      <c r="OJQ5"/>
      <c r="OJU5"/>
      <c r="OJY5"/>
      <c r="OKC5"/>
      <c r="OKG5"/>
      <c r="OKK5"/>
      <c r="OKO5"/>
      <c r="OKS5"/>
      <c r="OKW5"/>
      <c r="OLA5"/>
      <c r="OLE5"/>
      <c r="OLI5"/>
      <c r="OLM5"/>
      <c r="OLQ5"/>
      <c r="OLU5"/>
      <c r="OLY5"/>
      <c r="OMC5"/>
      <c r="OMG5"/>
      <c r="OMK5"/>
      <c r="OMO5"/>
      <c r="OMS5"/>
      <c r="OMW5"/>
      <c r="ONA5"/>
      <c r="ONE5"/>
      <c r="ONI5"/>
      <c r="ONM5"/>
      <c r="ONQ5"/>
      <c r="ONU5"/>
      <c r="ONY5"/>
      <c r="OOC5"/>
      <c r="OOG5"/>
      <c r="OOK5"/>
      <c r="OOO5"/>
      <c r="OOS5"/>
      <c r="OOW5"/>
      <c r="OPA5"/>
      <c r="OPE5"/>
      <c r="OPI5"/>
      <c r="OPM5"/>
      <c r="OPQ5"/>
      <c r="OPU5"/>
      <c r="OPY5"/>
      <c r="OQC5"/>
      <c r="OQG5"/>
      <c r="OQK5"/>
      <c r="OQO5"/>
      <c r="OQS5"/>
      <c r="OQW5"/>
      <c r="ORA5"/>
      <c r="ORE5"/>
      <c r="ORI5"/>
      <c r="ORM5"/>
      <c r="ORQ5"/>
      <c r="ORU5"/>
      <c r="ORY5"/>
      <c r="OSC5"/>
      <c r="OSG5"/>
      <c r="OSK5"/>
      <c r="OSO5"/>
      <c r="OSS5"/>
      <c r="OSW5"/>
      <c r="OTA5"/>
      <c r="OTE5"/>
      <c r="OTI5"/>
      <c r="OTM5"/>
      <c r="OTQ5"/>
      <c r="OTU5"/>
      <c r="OTY5"/>
      <c r="OUC5"/>
      <c r="OUG5"/>
      <c r="OUK5"/>
      <c r="OUO5"/>
      <c r="OUS5"/>
      <c r="OUW5"/>
      <c r="OVA5"/>
      <c r="OVE5"/>
      <c r="OVI5"/>
      <c r="OVM5"/>
      <c r="OVQ5"/>
      <c r="OVU5"/>
      <c r="OVY5"/>
      <c r="OWC5"/>
      <c r="OWG5"/>
      <c r="OWK5"/>
      <c r="OWO5"/>
      <c r="OWS5"/>
      <c r="OWW5"/>
      <c r="OXA5"/>
      <c r="OXE5"/>
      <c r="OXI5"/>
      <c r="OXM5"/>
      <c r="OXQ5"/>
      <c r="OXU5"/>
      <c r="OXY5"/>
      <c r="OYC5"/>
      <c r="OYG5"/>
      <c r="OYK5"/>
      <c r="OYO5"/>
      <c r="OYS5"/>
      <c r="OYW5"/>
      <c r="OZA5"/>
      <c r="OZE5"/>
      <c r="OZI5"/>
      <c r="OZM5"/>
      <c r="OZQ5"/>
      <c r="OZU5"/>
      <c r="OZY5"/>
      <c r="PAC5"/>
      <c r="PAG5"/>
      <c r="PAK5"/>
      <c r="PAO5"/>
      <c r="PAS5"/>
      <c r="PAW5"/>
      <c r="PBA5"/>
      <c r="PBE5"/>
      <c r="PBI5"/>
      <c r="PBM5"/>
      <c r="PBQ5"/>
      <c r="PBU5"/>
      <c r="PBY5"/>
      <c r="PCC5"/>
      <c r="PCG5"/>
      <c r="PCK5"/>
      <c r="PCO5"/>
      <c r="PCS5"/>
      <c r="PCW5"/>
      <c r="PDA5"/>
      <c r="PDE5"/>
      <c r="PDI5"/>
      <c r="PDM5"/>
      <c r="PDQ5"/>
      <c r="PDU5"/>
      <c r="PDY5"/>
      <c r="PEC5"/>
      <c r="PEG5"/>
      <c r="PEK5"/>
      <c r="PEO5"/>
      <c r="PES5"/>
      <c r="PEW5"/>
      <c r="PFA5"/>
      <c r="PFE5"/>
      <c r="PFI5"/>
      <c r="PFM5"/>
      <c r="PFQ5"/>
      <c r="PFU5"/>
      <c r="PFY5"/>
      <c r="PGC5"/>
      <c r="PGG5"/>
      <c r="PGK5"/>
      <c r="PGO5"/>
      <c r="PGS5"/>
      <c r="PGW5"/>
      <c r="PHA5"/>
      <c r="PHE5"/>
      <c r="PHI5"/>
      <c r="PHM5"/>
      <c r="PHQ5"/>
      <c r="PHU5"/>
      <c r="PHY5"/>
      <c r="PIC5"/>
      <c r="PIG5"/>
      <c r="PIK5"/>
      <c r="PIO5"/>
      <c r="PIS5"/>
      <c r="PIW5"/>
      <c r="PJA5"/>
      <c r="PJE5"/>
      <c r="PJI5"/>
      <c r="PJM5"/>
      <c r="PJQ5"/>
      <c r="PJU5"/>
      <c r="PJY5"/>
      <c r="PKC5"/>
      <c r="PKG5"/>
      <c r="PKK5"/>
      <c r="PKO5"/>
      <c r="PKS5"/>
      <c r="PKW5"/>
      <c r="PLA5"/>
      <c r="PLE5"/>
      <c r="PLI5"/>
      <c r="PLM5"/>
      <c r="PLQ5"/>
      <c r="PLU5"/>
      <c r="PLY5"/>
      <c r="PMC5"/>
      <c r="PMG5"/>
      <c r="PMK5"/>
      <c r="PMO5"/>
      <c r="PMS5"/>
      <c r="PMW5"/>
      <c r="PNA5"/>
      <c r="PNE5"/>
      <c r="PNI5"/>
      <c r="PNM5"/>
      <c r="PNQ5"/>
      <c r="PNU5"/>
      <c r="PNY5"/>
      <c r="POC5"/>
      <c r="POG5"/>
      <c r="POK5"/>
      <c r="POO5"/>
      <c r="POS5"/>
      <c r="POW5"/>
      <c r="PPA5"/>
      <c r="PPE5"/>
      <c r="PPI5"/>
      <c r="PPM5"/>
      <c r="PPQ5"/>
      <c r="PPU5"/>
      <c r="PPY5"/>
      <c r="PQC5"/>
      <c r="PQG5"/>
      <c r="PQK5"/>
      <c r="PQO5"/>
      <c r="PQS5"/>
      <c r="PQW5"/>
      <c r="PRA5"/>
      <c r="PRE5"/>
      <c r="PRI5"/>
      <c r="PRM5"/>
      <c r="PRQ5"/>
      <c r="PRU5"/>
      <c r="PRY5"/>
      <c r="PSC5"/>
      <c r="PSG5"/>
      <c r="PSK5"/>
      <c r="PSO5"/>
      <c r="PSS5"/>
      <c r="PSW5"/>
      <c r="PTA5"/>
      <c r="PTE5"/>
      <c r="PTI5"/>
      <c r="PTM5"/>
      <c r="PTQ5"/>
      <c r="PTU5"/>
      <c r="PTY5"/>
      <c r="PUC5"/>
      <c r="PUG5"/>
      <c r="PUK5"/>
      <c r="PUO5"/>
      <c r="PUS5"/>
      <c r="PUW5"/>
      <c r="PVA5"/>
      <c r="PVE5"/>
      <c r="PVI5"/>
      <c r="PVM5"/>
      <c r="PVQ5"/>
      <c r="PVU5"/>
      <c r="PVY5"/>
      <c r="PWC5"/>
      <c r="PWG5"/>
      <c r="PWK5"/>
      <c r="PWO5"/>
      <c r="PWS5"/>
      <c r="PWW5"/>
      <c r="PXA5"/>
      <c r="PXE5"/>
      <c r="PXI5"/>
      <c r="PXM5"/>
      <c r="PXQ5"/>
      <c r="PXU5"/>
      <c r="PXY5"/>
      <c r="PYC5"/>
      <c r="PYG5"/>
      <c r="PYK5"/>
      <c r="PYO5"/>
      <c r="PYS5"/>
      <c r="PYW5"/>
      <c r="PZA5"/>
      <c r="PZE5"/>
      <c r="PZI5"/>
      <c r="PZM5"/>
      <c r="PZQ5"/>
      <c r="PZU5"/>
      <c r="PZY5"/>
      <c r="QAC5"/>
      <c r="QAG5"/>
      <c r="QAK5"/>
      <c r="QAO5"/>
      <c r="QAS5"/>
      <c r="QAW5"/>
      <c r="QBA5"/>
      <c r="QBE5"/>
      <c r="QBI5"/>
      <c r="QBM5"/>
      <c r="QBQ5"/>
      <c r="QBU5"/>
      <c r="QBY5"/>
      <c r="QCC5"/>
      <c r="QCG5"/>
      <c r="QCK5"/>
      <c r="QCO5"/>
      <c r="QCS5"/>
      <c r="QCW5"/>
      <c r="QDA5"/>
      <c r="QDE5"/>
      <c r="QDI5"/>
      <c r="QDM5"/>
      <c r="QDQ5"/>
      <c r="QDU5"/>
      <c r="QDY5"/>
      <c r="QEC5"/>
      <c r="QEG5"/>
      <c r="QEK5"/>
      <c r="QEO5"/>
      <c r="QES5"/>
      <c r="QEW5"/>
      <c r="QFA5"/>
      <c r="QFE5"/>
      <c r="QFI5"/>
      <c r="QFM5"/>
      <c r="QFQ5"/>
      <c r="QFU5"/>
      <c r="QFY5"/>
      <c r="QGC5"/>
      <c r="QGG5"/>
      <c r="QGK5"/>
      <c r="QGO5"/>
      <c r="QGS5"/>
      <c r="QGW5"/>
      <c r="QHA5"/>
      <c r="QHE5"/>
      <c r="QHI5"/>
      <c r="QHM5"/>
      <c r="QHQ5"/>
      <c r="QHU5"/>
      <c r="QHY5"/>
      <c r="QIC5"/>
      <c r="QIG5"/>
      <c r="QIK5"/>
      <c r="QIO5"/>
      <c r="QIS5"/>
      <c r="QIW5"/>
      <c r="QJA5"/>
      <c r="QJE5"/>
      <c r="QJI5"/>
      <c r="QJM5"/>
      <c r="QJQ5"/>
      <c r="QJU5"/>
      <c r="QJY5"/>
      <c r="QKC5"/>
      <c r="QKG5"/>
      <c r="QKK5"/>
      <c r="QKO5"/>
      <c r="QKS5"/>
      <c r="QKW5"/>
      <c r="QLA5"/>
      <c r="QLE5"/>
      <c r="QLI5"/>
      <c r="QLM5"/>
      <c r="QLQ5"/>
      <c r="QLU5"/>
      <c r="QLY5"/>
      <c r="QMC5"/>
      <c r="QMG5"/>
      <c r="QMK5"/>
      <c r="QMO5"/>
      <c r="QMS5"/>
      <c r="QMW5"/>
      <c r="QNA5"/>
      <c r="QNE5"/>
      <c r="QNI5"/>
      <c r="QNM5"/>
      <c r="QNQ5"/>
      <c r="QNU5"/>
      <c r="QNY5"/>
      <c r="QOC5"/>
      <c r="QOG5"/>
      <c r="QOK5"/>
      <c r="QOO5"/>
      <c r="QOS5"/>
      <c r="QOW5"/>
      <c r="QPA5"/>
      <c r="QPE5"/>
      <c r="QPI5"/>
      <c r="QPM5"/>
      <c r="QPQ5"/>
      <c r="QPU5"/>
      <c r="QPY5"/>
      <c r="QQC5"/>
      <c r="QQG5"/>
      <c r="QQK5"/>
      <c r="QQO5"/>
      <c r="QQS5"/>
      <c r="QQW5"/>
      <c r="QRA5"/>
      <c r="QRE5"/>
      <c r="QRI5"/>
      <c r="QRM5"/>
      <c r="QRQ5"/>
      <c r="QRU5"/>
      <c r="QRY5"/>
      <c r="QSC5"/>
      <c r="QSG5"/>
      <c r="QSK5"/>
      <c r="QSO5"/>
      <c r="QSS5"/>
      <c r="QSW5"/>
      <c r="QTA5"/>
      <c r="QTE5"/>
      <c r="QTI5"/>
      <c r="QTM5"/>
      <c r="QTQ5"/>
      <c r="QTU5"/>
      <c r="QTY5"/>
      <c r="QUC5"/>
      <c r="QUG5"/>
      <c r="QUK5"/>
      <c r="QUO5"/>
      <c r="QUS5"/>
      <c r="QUW5"/>
      <c r="QVA5"/>
      <c r="QVE5"/>
      <c r="QVI5"/>
      <c r="QVM5"/>
      <c r="QVQ5"/>
      <c r="QVU5"/>
      <c r="QVY5"/>
      <c r="QWC5"/>
      <c r="QWG5"/>
      <c r="QWK5"/>
      <c r="QWO5"/>
      <c r="QWS5"/>
      <c r="QWW5"/>
      <c r="QXA5"/>
      <c r="QXE5"/>
      <c r="QXI5"/>
      <c r="QXM5"/>
      <c r="QXQ5"/>
      <c r="QXU5"/>
      <c r="QXY5"/>
      <c r="QYC5"/>
      <c r="QYG5"/>
      <c r="QYK5"/>
      <c r="QYO5"/>
      <c r="QYS5"/>
      <c r="QYW5"/>
      <c r="QZA5"/>
      <c r="QZE5"/>
      <c r="QZI5"/>
      <c r="QZM5"/>
      <c r="QZQ5"/>
      <c r="QZU5"/>
      <c r="QZY5"/>
      <c r="RAC5"/>
      <c r="RAG5"/>
      <c r="RAK5"/>
      <c r="RAO5"/>
      <c r="RAS5"/>
      <c r="RAW5"/>
      <c r="RBA5"/>
      <c r="RBE5"/>
      <c r="RBI5"/>
      <c r="RBM5"/>
      <c r="RBQ5"/>
      <c r="RBU5"/>
      <c r="RBY5"/>
      <c r="RCC5"/>
      <c r="RCG5"/>
      <c r="RCK5"/>
      <c r="RCO5"/>
      <c r="RCS5"/>
      <c r="RCW5"/>
      <c r="RDA5"/>
      <c r="RDE5"/>
      <c r="RDI5"/>
      <c r="RDM5"/>
      <c r="RDQ5"/>
      <c r="RDU5"/>
      <c r="RDY5"/>
      <c r="REC5"/>
      <c r="REG5"/>
      <c r="REK5"/>
      <c r="REO5"/>
      <c r="RES5"/>
      <c r="REW5"/>
      <c r="RFA5"/>
      <c r="RFE5"/>
      <c r="RFI5"/>
      <c r="RFM5"/>
      <c r="RFQ5"/>
      <c r="RFU5"/>
      <c r="RFY5"/>
      <c r="RGC5"/>
      <c r="RGG5"/>
      <c r="RGK5"/>
      <c r="RGO5"/>
      <c r="RGS5"/>
      <c r="RGW5"/>
      <c r="RHA5"/>
      <c r="RHE5"/>
      <c r="RHI5"/>
      <c r="RHM5"/>
      <c r="RHQ5"/>
      <c r="RHU5"/>
      <c r="RHY5"/>
      <c r="RIC5"/>
      <c r="RIG5"/>
      <c r="RIK5"/>
      <c r="RIO5"/>
      <c r="RIS5"/>
      <c r="RIW5"/>
      <c r="RJA5"/>
      <c r="RJE5"/>
      <c r="RJI5"/>
      <c r="RJM5"/>
      <c r="RJQ5"/>
      <c r="RJU5"/>
      <c r="RJY5"/>
      <c r="RKC5"/>
      <c r="RKG5"/>
      <c r="RKK5"/>
      <c r="RKO5"/>
      <c r="RKS5"/>
      <c r="RKW5"/>
      <c r="RLA5"/>
      <c r="RLE5"/>
      <c r="RLI5"/>
      <c r="RLM5"/>
      <c r="RLQ5"/>
      <c r="RLU5"/>
      <c r="RLY5"/>
      <c r="RMC5"/>
      <c r="RMG5"/>
      <c r="RMK5"/>
      <c r="RMO5"/>
      <c r="RMS5"/>
      <c r="RMW5"/>
      <c r="RNA5"/>
      <c r="RNE5"/>
      <c r="RNI5"/>
      <c r="RNM5"/>
      <c r="RNQ5"/>
      <c r="RNU5"/>
      <c r="RNY5"/>
      <c r="ROC5"/>
      <c r="ROG5"/>
      <c r="ROK5"/>
      <c r="ROO5"/>
      <c r="ROS5"/>
      <c r="ROW5"/>
      <c r="RPA5"/>
      <c r="RPE5"/>
      <c r="RPI5"/>
      <c r="RPM5"/>
      <c r="RPQ5"/>
      <c r="RPU5"/>
      <c r="RPY5"/>
      <c r="RQC5"/>
      <c r="RQG5"/>
      <c r="RQK5"/>
      <c r="RQO5"/>
      <c r="RQS5"/>
      <c r="RQW5"/>
      <c r="RRA5"/>
      <c r="RRE5"/>
      <c r="RRI5"/>
      <c r="RRM5"/>
      <c r="RRQ5"/>
      <c r="RRU5"/>
      <c r="RRY5"/>
      <c r="RSC5"/>
      <c r="RSG5"/>
      <c r="RSK5"/>
      <c r="RSO5"/>
      <c r="RSS5"/>
      <c r="RSW5"/>
      <c r="RTA5"/>
      <c r="RTE5"/>
      <c r="RTI5"/>
      <c r="RTM5"/>
      <c r="RTQ5"/>
      <c r="RTU5"/>
      <c r="RTY5"/>
      <c r="RUC5"/>
      <c r="RUG5"/>
      <c r="RUK5"/>
      <c r="RUO5"/>
      <c r="RUS5"/>
      <c r="RUW5"/>
      <c r="RVA5"/>
      <c r="RVE5"/>
      <c r="RVI5"/>
      <c r="RVM5"/>
      <c r="RVQ5"/>
      <c r="RVU5"/>
      <c r="RVY5"/>
      <c r="RWC5"/>
      <c r="RWG5"/>
      <c r="RWK5"/>
      <c r="RWO5"/>
      <c r="RWS5"/>
      <c r="RWW5"/>
      <c r="RXA5"/>
      <c r="RXE5"/>
      <c r="RXI5"/>
      <c r="RXM5"/>
      <c r="RXQ5"/>
      <c r="RXU5"/>
      <c r="RXY5"/>
      <c r="RYC5"/>
      <c r="RYG5"/>
      <c r="RYK5"/>
      <c r="RYO5"/>
      <c r="RYS5"/>
      <c r="RYW5"/>
      <c r="RZA5"/>
      <c r="RZE5"/>
      <c r="RZI5"/>
      <c r="RZM5"/>
      <c r="RZQ5"/>
      <c r="RZU5"/>
      <c r="RZY5"/>
      <c r="SAC5"/>
      <c r="SAG5"/>
      <c r="SAK5"/>
      <c r="SAO5"/>
      <c r="SAS5"/>
      <c r="SAW5"/>
      <c r="SBA5"/>
      <c r="SBE5"/>
      <c r="SBI5"/>
      <c r="SBM5"/>
      <c r="SBQ5"/>
      <c r="SBU5"/>
      <c r="SBY5"/>
      <c r="SCC5"/>
      <c r="SCG5"/>
      <c r="SCK5"/>
      <c r="SCO5"/>
      <c r="SCS5"/>
      <c r="SCW5"/>
      <c r="SDA5"/>
      <c r="SDE5"/>
      <c r="SDI5"/>
      <c r="SDM5"/>
      <c r="SDQ5"/>
      <c r="SDU5"/>
      <c r="SDY5"/>
      <c r="SEC5"/>
      <c r="SEG5"/>
      <c r="SEK5"/>
      <c r="SEO5"/>
      <c r="SES5"/>
      <c r="SEW5"/>
      <c r="SFA5"/>
      <c r="SFE5"/>
      <c r="SFI5"/>
      <c r="SFM5"/>
      <c r="SFQ5"/>
      <c r="SFU5"/>
      <c r="SFY5"/>
      <c r="SGC5"/>
      <c r="SGG5"/>
      <c r="SGK5"/>
      <c r="SGO5"/>
      <c r="SGS5"/>
      <c r="SGW5"/>
      <c r="SHA5"/>
      <c r="SHE5"/>
      <c r="SHI5"/>
      <c r="SHM5"/>
      <c r="SHQ5"/>
      <c r="SHU5"/>
      <c r="SHY5"/>
      <c r="SIC5"/>
      <c r="SIG5"/>
      <c r="SIK5"/>
      <c r="SIO5"/>
      <c r="SIS5"/>
      <c r="SIW5"/>
      <c r="SJA5"/>
      <c r="SJE5"/>
      <c r="SJI5"/>
      <c r="SJM5"/>
      <c r="SJQ5"/>
      <c r="SJU5"/>
      <c r="SJY5"/>
      <c r="SKC5"/>
      <c r="SKG5"/>
      <c r="SKK5"/>
      <c r="SKO5"/>
      <c r="SKS5"/>
      <c r="SKW5"/>
      <c r="SLA5"/>
      <c r="SLE5"/>
      <c r="SLI5"/>
      <c r="SLM5"/>
      <c r="SLQ5"/>
      <c r="SLU5"/>
      <c r="SLY5"/>
      <c r="SMC5"/>
      <c r="SMG5"/>
      <c r="SMK5"/>
      <c r="SMO5"/>
      <c r="SMS5"/>
      <c r="SMW5"/>
      <c r="SNA5"/>
      <c r="SNE5"/>
      <c r="SNI5"/>
      <c r="SNM5"/>
      <c r="SNQ5"/>
      <c r="SNU5"/>
      <c r="SNY5"/>
      <c r="SOC5"/>
      <c r="SOG5"/>
      <c r="SOK5"/>
      <c r="SOO5"/>
      <c r="SOS5"/>
      <c r="SOW5"/>
      <c r="SPA5"/>
      <c r="SPE5"/>
      <c r="SPI5"/>
      <c r="SPM5"/>
      <c r="SPQ5"/>
      <c r="SPU5"/>
      <c r="SPY5"/>
      <c r="SQC5"/>
      <c r="SQG5"/>
      <c r="SQK5"/>
      <c r="SQO5"/>
      <c r="SQS5"/>
      <c r="SQW5"/>
      <c r="SRA5"/>
      <c r="SRE5"/>
      <c r="SRI5"/>
      <c r="SRM5"/>
      <c r="SRQ5"/>
      <c r="SRU5"/>
      <c r="SRY5"/>
      <c r="SSC5"/>
      <c r="SSG5"/>
      <c r="SSK5"/>
      <c r="SSO5"/>
      <c r="SSS5"/>
      <c r="SSW5"/>
      <c r="STA5"/>
      <c r="STE5"/>
      <c r="STI5"/>
      <c r="STM5"/>
      <c r="STQ5"/>
      <c r="STU5"/>
      <c r="STY5"/>
      <c r="SUC5"/>
      <c r="SUG5"/>
      <c r="SUK5"/>
      <c r="SUO5"/>
      <c r="SUS5"/>
      <c r="SUW5"/>
      <c r="SVA5"/>
      <c r="SVE5"/>
      <c r="SVI5"/>
      <c r="SVM5"/>
      <c r="SVQ5"/>
      <c r="SVU5"/>
      <c r="SVY5"/>
      <c r="SWC5"/>
      <c r="SWG5"/>
      <c r="SWK5"/>
      <c r="SWO5"/>
      <c r="SWS5"/>
      <c r="SWW5"/>
      <c r="SXA5"/>
      <c r="SXE5"/>
      <c r="SXI5"/>
      <c r="SXM5"/>
      <c r="SXQ5"/>
      <c r="SXU5"/>
      <c r="SXY5"/>
      <c r="SYC5"/>
      <c r="SYG5"/>
      <c r="SYK5"/>
      <c r="SYO5"/>
      <c r="SYS5"/>
      <c r="SYW5"/>
      <c r="SZA5"/>
      <c r="SZE5"/>
      <c r="SZI5"/>
      <c r="SZM5"/>
      <c r="SZQ5"/>
      <c r="SZU5"/>
      <c r="SZY5"/>
      <c r="TAC5"/>
      <c r="TAG5"/>
      <c r="TAK5"/>
      <c r="TAO5"/>
      <c r="TAS5"/>
      <c r="TAW5"/>
      <c r="TBA5"/>
      <c r="TBE5"/>
      <c r="TBI5"/>
      <c r="TBM5"/>
      <c r="TBQ5"/>
      <c r="TBU5"/>
      <c r="TBY5"/>
      <c r="TCC5"/>
      <c r="TCG5"/>
      <c r="TCK5"/>
      <c r="TCO5"/>
      <c r="TCS5"/>
      <c r="TCW5"/>
      <c r="TDA5"/>
      <c r="TDE5"/>
      <c r="TDI5"/>
      <c r="TDM5"/>
      <c r="TDQ5"/>
      <c r="TDU5"/>
      <c r="TDY5"/>
      <c r="TEC5"/>
      <c r="TEG5"/>
      <c r="TEK5"/>
      <c r="TEO5"/>
      <c r="TES5"/>
      <c r="TEW5"/>
      <c r="TFA5"/>
      <c r="TFE5"/>
      <c r="TFI5"/>
      <c r="TFM5"/>
      <c r="TFQ5"/>
      <c r="TFU5"/>
      <c r="TFY5"/>
      <c r="TGC5"/>
      <c r="TGG5"/>
      <c r="TGK5"/>
      <c r="TGO5"/>
      <c r="TGS5"/>
      <c r="TGW5"/>
      <c r="THA5"/>
      <c r="THE5"/>
      <c r="THI5"/>
      <c r="THM5"/>
      <c r="THQ5"/>
      <c r="THU5"/>
      <c r="THY5"/>
      <c r="TIC5"/>
      <c r="TIG5"/>
      <c r="TIK5"/>
      <c r="TIO5"/>
      <c r="TIS5"/>
      <c r="TIW5"/>
      <c r="TJA5"/>
      <c r="TJE5"/>
      <c r="TJI5"/>
      <c r="TJM5"/>
      <c r="TJQ5"/>
      <c r="TJU5"/>
      <c r="TJY5"/>
      <c r="TKC5"/>
      <c r="TKG5"/>
      <c r="TKK5"/>
      <c r="TKO5"/>
      <c r="TKS5"/>
      <c r="TKW5"/>
      <c r="TLA5"/>
      <c r="TLE5"/>
      <c r="TLI5"/>
      <c r="TLM5"/>
      <c r="TLQ5"/>
      <c r="TLU5"/>
      <c r="TLY5"/>
      <c r="TMC5"/>
      <c r="TMG5"/>
      <c r="TMK5"/>
      <c r="TMO5"/>
      <c r="TMS5"/>
      <c r="TMW5"/>
      <c r="TNA5"/>
      <c r="TNE5"/>
      <c r="TNI5"/>
      <c r="TNM5"/>
      <c r="TNQ5"/>
      <c r="TNU5"/>
      <c r="TNY5"/>
      <c r="TOC5"/>
      <c r="TOG5"/>
      <c r="TOK5"/>
      <c r="TOO5"/>
      <c r="TOS5"/>
      <c r="TOW5"/>
      <c r="TPA5"/>
      <c r="TPE5"/>
      <c r="TPI5"/>
      <c r="TPM5"/>
      <c r="TPQ5"/>
      <c r="TPU5"/>
      <c r="TPY5"/>
      <c r="TQC5"/>
      <c r="TQG5"/>
      <c r="TQK5"/>
      <c r="TQO5"/>
      <c r="TQS5"/>
      <c r="TQW5"/>
      <c r="TRA5"/>
      <c r="TRE5"/>
      <c r="TRI5"/>
      <c r="TRM5"/>
      <c r="TRQ5"/>
      <c r="TRU5"/>
      <c r="TRY5"/>
      <c r="TSC5"/>
      <c r="TSG5"/>
      <c r="TSK5"/>
      <c r="TSO5"/>
      <c r="TSS5"/>
      <c r="TSW5"/>
      <c r="TTA5"/>
      <c r="TTE5"/>
      <c r="TTI5"/>
      <c r="TTM5"/>
      <c r="TTQ5"/>
      <c r="TTU5"/>
      <c r="TTY5"/>
      <c r="TUC5"/>
      <c r="TUG5"/>
      <c r="TUK5"/>
      <c r="TUO5"/>
      <c r="TUS5"/>
      <c r="TUW5"/>
      <c r="TVA5"/>
      <c r="TVE5"/>
      <c r="TVI5"/>
      <c r="TVM5"/>
      <c r="TVQ5"/>
      <c r="TVU5"/>
      <c r="TVY5"/>
      <c r="TWC5"/>
      <c r="TWG5"/>
      <c r="TWK5"/>
      <c r="TWO5"/>
      <c r="TWS5"/>
      <c r="TWW5"/>
      <c r="TXA5"/>
      <c r="TXE5"/>
      <c r="TXI5"/>
      <c r="TXM5"/>
      <c r="TXQ5"/>
      <c r="TXU5"/>
      <c r="TXY5"/>
      <c r="TYC5"/>
      <c r="TYG5"/>
      <c r="TYK5"/>
      <c r="TYO5"/>
      <c r="TYS5"/>
      <c r="TYW5"/>
      <c r="TZA5"/>
      <c r="TZE5"/>
      <c r="TZI5"/>
      <c r="TZM5"/>
      <c r="TZQ5"/>
      <c r="TZU5"/>
      <c r="TZY5"/>
      <c r="UAC5"/>
      <c r="UAG5"/>
      <c r="UAK5"/>
      <c r="UAO5"/>
      <c r="UAS5"/>
      <c r="UAW5"/>
      <c r="UBA5"/>
      <c r="UBE5"/>
      <c r="UBI5"/>
      <c r="UBM5"/>
      <c r="UBQ5"/>
      <c r="UBU5"/>
      <c r="UBY5"/>
      <c r="UCC5"/>
      <c r="UCG5"/>
      <c r="UCK5"/>
      <c r="UCO5"/>
      <c r="UCS5"/>
      <c r="UCW5"/>
      <c r="UDA5"/>
      <c r="UDE5"/>
      <c r="UDI5"/>
      <c r="UDM5"/>
      <c r="UDQ5"/>
      <c r="UDU5"/>
      <c r="UDY5"/>
      <c r="UEC5"/>
      <c r="UEG5"/>
      <c r="UEK5"/>
      <c r="UEO5"/>
      <c r="UES5"/>
      <c r="UEW5"/>
      <c r="UFA5"/>
      <c r="UFE5"/>
      <c r="UFI5"/>
      <c r="UFM5"/>
      <c r="UFQ5"/>
      <c r="UFU5"/>
      <c r="UFY5"/>
      <c r="UGC5"/>
      <c r="UGG5"/>
      <c r="UGK5"/>
      <c r="UGO5"/>
      <c r="UGS5"/>
      <c r="UGW5"/>
      <c r="UHA5"/>
      <c r="UHE5"/>
      <c r="UHI5"/>
      <c r="UHM5"/>
      <c r="UHQ5"/>
      <c r="UHU5"/>
      <c r="UHY5"/>
      <c r="UIC5"/>
      <c r="UIG5"/>
      <c r="UIK5"/>
      <c r="UIO5"/>
      <c r="UIS5"/>
      <c r="UIW5"/>
      <c r="UJA5"/>
      <c r="UJE5"/>
      <c r="UJI5"/>
      <c r="UJM5"/>
      <c r="UJQ5"/>
      <c r="UJU5"/>
      <c r="UJY5"/>
      <c r="UKC5"/>
      <c r="UKG5"/>
      <c r="UKK5"/>
      <c r="UKO5"/>
      <c r="UKS5"/>
      <c r="UKW5"/>
      <c r="ULA5"/>
      <c r="ULE5"/>
      <c r="ULI5"/>
      <c r="ULM5"/>
      <c r="ULQ5"/>
      <c r="ULU5"/>
      <c r="ULY5"/>
      <c r="UMC5"/>
      <c r="UMG5"/>
      <c r="UMK5"/>
      <c r="UMO5"/>
      <c r="UMS5"/>
      <c r="UMW5"/>
      <c r="UNA5"/>
      <c r="UNE5"/>
      <c r="UNI5"/>
      <c r="UNM5"/>
      <c r="UNQ5"/>
      <c r="UNU5"/>
      <c r="UNY5"/>
      <c r="UOC5"/>
      <c r="UOG5"/>
      <c r="UOK5"/>
      <c r="UOO5"/>
      <c r="UOS5"/>
      <c r="UOW5"/>
      <c r="UPA5"/>
      <c r="UPE5"/>
      <c r="UPI5"/>
      <c r="UPM5"/>
      <c r="UPQ5"/>
      <c r="UPU5"/>
      <c r="UPY5"/>
      <c r="UQC5"/>
      <c r="UQG5"/>
      <c r="UQK5"/>
      <c r="UQO5"/>
      <c r="UQS5"/>
      <c r="UQW5"/>
      <c r="URA5"/>
      <c r="URE5"/>
      <c r="URI5"/>
      <c r="URM5"/>
      <c r="URQ5"/>
      <c r="URU5"/>
      <c r="URY5"/>
      <c r="USC5"/>
      <c r="USG5"/>
      <c r="USK5"/>
      <c r="USO5"/>
      <c r="USS5"/>
      <c r="USW5"/>
      <c r="UTA5"/>
      <c r="UTE5"/>
      <c r="UTI5"/>
      <c r="UTM5"/>
      <c r="UTQ5"/>
      <c r="UTU5"/>
      <c r="UTY5"/>
      <c r="UUC5"/>
      <c r="UUG5"/>
      <c r="UUK5"/>
      <c r="UUO5"/>
      <c r="UUS5"/>
      <c r="UUW5"/>
      <c r="UVA5"/>
      <c r="UVE5"/>
      <c r="UVI5"/>
      <c r="UVM5"/>
      <c r="UVQ5"/>
      <c r="UVU5"/>
      <c r="UVY5"/>
      <c r="UWC5"/>
      <c r="UWG5"/>
      <c r="UWK5"/>
      <c r="UWO5"/>
      <c r="UWS5"/>
      <c r="UWW5"/>
      <c r="UXA5"/>
      <c r="UXE5"/>
      <c r="UXI5"/>
      <c r="UXM5"/>
      <c r="UXQ5"/>
      <c r="UXU5"/>
      <c r="UXY5"/>
      <c r="UYC5"/>
      <c r="UYG5"/>
      <c r="UYK5"/>
      <c r="UYO5"/>
      <c r="UYS5"/>
      <c r="UYW5"/>
      <c r="UZA5"/>
      <c r="UZE5"/>
      <c r="UZI5"/>
      <c r="UZM5"/>
      <c r="UZQ5"/>
      <c r="UZU5"/>
      <c r="UZY5"/>
      <c r="VAC5"/>
      <c r="VAG5"/>
      <c r="VAK5"/>
      <c r="VAO5"/>
      <c r="VAS5"/>
      <c r="VAW5"/>
      <c r="VBA5"/>
      <c r="VBE5"/>
      <c r="VBI5"/>
      <c r="VBM5"/>
      <c r="VBQ5"/>
      <c r="VBU5"/>
      <c r="VBY5"/>
      <c r="VCC5"/>
      <c r="VCG5"/>
      <c r="VCK5"/>
      <c r="VCO5"/>
      <c r="VCS5"/>
      <c r="VCW5"/>
      <c r="VDA5"/>
      <c r="VDE5"/>
      <c r="VDI5"/>
      <c r="VDM5"/>
      <c r="VDQ5"/>
      <c r="VDU5"/>
      <c r="VDY5"/>
      <c r="VEC5"/>
      <c r="VEG5"/>
      <c r="VEK5"/>
      <c r="VEO5"/>
      <c r="VES5"/>
      <c r="VEW5"/>
      <c r="VFA5"/>
      <c r="VFE5"/>
      <c r="VFI5"/>
      <c r="VFM5"/>
      <c r="VFQ5"/>
      <c r="VFU5"/>
      <c r="VFY5"/>
      <c r="VGC5"/>
      <c r="VGG5"/>
      <c r="VGK5"/>
      <c r="VGO5"/>
      <c r="VGS5"/>
      <c r="VGW5"/>
      <c r="VHA5"/>
      <c r="VHE5"/>
      <c r="VHI5"/>
      <c r="VHM5"/>
      <c r="VHQ5"/>
      <c r="VHU5"/>
      <c r="VHY5"/>
      <c r="VIC5"/>
      <c r="VIG5"/>
      <c r="VIK5"/>
      <c r="VIO5"/>
      <c r="VIS5"/>
      <c r="VIW5"/>
      <c r="VJA5"/>
      <c r="VJE5"/>
      <c r="VJI5"/>
      <c r="VJM5"/>
      <c r="VJQ5"/>
      <c r="VJU5"/>
      <c r="VJY5"/>
      <c r="VKC5"/>
      <c r="VKG5"/>
      <c r="VKK5"/>
      <c r="VKO5"/>
      <c r="VKS5"/>
      <c r="VKW5"/>
      <c r="VLA5"/>
      <c r="VLE5"/>
      <c r="VLI5"/>
      <c r="VLM5"/>
      <c r="VLQ5"/>
      <c r="VLU5"/>
      <c r="VLY5"/>
      <c r="VMC5"/>
      <c r="VMG5"/>
      <c r="VMK5"/>
      <c r="VMO5"/>
      <c r="VMS5"/>
      <c r="VMW5"/>
      <c r="VNA5"/>
      <c r="VNE5"/>
      <c r="VNI5"/>
      <c r="VNM5"/>
      <c r="VNQ5"/>
      <c r="VNU5"/>
      <c r="VNY5"/>
      <c r="VOC5"/>
      <c r="VOG5"/>
      <c r="VOK5"/>
      <c r="VOO5"/>
      <c r="VOS5"/>
      <c r="VOW5"/>
      <c r="VPA5"/>
      <c r="VPE5"/>
      <c r="VPI5"/>
      <c r="VPM5"/>
      <c r="VPQ5"/>
      <c r="VPU5"/>
      <c r="VPY5"/>
      <c r="VQC5"/>
      <c r="VQG5"/>
      <c r="VQK5"/>
      <c r="VQO5"/>
      <c r="VQS5"/>
      <c r="VQW5"/>
      <c r="VRA5"/>
      <c r="VRE5"/>
      <c r="VRI5"/>
      <c r="VRM5"/>
      <c r="VRQ5"/>
      <c r="VRU5"/>
      <c r="VRY5"/>
      <c r="VSC5"/>
      <c r="VSG5"/>
      <c r="VSK5"/>
      <c r="VSO5"/>
      <c r="VSS5"/>
      <c r="VSW5"/>
      <c r="VTA5"/>
      <c r="VTE5"/>
      <c r="VTI5"/>
      <c r="VTM5"/>
      <c r="VTQ5"/>
      <c r="VTU5"/>
      <c r="VTY5"/>
      <c r="VUC5"/>
      <c r="VUG5"/>
      <c r="VUK5"/>
      <c r="VUO5"/>
      <c r="VUS5"/>
      <c r="VUW5"/>
      <c r="VVA5"/>
      <c r="VVE5"/>
      <c r="VVI5"/>
      <c r="VVM5"/>
      <c r="VVQ5"/>
      <c r="VVU5"/>
      <c r="VVY5"/>
      <c r="VWC5"/>
      <c r="VWG5"/>
      <c r="VWK5"/>
      <c r="VWO5"/>
      <c r="VWS5"/>
      <c r="VWW5"/>
      <c r="VXA5"/>
      <c r="VXE5"/>
      <c r="VXI5"/>
      <c r="VXM5"/>
      <c r="VXQ5"/>
      <c r="VXU5"/>
      <c r="VXY5"/>
      <c r="VYC5"/>
      <c r="VYG5"/>
      <c r="VYK5"/>
      <c r="VYO5"/>
      <c r="VYS5"/>
      <c r="VYW5"/>
      <c r="VZA5"/>
      <c r="VZE5"/>
      <c r="VZI5"/>
      <c r="VZM5"/>
      <c r="VZQ5"/>
      <c r="VZU5"/>
      <c r="VZY5"/>
      <c r="WAC5"/>
      <c r="WAG5"/>
      <c r="WAK5"/>
      <c r="WAO5"/>
      <c r="WAS5"/>
      <c r="WAW5"/>
      <c r="WBA5"/>
      <c r="WBE5"/>
      <c r="WBI5"/>
      <c r="WBM5"/>
      <c r="WBQ5"/>
      <c r="WBU5"/>
      <c r="WBY5"/>
      <c r="WCC5"/>
      <c r="WCG5"/>
      <c r="WCK5"/>
      <c r="WCO5"/>
      <c r="WCS5"/>
      <c r="WCW5"/>
      <c r="WDA5"/>
      <c r="WDE5"/>
      <c r="WDI5"/>
      <c r="WDM5"/>
      <c r="WDQ5"/>
      <c r="WDU5"/>
      <c r="WDY5"/>
      <c r="WEC5"/>
      <c r="WEG5"/>
      <c r="WEK5"/>
      <c r="WEO5"/>
      <c r="WES5"/>
      <c r="WEW5"/>
      <c r="WFA5"/>
      <c r="WFE5"/>
      <c r="WFI5"/>
      <c r="WFM5"/>
      <c r="WFQ5"/>
      <c r="WFU5"/>
      <c r="WFY5"/>
      <c r="WGC5"/>
      <c r="WGG5"/>
      <c r="WGK5"/>
      <c r="WGO5"/>
      <c r="WGS5"/>
      <c r="WGW5"/>
      <c r="WHA5"/>
      <c r="WHE5"/>
      <c r="WHI5"/>
      <c r="WHM5"/>
      <c r="WHQ5"/>
      <c r="WHU5"/>
      <c r="WHY5"/>
      <c r="WIC5"/>
      <c r="WIG5"/>
      <c r="WIK5"/>
      <c r="WIO5"/>
      <c r="WIS5"/>
      <c r="WIW5"/>
      <c r="WJA5"/>
      <c r="WJE5"/>
      <c r="WJI5"/>
      <c r="WJM5"/>
      <c r="WJQ5"/>
      <c r="WJU5"/>
      <c r="WJY5"/>
      <c r="WKC5"/>
      <c r="WKG5"/>
      <c r="WKK5"/>
      <c r="WKO5"/>
      <c r="WKS5"/>
      <c r="WKW5"/>
      <c r="WLA5"/>
      <c r="WLE5"/>
      <c r="WLI5"/>
      <c r="WLM5"/>
      <c r="WLQ5"/>
      <c r="WLU5"/>
      <c r="WLY5"/>
      <c r="WMC5"/>
      <c r="WMG5"/>
      <c r="WMK5"/>
      <c r="WMO5"/>
      <c r="WMS5"/>
      <c r="WMW5"/>
      <c r="WNA5"/>
      <c r="WNE5"/>
      <c r="WNI5"/>
      <c r="WNM5"/>
      <c r="WNQ5"/>
      <c r="WNU5"/>
      <c r="WNY5"/>
      <c r="WOC5"/>
      <c r="WOG5"/>
      <c r="WOK5"/>
      <c r="WOO5"/>
      <c r="WOS5"/>
      <c r="WOW5"/>
      <c r="WPA5"/>
      <c r="WPE5"/>
      <c r="WPI5"/>
      <c r="WPM5"/>
      <c r="WPQ5"/>
      <c r="WPU5"/>
      <c r="WPY5"/>
      <c r="WQC5"/>
      <c r="WQG5"/>
      <c r="WQK5"/>
      <c r="WQO5"/>
      <c r="WQS5"/>
      <c r="WQW5"/>
      <c r="WRA5"/>
      <c r="WRE5"/>
      <c r="WRI5"/>
      <c r="WRM5"/>
      <c r="WRQ5"/>
      <c r="WRU5"/>
      <c r="WRY5"/>
      <c r="WSC5"/>
      <c r="WSG5"/>
      <c r="WSK5"/>
      <c r="WSO5"/>
      <c r="WSS5"/>
      <c r="WSW5"/>
      <c r="WTA5"/>
      <c r="WTE5"/>
      <c r="WTI5"/>
      <c r="WTM5"/>
      <c r="WTQ5"/>
      <c r="WTU5"/>
      <c r="WTY5"/>
      <c r="WUC5"/>
      <c r="WUG5"/>
      <c r="WUK5"/>
      <c r="WUO5"/>
      <c r="WUS5"/>
      <c r="WUW5"/>
      <c r="WVA5"/>
      <c r="WVE5"/>
      <c r="WVI5"/>
      <c r="WVM5"/>
      <c r="WVQ5"/>
      <c r="WVU5"/>
      <c r="WVY5"/>
      <c r="WWC5"/>
      <c r="WWG5"/>
      <c r="WWK5"/>
      <c r="WWO5"/>
      <c r="WWS5"/>
      <c r="WWW5"/>
      <c r="WXA5"/>
      <c r="WXE5"/>
      <c r="WXI5"/>
      <c r="WXM5"/>
      <c r="WXQ5"/>
      <c r="WXU5"/>
      <c r="WXY5"/>
      <c r="WYC5"/>
      <c r="WYG5"/>
      <c r="WYK5"/>
      <c r="WYO5"/>
      <c r="WYS5"/>
      <c r="WYW5"/>
      <c r="WZA5"/>
      <c r="WZE5"/>
      <c r="WZI5"/>
      <c r="WZM5"/>
      <c r="WZQ5"/>
      <c r="WZU5"/>
      <c r="WZY5"/>
      <c r="XAC5"/>
      <c r="XAG5"/>
      <c r="XAK5"/>
      <c r="XAO5"/>
      <c r="XAS5"/>
      <c r="XAW5"/>
      <c r="XBA5"/>
      <c r="XBE5"/>
      <c r="XBI5"/>
      <c r="XBM5"/>
      <c r="XBQ5"/>
      <c r="XBU5"/>
      <c r="XBY5"/>
      <c r="XCC5"/>
      <c r="XCG5"/>
      <c r="XCK5"/>
      <c r="XCO5"/>
      <c r="XCS5"/>
      <c r="XCW5"/>
      <c r="XDA5"/>
      <c r="XDE5"/>
      <c r="XDI5"/>
      <c r="XDM5"/>
      <c r="XDQ5"/>
      <c r="XDU5"/>
      <c r="XDY5"/>
      <c r="XEC5"/>
      <c r="XEG5"/>
      <c r="XEK5"/>
      <c r="XEO5"/>
      <c r="XES5"/>
      <c r="XEW5"/>
      <c r="XFA5"/>
    </row>
    <row r="6" spans="1:1021 1025:2045 2049:3069 3073:4093 4097:5117 5121:6141 6145:7165 7169:8189 8193:9213 9217:10237 10241:11261 11265:12285 12289:13309 13313:14333 14337:15357 15361:16381" s="1" customFormat="1" x14ac:dyDescent="0.35">
      <c r="A6" s="21">
        <v>1</v>
      </c>
      <c r="B6" s="21">
        <v>2</v>
      </c>
      <c r="C6" s="1" t="str">
        <f xml:space="preserve"> IF('Master Player List'!L4=1,'Master Player List'!C4,"")</f>
        <v xml:space="preserve">Paschke, Michael </v>
      </c>
      <c r="D6" s="1" t="str">
        <f xml:space="preserve"> IF('Master Player List'!L4=1,'Master Player List'!F4,"")</f>
        <v xml:space="preserve">Montes, Daniel </v>
      </c>
      <c r="E6" s="21">
        <f xml:space="preserve"> IF('Master Player List'!L4=1,'Master Player List'!I4,"")</f>
        <v>-0.69999999999999973</v>
      </c>
      <c r="F6" s="22"/>
      <c r="I6" s="21"/>
      <c r="J6" s="22"/>
      <c r="M6" t="s">
        <v>466</v>
      </c>
      <c r="Q6"/>
      <c r="U6"/>
      <c r="Y6"/>
      <c r="AC6"/>
      <c r="AG6"/>
      <c r="AK6"/>
      <c r="AO6"/>
      <c r="AS6"/>
      <c r="AW6"/>
      <c r="BA6"/>
      <c r="BE6"/>
      <c r="BI6"/>
      <c r="BM6"/>
      <c r="BQ6"/>
      <c r="BU6"/>
      <c r="BY6"/>
      <c r="CC6"/>
      <c r="CG6"/>
      <c r="CK6"/>
      <c r="CO6"/>
      <c r="CS6"/>
      <c r="CW6"/>
      <c r="DA6"/>
      <c r="DE6"/>
      <c r="DI6"/>
      <c r="DM6"/>
      <c r="DQ6"/>
      <c r="DU6"/>
      <c r="DY6"/>
      <c r="EC6"/>
      <c r="EG6"/>
      <c r="EK6"/>
      <c r="EO6"/>
      <c r="ES6"/>
      <c r="EW6"/>
      <c r="FA6"/>
      <c r="FE6"/>
      <c r="FI6"/>
      <c r="FM6"/>
      <c r="FQ6"/>
      <c r="FU6"/>
      <c r="FY6"/>
      <c r="GC6"/>
      <c r="GG6"/>
      <c r="GK6"/>
      <c r="GO6"/>
      <c r="GS6"/>
      <c r="GW6"/>
      <c r="HA6"/>
      <c r="HE6"/>
      <c r="HI6"/>
      <c r="HM6"/>
      <c r="HQ6"/>
      <c r="HU6"/>
      <c r="HY6"/>
      <c r="IC6"/>
      <c r="IG6"/>
      <c r="IK6"/>
      <c r="IO6"/>
      <c r="IS6"/>
      <c r="IW6"/>
      <c r="JA6"/>
      <c r="JE6"/>
      <c r="JI6"/>
      <c r="JM6"/>
      <c r="JQ6"/>
      <c r="JU6"/>
      <c r="JY6"/>
      <c r="KC6"/>
      <c r="KG6"/>
      <c r="KK6"/>
      <c r="KO6"/>
      <c r="KS6"/>
      <c r="KW6"/>
      <c r="LA6"/>
      <c r="LE6"/>
      <c r="LI6"/>
      <c r="LM6"/>
      <c r="LQ6"/>
      <c r="LU6"/>
      <c r="LY6"/>
      <c r="MC6"/>
      <c r="MG6"/>
      <c r="MK6"/>
      <c r="MO6"/>
      <c r="MS6"/>
      <c r="MW6"/>
      <c r="NA6"/>
      <c r="NE6"/>
      <c r="NI6"/>
      <c r="NM6"/>
      <c r="NQ6"/>
      <c r="NU6"/>
      <c r="NY6"/>
      <c r="OC6"/>
      <c r="OG6"/>
      <c r="OK6"/>
      <c r="OO6"/>
      <c r="OS6"/>
      <c r="OW6"/>
      <c r="PA6"/>
      <c r="PE6"/>
      <c r="PI6"/>
      <c r="PM6"/>
      <c r="PQ6"/>
      <c r="PU6"/>
      <c r="PY6"/>
      <c r="QC6"/>
      <c r="QG6"/>
      <c r="QK6"/>
      <c r="QO6"/>
      <c r="QS6"/>
      <c r="QW6"/>
      <c r="RA6"/>
      <c r="RE6"/>
      <c r="RI6"/>
      <c r="RM6"/>
      <c r="RQ6"/>
      <c r="RU6"/>
      <c r="RY6"/>
      <c r="SC6"/>
      <c r="SG6"/>
      <c r="SK6"/>
      <c r="SO6"/>
      <c r="SS6"/>
      <c r="SW6"/>
      <c r="TA6"/>
      <c r="TE6"/>
      <c r="TI6"/>
      <c r="TM6"/>
      <c r="TQ6"/>
      <c r="TU6"/>
      <c r="TY6"/>
      <c r="UC6"/>
      <c r="UG6"/>
      <c r="UK6"/>
      <c r="UO6"/>
      <c r="US6"/>
      <c r="UW6"/>
      <c r="VA6"/>
      <c r="VE6"/>
      <c r="VI6"/>
      <c r="VM6"/>
      <c r="VQ6"/>
      <c r="VU6"/>
      <c r="VY6"/>
      <c r="WC6"/>
      <c r="WG6"/>
      <c r="WK6"/>
      <c r="WO6"/>
      <c r="WS6"/>
      <c r="WW6"/>
      <c r="XA6"/>
      <c r="XE6"/>
      <c r="XI6"/>
      <c r="XM6"/>
      <c r="XQ6"/>
      <c r="XU6"/>
      <c r="XY6"/>
      <c r="YC6"/>
      <c r="YG6"/>
      <c r="YK6"/>
      <c r="YO6"/>
      <c r="YS6"/>
      <c r="YW6"/>
      <c r="ZA6"/>
      <c r="ZE6"/>
      <c r="ZI6"/>
      <c r="ZM6"/>
      <c r="ZQ6"/>
      <c r="ZU6"/>
      <c r="ZY6"/>
      <c r="AAC6"/>
      <c r="AAG6"/>
      <c r="AAK6"/>
      <c r="AAO6"/>
      <c r="AAS6"/>
      <c r="AAW6"/>
      <c r="ABA6"/>
      <c r="ABE6"/>
      <c r="ABI6"/>
      <c r="ABM6"/>
      <c r="ABQ6"/>
      <c r="ABU6"/>
      <c r="ABY6"/>
      <c r="ACC6"/>
      <c r="ACG6"/>
      <c r="ACK6"/>
      <c r="ACO6"/>
      <c r="ACS6"/>
      <c r="ACW6"/>
      <c r="ADA6"/>
      <c r="ADE6"/>
      <c r="ADI6"/>
      <c r="ADM6"/>
      <c r="ADQ6"/>
      <c r="ADU6"/>
      <c r="ADY6"/>
      <c r="AEC6"/>
      <c r="AEG6"/>
      <c r="AEK6"/>
      <c r="AEO6"/>
      <c r="AES6"/>
      <c r="AEW6"/>
      <c r="AFA6"/>
      <c r="AFE6"/>
      <c r="AFI6"/>
      <c r="AFM6"/>
      <c r="AFQ6"/>
      <c r="AFU6"/>
      <c r="AFY6"/>
      <c r="AGC6"/>
      <c r="AGG6"/>
      <c r="AGK6"/>
      <c r="AGO6"/>
      <c r="AGS6"/>
      <c r="AGW6"/>
      <c r="AHA6"/>
      <c r="AHE6"/>
      <c r="AHI6"/>
      <c r="AHM6"/>
      <c r="AHQ6"/>
      <c r="AHU6"/>
      <c r="AHY6"/>
      <c r="AIC6"/>
      <c r="AIG6"/>
      <c r="AIK6"/>
      <c r="AIO6"/>
      <c r="AIS6"/>
      <c r="AIW6"/>
      <c r="AJA6"/>
      <c r="AJE6"/>
      <c r="AJI6"/>
      <c r="AJM6"/>
      <c r="AJQ6"/>
      <c r="AJU6"/>
      <c r="AJY6"/>
      <c r="AKC6"/>
      <c r="AKG6"/>
      <c r="AKK6"/>
      <c r="AKO6"/>
      <c r="AKS6"/>
      <c r="AKW6"/>
      <c r="ALA6"/>
      <c r="ALE6"/>
      <c r="ALI6"/>
      <c r="ALM6"/>
      <c r="ALQ6"/>
      <c r="ALU6"/>
      <c r="ALY6"/>
      <c r="AMC6"/>
      <c r="AMG6"/>
      <c r="AMK6"/>
      <c r="AMO6"/>
      <c r="AMS6"/>
      <c r="AMW6"/>
      <c r="ANA6"/>
      <c r="ANE6"/>
      <c r="ANI6"/>
      <c r="ANM6"/>
      <c r="ANQ6"/>
      <c r="ANU6"/>
      <c r="ANY6"/>
      <c r="AOC6"/>
      <c r="AOG6"/>
      <c r="AOK6"/>
      <c r="AOO6"/>
      <c r="AOS6"/>
      <c r="AOW6"/>
      <c r="APA6"/>
      <c r="APE6"/>
      <c r="API6"/>
      <c r="APM6"/>
      <c r="APQ6"/>
      <c r="APU6"/>
      <c r="APY6"/>
      <c r="AQC6"/>
      <c r="AQG6"/>
      <c r="AQK6"/>
      <c r="AQO6"/>
      <c r="AQS6"/>
      <c r="AQW6"/>
      <c r="ARA6"/>
      <c r="ARE6"/>
      <c r="ARI6"/>
      <c r="ARM6"/>
      <c r="ARQ6"/>
      <c r="ARU6"/>
      <c r="ARY6"/>
      <c r="ASC6"/>
      <c r="ASG6"/>
      <c r="ASK6"/>
      <c r="ASO6"/>
      <c r="ASS6"/>
      <c r="ASW6"/>
      <c r="ATA6"/>
      <c r="ATE6"/>
      <c r="ATI6"/>
      <c r="ATM6"/>
      <c r="ATQ6"/>
      <c r="ATU6"/>
      <c r="ATY6"/>
      <c r="AUC6"/>
      <c r="AUG6"/>
      <c r="AUK6"/>
      <c r="AUO6"/>
      <c r="AUS6"/>
      <c r="AUW6"/>
      <c r="AVA6"/>
      <c r="AVE6"/>
      <c r="AVI6"/>
      <c r="AVM6"/>
      <c r="AVQ6"/>
      <c r="AVU6"/>
      <c r="AVY6"/>
      <c r="AWC6"/>
      <c r="AWG6"/>
      <c r="AWK6"/>
      <c r="AWO6"/>
      <c r="AWS6"/>
      <c r="AWW6"/>
      <c r="AXA6"/>
      <c r="AXE6"/>
      <c r="AXI6"/>
      <c r="AXM6"/>
      <c r="AXQ6"/>
      <c r="AXU6"/>
      <c r="AXY6"/>
      <c r="AYC6"/>
      <c r="AYG6"/>
      <c r="AYK6"/>
      <c r="AYO6"/>
      <c r="AYS6"/>
      <c r="AYW6"/>
      <c r="AZA6"/>
      <c r="AZE6"/>
      <c r="AZI6"/>
      <c r="AZM6"/>
      <c r="AZQ6"/>
      <c r="AZU6"/>
      <c r="AZY6"/>
      <c r="BAC6"/>
      <c r="BAG6"/>
      <c r="BAK6"/>
      <c r="BAO6"/>
      <c r="BAS6"/>
      <c r="BAW6"/>
      <c r="BBA6"/>
      <c r="BBE6"/>
      <c r="BBI6"/>
      <c r="BBM6"/>
      <c r="BBQ6"/>
      <c r="BBU6"/>
      <c r="BBY6"/>
      <c r="BCC6"/>
      <c r="BCG6"/>
      <c r="BCK6"/>
      <c r="BCO6"/>
      <c r="BCS6"/>
      <c r="BCW6"/>
      <c r="BDA6"/>
      <c r="BDE6"/>
      <c r="BDI6"/>
      <c r="BDM6"/>
      <c r="BDQ6"/>
      <c r="BDU6"/>
      <c r="BDY6"/>
      <c r="BEC6"/>
      <c r="BEG6"/>
      <c r="BEK6"/>
      <c r="BEO6"/>
      <c r="BES6"/>
      <c r="BEW6"/>
      <c r="BFA6"/>
      <c r="BFE6"/>
      <c r="BFI6"/>
      <c r="BFM6"/>
      <c r="BFQ6"/>
      <c r="BFU6"/>
      <c r="BFY6"/>
      <c r="BGC6"/>
      <c r="BGG6"/>
      <c r="BGK6"/>
      <c r="BGO6"/>
      <c r="BGS6"/>
      <c r="BGW6"/>
      <c r="BHA6"/>
      <c r="BHE6"/>
      <c r="BHI6"/>
      <c r="BHM6"/>
      <c r="BHQ6"/>
      <c r="BHU6"/>
      <c r="BHY6"/>
      <c r="BIC6"/>
      <c r="BIG6"/>
      <c r="BIK6"/>
      <c r="BIO6"/>
      <c r="BIS6"/>
      <c r="BIW6"/>
      <c r="BJA6"/>
      <c r="BJE6"/>
      <c r="BJI6"/>
      <c r="BJM6"/>
      <c r="BJQ6"/>
      <c r="BJU6"/>
      <c r="BJY6"/>
      <c r="BKC6"/>
      <c r="BKG6"/>
      <c r="BKK6"/>
      <c r="BKO6"/>
      <c r="BKS6"/>
      <c r="BKW6"/>
      <c r="BLA6"/>
      <c r="BLE6"/>
      <c r="BLI6"/>
      <c r="BLM6"/>
      <c r="BLQ6"/>
      <c r="BLU6"/>
      <c r="BLY6"/>
      <c r="BMC6"/>
      <c r="BMG6"/>
      <c r="BMK6"/>
      <c r="BMO6"/>
      <c r="BMS6"/>
      <c r="BMW6"/>
      <c r="BNA6"/>
      <c r="BNE6"/>
      <c r="BNI6"/>
      <c r="BNM6"/>
      <c r="BNQ6"/>
      <c r="BNU6"/>
      <c r="BNY6"/>
      <c r="BOC6"/>
      <c r="BOG6"/>
      <c r="BOK6"/>
      <c r="BOO6"/>
      <c r="BOS6"/>
      <c r="BOW6"/>
      <c r="BPA6"/>
      <c r="BPE6"/>
      <c r="BPI6"/>
      <c r="BPM6"/>
      <c r="BPQ6"/>
      <c r="BPU6"/>
      <c r="BPY6"/>
      <c r="BQC6"/>
      <c r="BQG6"/>
      <c r="BQK6"/>
      <c r="BQO6"/>
      <c r="BQS6"/>
      <c r="BQW6"/>
      <c r="BRA6"/>
      <c r="BRE6"/>
      <c r="BRI6"/>
      <c r="BRM6"/>
      <c r="BRQ6"/>
      <c r="BRU6"/>
      <c r="BRY6"/>
      <c r="BSC6"/>
      <c r="BSG6"/>
      <c r="BSK6"/>
      <c r="BSO6"/>
      <c r="BSS6"/>
      <c r="BSW6"/>
      <c r="BTA6"/>
      <c r="BTE6"/>
      <c r="BTI6"/>
      <c r="BTM6"/>
      <c r="BTQ6"/>
      <c r="BTU6"/>
      <c r="BTY6"/>
      <c r="BUC6"/>
      <c r="BUG6"/>
      <c r="BUK6"/>
      <c r="BUO6"/>
      <c r="BUS6"/>
      <c r="BUW6"/>
      <c r="BVA6"/>
      <c r="BVE6"/>
      <c r="BVI6"/>
      <c r="BVM6"/>
      <c r="BVQ6"/>
      <c r="BVU6"/>
      <c r="BVY6"/>
      <c r="BWC6"/>
      <c r="BWG6"/>
      <c r="BWK6"/>
      <c r="BWO6"/>
      <c r="BWS6"/>
      <c r="BWW6"/>
      <c r="BXA6"/>
      <c r="BXE6"/>
      <c r="BXI6"/>
      <c r="BXM6"/>
      <c r="BXQ6"/>
      <c r="BXU6"/>
      <c r="BXY6"/>
      <c r="BYC6"/>
      <c r="BYG6"/>
      <c r="BYK6"/>
      <c r="BYO6"/>
      <c r="BYS6"/>
      <c r="BYW6"/>
      <c r="BZA6"/>
      <c r="BZE6"/>
      <c r="BZI6"/>
      <c r="BZM6"/>
      <c r="BZQ6"/>
      <c r="BZU6"/>
      <c r="BZY6"/>
      <c r="CAC6"/>
      <c r="CAG6"/>
      <c r="CAK6"/>
      <c r="CAO6"/>
      <c r="CAS6"/>
      <c r="CAW6"/>
      <c r="CBA6"/>
      <c r="CBE6"/>
      <c r="CBI6"/>
      <c r="CBM6"/>
      <c r="CBQ6"/>
      <c r="CBU6"/>
      <c r="CBY6"/>
      <c r="CCC6"/>
      <c r="CCG6"/>
      <c r="CCK6"/>
      <c r="CCO6"/>
      <c r="CCS6"/>
      <c r="CCW6"/>
      <c r="CDA6"/>
      <c r="CDE6"/>
      <c r="CDI6"/>
      <c r="CDM6"/>
      <c r="CDQ6"/>
      <c r="CDU6"/>
      <c r="CDY6"/>
      <c r="CEC6"/>
      <c r="CEG6"/>
      <c r="CEK6"/>
      <c r="CEO6"/>
      <c r="CES6"/>
      <c r="CEW6"/>
      <c r="CFA6"/>
      <c r="CFE6"/>
      <c r="CFI6"/>
      <c r="CFM6"/>
      <c r="CFQ6"/>
      <c r="CFU6"/>
      <c r="CFY6"/>
      <c r="CGC6"/>
      <c r="CGG6"/>
      <c r="CGK6"/>
      <c r="CGO6"/>
      <c r="CGS6"/>
      <c r="CGW6"/>
      <c r="CHA6"/>
      <c r="CHE6"/>
      <c r="CHI6"/>
      <c r="CHM6"/>
      <c r="CHQ6"/>
      <c r="CHU6"/>
      <c r="CHY6"/>
      <c r="CIC6"/>
      <c r="CIG6"/>
      <c r="CIK6"/>
      <c r="CIO6"/>
      <c r="CIS6"/>
      <c r="CIW6"/>
      <c r="CJA6"/>
      <c r="CJE6"/>
      <c r="CJI6"/>
      <c r="CJM6"/>
      <c r="CJQ6"/>
      <c r="CJU6"/>
      <c r="CJY6"/>
      <c r="CKC6"/>
      <c r="CKG6"/>
      <c r="CKK6"/>
      <c r="CKO6"/>
      <c r="CKS6"/>
      <c r="CKW6"/>
      <c r="CLA6"/>
      <c r="CLE6"/>
      <c r="CLI6"/>
      <c r="CLM6"/>
      <c r="CLQ6"/>
      <c r="CLU6"/>
      <c r="CLY6"/>
      <c r="CMC6"/>
      <c r="CMG6"/>
      <c r="CMK6"/>
      <c r="CMO6"/>
      <c r="CMS6"/>
      <c r="CMW6"/>
      <c r="CNA6"/>
      <c r="CNE6"/>
      <c r="CNI6"/>
      <c r="CNM6"/>
      <c r="CNQ6"/>
      <c r="CNU6"/>
      <c r="CNY6"/>
      <c r="COC6"/>
      <c r="COG6"/>
      <c r="COK6"/>
      <c r="COO6"/>
      <c r="COS6"/>
      <c r="COW6"/>
      <c r="CPA6"/>
      <c r="CPE6"/>
      <c r="CPI6"/>
      <c r="CPM6"/>
      <c r="CPQ6"/>
      <c r="CPU6"/>
      <c r="CPY6"/>
      <c r="CQC6"/>
      <c r="CQG6"/>
      <c r="CQK6"/>
      <c r="CQO6"/>
      <c r="CQS6"/>
      <c r="CQW6"/>
      <c r="CRA6"/>
      <c r="CRE6"/>
      <c r="CRI6"/>
      <c r="CRM6"/>
      <c r="CRQ6"/>
      <c r="CRU6"/>
      <c r="CRY6"/>
      <c r="CSC6"/>
      <c r="CSG6"/>
      <c r="CSK6"/>
      <c r="CSO6"/>
      <c r="CSS6"/>
      <c r="CSW6"/>
      <c r="CTA6"/>
      <c r="CTE6"/>
      <c r="CTI6"/>
      <c r="CTM6"/>
      <c r="CTQ6"/>
      <c r="CTU6"/>
      <c r="CTY6"/>
      <c r="CUC6"/>
      <c r="CUG6"/>
      <c r="CUK6"/>
      <c r="CUO6"/>
      <c r="CUS6"/>
      <c r="CUW6"/>
      <c r="CVA6"/>
      <c r="CVE6"/>
      <c r="CVI6"/>
      <c r="CVM6"/>
      <c r="CVQ6"/>
      <c r="CVU6"/>
      <c r="CVY6"/>
      <c r="CWC6"/>
      <c r="CWG6"/>
      <c r="CWK6"/>
      <c r="CWO6"/>
      <c r="CWS6"/>
      <c r="CWW6"/>
      <c r="CXA6"/>
      <c r="CXE6"/>
      <c r="CXI6"/>
      <c r="CXM6"/>
      <c r="CXQ6"/>
      <c r="CXU6"/>
      <c r="CXY6"/>
      <c r="CYC6"/>
      <c r="CYG6"/>
      <c r="CYK6"/>
      <c r="CYO6"/>
      <c r="CYS6"/>
      <c r="CYW6"/>
      <c r="CZA6"/>
      <c r="CZE6"/>
      <c r="CZI6"/>
      <c r="CZM6"/>
      <c r="CZQ6"/>
      <c r="CZU6"/>
      <c r="CZY6"/>
      <c r="DAC6"/>
      <c r="DAG6"/>
      <c r="DAK6"/>
      <c r="DAO6"/>
      <c r="DAS6"/>
      <c r="DAW6"/>
      <c r="DBA6"/>
      <c r="DBE6"/>
      <c r="DBI6"/>
      <c r="DBM6"/>
      <c r="DBQ6"/>
      <c r="DBU6"/>
      <c r="DBY6"/>
      <c r="DCC6"/>
      <c r="DCG6"/>
      <c r="DCK6"/>
      <c r="DCO6"/>
      <c r="DCS6"/>
      <c r="DCW6"/>
      <c r="DDA6"/>
      <c r="DDE6"/>
      <c r="DDI6"/>
      <c r="DDM6"/>
      <c r="DDQ6"/>
      <c r="DDU6"/>
      <c r="DDY6"/>
      <c r="DEC6"/>
      <c r="DEG6"/>
      <c r="DEK6"/>
      <c r="DEO6"/>
      <c r="DES6"/>
      <c r="DEW6"/>
      <c r="DFA6"/>
      <c r="DFE6"/>
      <c r="DFI6"/>
      <c r="DFM6"/>
      <c r="DFQ6"/>
      <c r="DFU6"/>
      <c r="DFY6"/>
      <c r="DGC6"/>
      <c r="DGG6"/>
      <c r="DGK6"/>
      <c r="DGO6"/>
      <c r="DGS6"/>
      <c r="DGW6"/>
      <c r="DHA6"/>
      <c r="DHE6"/>
      <c r="DHI6"/>
      <c r="DHM6"/>
      <c r="DHQ6"/>
      <c r="DHU6"/>
      <c r="DHY6"/>
      <c r="DIC6"/>
      <c r="DIG6"/>
      <c r="DIK6"/>
      <c r="DIO6"/>
      <c r="DIS6"/>
      <c r="DIW6"/>
      <c r="DJA6"/>
      <c r="DJE6"/>
      <c r="DJI6"/>
      <c r="DJM6"/>
      <c r="DJQ6"/>
      <c r="DJU6"/>
      <c r="DJY6"/>
      <c r="DKC6"/>
      <c r="DKG6"/>
      <c r="DKK6"/>
      <c r="DKO6"/>
      <c r="DKS6"/>
      <c r="DKW6"/>
      <c r="DLA6"/>
      <c r="DLE6"/>
      <c r="DLI6"/>
      <c r="DLM6"/>
      <c r="DLQ6"/>
      <c r="DLU6"/>
      <c r="DLY6"/>
      <c r="DMC6"/>
      <c r="DMG6"/>
      <c r="DMK6"/>
      <c r="DMO6"/>
      <c r="DMS6"/>
      <c r="DMW6"/>
      <c r="DNA6"/>
      <c r="DNE6"/>
      <c r="DNI6"/>
      <c r="DNM6"/>
      <c r="DNQ6"/>
      <c r="DNU6"/>
      <c r="DNY6"/>
      <c r="DOC6"/>
      <c r="DOG6"/>
      <c r="DOK6"/>
      <c r="DOO6"/>
      <c r="DOS6"/>
      <c r="DOW6"/>
      <c r="DPA6"/>
      <c r="DPE6"/>
      <c r="DPI6"/>
      <c r="DPM6"/>
      <c r="DPQ6"/>
      <c r="DPU6"/>
      <c r="DPY6"/>
      <c r="DQC6"/>
      <c r="DQG6"/>
      <c r="DQK6"/>
      <c r="DQO6"/>
      <c r="DQS6"/>
      <c r="DQW6"/>
      <c r="DRA6"/>
      <c r="DRE6"/>
      <c r="DRI6"/>
      <c r="DRM6"/>
      <c r="DRQ6"/>
      <c r="DRU6"/>
      <c r="DRY6"/>
      <c r="DSC6"/>
      <c r="DSG6"/>
      <c r="DSK6"/>
      <c r="DSO6"/>
      <c r="DSS6"/>
      <c r="DSW6"/>
      <c r="DTA6"/>
      <c r="DTE6"/>
      <c r="DTI6"/>
      <c r="DTM6"/>
      <c r="DTQ6"/>
      <c r="DTU6"/>
      <c r="DTY6"/>
      <c r="DUC6"/>
      <c r="DUG6"/>
      <c r="DUK6"/>
      <c r="DUO6"/>
      <c r="DUS6"/>
      <c r="DUW6"/>
      <c r="DVA6"/>
      <c r="DVE6"/>
      <c r="DVI6"/>
      <c r="DVM6"/>
      <c r="DVQ6"/>
      <c r="DVU6"/>
      <c r="DVY6"/>
      <c r="DWC6"/>
      <c r="DWG6"/>
      <c r="DWK6"/>
      <c r="DWO6"/>
      <c r="DWS6"/>
      <c r="DWW6"/>
      <c r="DXA6"/>
      <c r="DXE6"/>
      <c r="DXI6"/>
      <c r="DXM6"/>
      <c r="DXQ6"/>
      <c r="DXU6"/>
      <c r="DXY6"/>
      <c r="DYC6"/>
      <c r="DYG6"/>
      <c r="DYK6"/>
      <c r="DYO6"/>
      <c r="DYS6"/>
      <c r="DYW6"/>
      <c r="DZA6"/>
      <c r="DZE6"/>
      <c r="DZI6"/>
      <c r="DZM6"/>
      <c r="DZQ6"/>
      <c r="DZU6"/>
      <c r="DZY6"/>
      <c r="EAC6"/>
      <c r="EAG6"/>
      <c r="EAK6"/>
      <c r="EAO6"/>
      <c r="EAS6"/>
      <c r="EAW6"/>
      <c r="EBA6"/>
      <c r="EBE6"/>
      <c r="EBI6"/>
      <c r="EBM6"/>
      <c r="EBQ6"/>
      <c r="EBU6"/>
      <c r="EBY6"/>
      <c r="ECC6"/>
      <c r="ECG6"/>
      <c r="ECK6"/>
      <c r="ECO6"/>
      <c r="ECS6"/>
      <c r="ECW6"/>
      <c r="EDA6"/>
      <c r="EDE6"/>
      <c r="EDI6"/>
      <c r="EDM6"/>
      <c r="EDQ6"/>
      <c r="EDU6"/>
      <c r="EDY6"/>
      <c r="EEC6"/>
      <c r="EEG6"/>
      <c r="EEK6"/>
      <c r="EEO6"/>
      <c r="EES6"/>
      <c r="EEW6"/>
      <c r="EFA6"/>
      <c r="EFE6"/>
      <c r="EFI6"/>
      <c r="EFM6"/>
      <c r="EFQ6"/>
      <c r="EFU6"/>
      <c r="EFY6"/>
      <c r="EGC6"/>
      <c r="EGG6"/>
      <c r="EGK6"/>
      <c r="EGO6"/>
      <c r="EGS6"/>
      <c r="EGW6"/>
      <c r="EHA6"/>
      <c r="EHE6"/>
      <c r="EHI6"/>
      <c r="EHM6"/>
      <c r="EHQ6"/>
      <c r="EHU6"/>
      <c r="EHY6"/>
      <c r="EIC6"/>
      <c r="EIG6"/>
      <c r="EIK6"/>
      <c r="EIO6"/>
      <c r="EIS6"/>
      <c r="EIW6"/>
      <c r="EJA6"/>
      <c r="EJE6"/>
      <c r="EJI6"/>
      <c r="EJM6"/>
      <c r="EJQ6"/>
      <c r="EJU6"/>
      <c r="EJY6"/>
      <c r="EKC6"/>
      <c r="EKG6"/>
      <c r="EKK6"/>
      <c r="EKO6"/>
      <c r="EKS6"/>
      <c r="EKW6"/>
      <c r="ELA6"/>
      <c r="ELE6"/>
      <c r="ELI6"/>
      <c r="ELM6"/>
      <c r="ELQ6"/>
      <c r="ELU6"/>
      <c r="ELY6"/>
      <c r="EMC6"/>
      <c r="EMG6"/>
      <c r="EMK6"/>
      <c r="EMO6"/>
      <c r="EMS6"/>
      <c r="EMW6"/>
      <c r="ENA6"/>
      <c r="ENE6"/>
      <c r="ENI6"/>
      <c r="ENM6"/>
      <c r="ENQ6"/>
      <c r="ENU6"/>
      <c r="ENY6"/>
      <c r="EOC6"/>
      <c r="EOG6"/>
      <c r="EOK6"/>
      <c r="EOO6"/>
      <c r="EOS6"/>
      <c r="EOW6"/>
      <c r="EPA6"/>
      <c r="EPE6"/>
      <c r="EPI6"/>
      <c r="EPM6"/>
      <c r="EPQ6"/>
      <c r="EPU6"/>
      <c r="EPY6"/>
      <c r="EQC6"/>
      <c r="EQG6"/>
      <c r="EQK6"/>
      <c r="EQO6"/>
      <c r="EQS6"/>
      <c r="EQW6"/>
      <c r="ERA6"/>
      <c r="ERE6"/>
      <c r="ERI6"/>
      <c r="ERM6"/>
      <c r="ERQ6"/>
      <c r="ERU6"/>
      <c r="ERY6"/>
      <c r="ESC6"/>
      <c r="ESG6"/>
      <c r="ESK6"/>
      <c r="ESO6"/>
      <c r="ESS6"/>
      <c r="ESW6"/>
      <c r="ETA6"/>
      <c r="ETE6"/>
      <c r="ETI6"/>
      <c r="ETM6"/>
      <c r="ETQ6"/>
      <c r="ETU6"/>
      <c r="ETY6"/>
      <c r="EUC6"/>
      <c r="EUG6"/>
      <c r="EUK6"/>
      <c r="EUO6"/>
      <c r="EUS6"/>
      <c r="EUW6"/>
      <c r="EVA6"/>
      <c r="EVE6"/>
      <c r="EVI6"/>
      <c r="EVM6"/>
      <c r="EVQ6"/>
      <c r="EVU6"/>
      <c r="EVY6"/>
      <c r="EWC6"/>
      <c r="EWG6"/>
      <c r="EWK6"/>
      <c r="EWO6"/>
      <c r="EWS6"/>
      <c r="EWW6"/>
      <c r="EXA6"/>
      <c r="EXE6"/>
      <c r="EXI6"/>
      <c r="EXM6"/>
      <c r="EXQ6"/>
      <c r="EXU6"/>
      <c r="EXY6"/>
      <c r="EYC6"/>
      <c r="EYG6"/>
      <c r="EYK6"/>
      <c r="EYO6"/>
      <c r="EYS6"/>
      <c r="EYW6"/>
      <c r="EZA6"/>
      <c r="EZE6"/>
      <c r="EZI6"/>
      <c r="EZM6"/>
      <c r="EZQ6"/>
      <c r="EZU6"/>
      <c r="EZY6"/>
      <c r="FAC6"/>
      <c r="FAG6"/>
      <c r="FAK6"/>
      <c r="FAO6"/>
      <c r="FAS6"/>
      <c r="FAW6"/>
      <c r="FBA6"/>
      <c r="FBE6"/>
      <c r="FBI6"/>
      <c r="FBM6"/>
      <c r="FBQ6"/>
      <c r="FBU6"/>
      <c r="FBY6"/>
      <c r="FCC6"/>
      <c r="FCG6"/>
      <c r="FCK6"/>
      <c r="FCO6"/>
      <c r="FCS6"/>
      <c r="FCW6"/>
      <c r="FDA6"/>
      <c r="FDE6"/>
      <c r="FDI6"/>
      <c r="FDM6"/>
      <c r="FDQ6"/>
      <c r="FDU6"/>
      <c r="FDY6"/>
      <c r="FEC6"/>
      <c r="FEG6"/>
      <c r="FEK6"/>
      <c r="FEO6"/>
      <c r="FES6"/>
      <c r="FEW6"/>
      <c r="FFA6"/>
      <c r="FFE6"/>
      <c r="FFI6"/>
      <c r="FFM6"/>
      <c r="FFQ6"/>
      <c r="FFU6"/>
      <c r="FFY6"/>
      <c r="FGC6"/>
      <c r="FGG6"/>
      <c r="FGK6"/>
      <c r="FGO6"/>
      <c r="FGS6"/>
      <c r="FGW6"/>
      <c r="FHA6"/>
      <c r="FHE6"/>
      <c r="FHI6"/>
      <c r="FHM6"/>
      <c r="FHQ6"/>
      <c r="FHU6"/>
      <c r="FHY6"/>
      <c r="FIC6"/>
      <c r="FIG6"/>
      <c r="FIK6"/>
      <c r="FIO6"/>
      <c r="FIS6"/>
      <c r="FIW6"/>
      <c r="FJA6"/>
      <c r="FJE6"/>
      <c r="FJI6"/>
      <c r="FJM6"/>
      <c r="FJQ6"/>
      <c r="FJU6"/>
      <c r="FJY6"/>
      <c r="FKC6"/>
      <c r="FKG6"/>
      <c r="FKK6"/>
      <c r="FKO6"/>
      <c r="FKS6"/>
      <c r="FKW6"/>
      <c r="FLA6"/>
      <c r="FLE6"/>
      <c r="FLI6"/>
      <c r="FLM6"/>
      <c r="FLQ6"/>
      <c r="FLU6"/>
      <c r="FLY6"/>
      <c r="FMC6"/>
      <c r="FMG6"/>
      <c r="FMK6"/>
      <c r="FMO6"/>
      <c r="FMS6"/>
      <c r="FMW6"/>
      <c r="FNA6"/>
      <c r="FNE6"/>
      <c r="FNI6"/>
      <c r="FNM6"/>
      <c r="FNQ6"/>
      <c r="FNU6"/>
      <c r="FNY6"/>
      <c r="FOC6"/>
      <c r="FOG6"/>
      <c r="FOK6"/>
      <c r="FOO6"/>
      <c r="FOS6"/>
      <c r="FOW6"/>
      <c r="FPA6"/>
      <c r="FPE6"/>
      <c r="FPI6"/>
      <c r="FPM6"/>
      <c r="FPQ6"/>
      <c r="FPU6"/>
      <c r="FPY6"/>
      <c r="FQC6"/>
      <c r="FQG6"/>
      <c r="FQK6"/>
      <c r="FQO6"/>
      <c r="FQS6"/>
      <c r="FQW6"/>
      <c r="FRA6"/>
      <c r="FRE6"/>
      <c r="FRI6"/>
      <c r="FRM6"/>
      <c r="FRQ6"/>
      <c r="FRU6"/>
      <c r="FRY6"/>
      <c r="FSC6"/>
      <c r="FSG6"/>
      <c r="FSK6"/>
      <c r="FSO6"/>
      <c r="FSS6"/>
      <c r="FSW6"/>
      <c r="FTA6"/>
      <c r="FTE6"/>
      <c r="FTI6"/>
      <c r="FTM6"/>
      <c r="FTQ6"/>
      <c r="FTU6"/>
      <c r="FTY6"/>
      <c r="FUC6"/>
      <c r="FUG6"/>
      <c r="FUK6"/>
      <c r="FUO6"/>
      <c r="FUS6"/>
      <c r="FUW6"/>
      <c r="FVA6"/>
      <c r="FVE6"/>
      <c r="FVI6"/>
      <c r="FVM6"/>
      <c r="FVQ6"/>
      <c r="FVU6"/>
      <c r="FVY6"/>
      <c r="FWC6"/>
      <c r="FWG6"/>
      <c r="FWK6"/>
      <c r="FWO6"/>
      <c r="FWS6"/>
      <c r="FWW6"/>
      <c r="FXA6"/>
      <c r="FXE6"/>
      <c r="FXI6"/>
      <c r="FXM6"/>
      <c r="FXQ6"/>
      <c r="FXU6"/>
      <c r="FXY6"/>
      <c r="FYC6"/>
      <c r="FYG6"/>
      <c r="FYK6"/>
      <c r="FYO6"/>
      <c r="FYS6"/>
      <c r="FYW6"/>
      <c r="FZA6"/>
      <c r="FZE6"/>
      <c r="FZI6"/>
      <c r="FZM6"/>
      <c r="FZQ6"/>
      <c r="FZU6"/>
      <c r="FZY6"/>
      <c r="GAC6"/>
      <c r="GAG6"/>
      <c r="GAK6"/>
      <c r="GAO6"/>
      <c r="GAS6"/>
      <c r="GAW6"/>
      <c r="GBA6"/>
      <c r="GBE6"/>
      <c r="GBI6"/>
      <c r="GBM6"/>
      <c r="GBQ6"/>
      <c r="GBU6"/>
      <c r="GBY6"/>
      <c r="GCC6"/>
      <c r="GCG6"/>
      <c r="GCK6"/>
      <c r="GCO6"/>
      <c r="GCS6"/>
      <c r="GCW6"/>
      <c r="GDA6"/>
      <c r="GDE6"/>
      <c r="GDI6"/>
      <c r="GDM6"/>
      <c r="GDQ6"/>
      <c r="GDU6"/>
      <c r="GDY6"/>
      <c r="GEC6"/>
      <c r="GEG6"/>
      <c r="GEK6"/>
      <c r="GEO6"/>
      <c r="GES6"/>
      <c r="GEW6"/>
      <c r="GFA6"/>
      <c r="GFE6"/>
      <c r="GFI6"/>
      <c r="GFM6"/>
      <c r="GFQ6"/>
      <c r="GFU6"/>
      <c r="GFY6"/>
      <c r="GGC6"/>
      <c r="GGG6"/>
      <c r="GGK6"/>
      <c r="GGO6"/>
      <c r="GGS6"/>
      <c r="GGW6"/>
      <c r="GHA6"/>
      <c r="GHE6"/>
      <c r="GHI6"/>
      <c r="GHM6"/>
      <c r="GHQ6"/>
      <c r="GHU6"/>
      <c r="GHY6"/>
      <c r="GIC6"/>
      <c r="GIG6"/>
      <c r="GIK6"/>
      <c r="GIO6"/>
      <c r="GIS6"/>
      <c r="GIW6"/>
      <c r="GJA6"/>
      <c r="GJE6"/>
      <c r="GJI6"/>
      <c r="GJM6"/>
      <c r="GJQ6"/>
      <c r="GJU6"/>
      <c r="GJY6"/>
      <c r="GKC6"/>
      <c r="GKG6"/>
      <c r="GKK6"/>
      <c r="GKO6"/>
      <c r="GKS6"/>
      <c r="GKW6"/>
      <c r="GLA6"/>
      <c r="GLE6"/>
      <c r="GLI6"/>
      <c r="GLM6"/>
      <c r="GLQ6"/>
      <c r="GLU6"/>
      <c r="GLY6"/>
      <c r="GMC6"/>
      <c r="GMG6"/>
      <c r="GMK6"/>
      <c r="GMO6"/>
      <c r="GMS6"/>
      <c r="GMW6"/>
      <c r="GNA6"/>
      <c r="GNE6"/>
      <c r="GNI6"/>
      <c r="GNM6"/>
      <c r="GNQ6"/>
      <c r="GNU6"/>
      <c r="GNY6"/>
      <c r="GOC6"/>
      <c r="GOG6"/>
      <c r="GOK6"/>
      <c r="GOO6"/>
      <c r="GOS6"/>
      <c r="GOW6"/>
      <c r="GPA6"/>
      <c r="GPE6"/>
      <c r="GPI6"/>
      <c r="GPM6"/>
      <c r="GPQ6"/>
      <c r="GPU6"/>
      <c r="GPY6"/>
      <c r="GQC6"/>
      <c r="GQG6"/>
      <c r="GQK6"/>
      <c r="GQO6"/>
      <c r="GQS6"/>
      <c r="GQW6"/>
      <c r="GRA6"/>
      <c r="GRE6"/>
      <c r="GRI6"/>
      <c r="GRM6"/>
      <c r="GRQ6"/>
      <c r="GRU6"/>
      <c r="GRY6"/>
      <c r="GSC6"/>
      <c r="GSG6"/>
      <c r="GSK6"/>
      <c r="GSO6"/>
      <c r="GSS6"/>
      <c r="GSW6"/>
      <c r="GTA6"/>
      <c r="GTE6"/>
      <c r="GTI6"/>
      <c r="GTM6"/>
      <c r="GTQ6"/>
      <c r="GTU6"/>
      <c r="GTY6"/>
      <c r="GUC6"/>
      <c r="GUG6"/>
      <c r="GUK6"/>
      <c r="GUO6"/>
      <c r="GUS6"/>
      <c r="GUW6"/>
      <c r="GVA6"/>
      <c r="GVE6"/>
      <c r="GVI6"/>
      <c r="GVM6"/>
      <c r="GVQ6"/>
      <c r="GVU6"/>
      <c r="GVY6"/>
      <c r="GWC6"/>
      <c r="GWG6"/>
      <c r="GWK6"/>
      <c r="GWO6"/>
      <c r="GWS6"/>
      <c r="GWW6"/>
      <c r="GXA6"/>
      <c r="GXE6"/>
      <c r="GXI6"/>
      <c r="GXM6"/>
      <c r="GXQ6"/>
      <c r="GXU6"/>
      <c r="GXY6"/>
      <c r="GYC6"/>
      <c r="GYG6"/>
      <c r="GYK6"/>
      <c r="GYO6"/>
      <c r="GYS6"/>
      <c r="GYW6"/>
      <c r="GZA6"/>
      <c r="GZE6"/>
      <c r="GZI6"/>
      <c r="GZM6"/>
      <c r="GZQ6"/>
      <c r="GZU6"/>
      <c r="GZY6"/>
      <c r="HAC6"/>
      <c r="HAG6"/>
      <c r="HAK6"/>
      <c r="HAO6"/>
      <c r="HAS6"/>
      <c r="HAW6"/>
      <c r="HBA6"/>
      <c r="HBE6"/>
      <c r="HBI6"/>
      <c r="HBM6"/>
      <c r="HBQ6"/>
      <c r="HBU6"/>
      <c r="HBY6"/>
      <c r="HCC6"/>
      <c r="HCG6"/>
      <c r="HCK6"/>
      <c r="HCO6"/>
      <c r="HCS6"/>
      <c r="HCW6"/>
      <c r="HDA6"/>
      <c r="HDE6"/>
      <c r="HDI6"/>
      <c r="HDM6"/>
      <c r="HDQ6"/>
      <c r="HDU6"/>
      <c r="HDY6"/>
      <c r="HEC6"/>
      <c r="HEG6"/>
      <c r="HEK6"/>
      <c r="HEO6"/>
      <c r="HES6"/>
      <c r="HEW6"/>
      <c r="HFA6"/>
      <c r="HFE6"/>
      <c r="HFI6"/>
      <c r="HFM6"/>
      <c r="HFQ6"/>
      <c r="HFU6"/>
      <c r="HFY6"/>
      <c r="HGC6"/>
      <c r="HGG6"/>
      <c r="HGK6"/>
      <c r="HGO6"/>
      <c r="HGS6"/>
      <c r="HGW6"/>
      <c r="HHA6"/>
      <c r="HHE6"/>
      <c r="HHI6"/>
      <c r="HHM6"/>
      <c r="HHQ6"/>
      <c r="HHU6"/>
      <c r="HHY6"/>
      <c r="HIC6"/>
      <c r="HIG6"/>
      <c r="HIK6"/>
      <c r="HIO6"/>
      <c r="HIS6"/>
      <c r="HIW6"/>
      <c r="HJA6"/>
      <c r="HJE6"/>
      <c r="HJI6"/>
      <c r="HJM6"/>
      <c r="HJQ6"/>
      <c r="HJU6"/>
      <c r="HJY6"/>
      <c r="HKC6"/>
      <c r="HKG6"/>
      <c r="HKK6"/>
      <c r="HKO6"/>
      <c r="HKS6"/>
      <c r="HKW6"/>
      <c r="HLA6"/>
      <c r="HLE6"/>
      <c r="HLI6"/>
      <c r="HLM6"/>
      <c r="HLQ6"/>
      <c r="HLU6"/>
      <c r="HLY6"/>
      <c r="HMC6"/>
      <c r="HMG6"/>
      <c r="HMK6"/>
      <c r="HMO6"/>
      <c r="HMS6"/>
      <c r="HMW6"/>
      <c r="HNA6"/>
      <c r="HNE6"/>
      <c r="HNI6"/>
      <c r="HNM6"/>
      <c r="HNQ6"/>
      <c r="HNU6"/>
      <c r="HNY6"/>
      <c r="HOC6"/>
      <c r="HOG6"/>
      <c r="HOK6"/>
      <c r="HOO6"/>
      <c r="HOS6"/>
      <c r="HOW6"/>
      <c r="HPA6"/>
      <c r="HPE6"/>
      <c r="HPI6"/>
      <c r="HPM6"/>
      <c r="HPQ6"/>
      <c r="HPU6"/>
      <c r="HPY6"/>
      <c r="HQC6"/>
      <c r="HQG6"/>
      <c r="HQK6"/>
      <c r="HQO6"/>
      <c r="HQS6"/>
      <c r="HQW6"/>
      <c r="HRA6"/>
      <c r="HRE6"/>
      <c r="HRI6"/>
      <c r="HRM6"/>
      <c r="HRQ6"/>
      <c r="HRU6"/>
      <c r="HRY6"/>
      <c r="HSC6"/>
      <c r="HSG6"/>
      <c r="HSK6"/>
      <c r="HSO6"/>
      <c r="HSS6"/>
      <c r="HSW6"/>
      <c r="HTA6"/>
      <c r="HTE6"/>
      <c r="HTI6"/>
      <c r="HTM6"/>
      <c r="HTQ6"/>
      <c r="HTU6"/>
      <c r="HTY6"/>
      <c r="HUC6"/>
      <c r="HUG6"/>
      <c r="HUK6"/>
      <c r="HUO6"/>
      <c r="HUS6"/>
      <c r="HUW6"/>
      <c r="HVA6"/>
      <c r="HVE6"/>
      <c r="HVI6"/>
      <c r="HVM6"/>
      <c r="HVQ6"/>
      <c r="HVU6"/>
      <c r="HVY6"/>
      <c r="HWC6"/>
      <c r="HWG6"/>
      <c r="HWK6"/>
      <c r="HWO6"/>
      <c r="HWS6"/>
      <c r="HWW6"/>
      <c r="HXA6"/>
      <c r="HXE6"/>
      <c r="HXI6"/>
      <c r="HXM6"/>
      <c r="HXQ6"/>
      <c r="HXU6"/>
      <c r="HXY6"/>
      <c r="HYC6"/>
      <c r="HYG6"/>
      <c r="HYK6"/>
      <c r="HYO6"/>
      <c r="HYS6"/>
      <c r="HYW6"/>
      <c r="HZA6"/>
      <c r="HZE6"/>
      <c r="HZI6"/>
      <c r="HZM6"/>
      <c r="HZQ6"/>
      <c r="HZU6"/>
      <c r="HZY6"/>
      <c r="IAC6"/>
      <c r="IAG6"/>
      <c r="IAK6"/>
      <c r="IAO6"/>
      <c r="IAS6"/>
      <c r="IAW6"/>
      <c r="IBA6"/>
      <c r="IBE6"/>
      <c r="IBI6"/>
      <c r="IBM6"/>
      <c r="IBQ6"/>
      <c r="IBU6"/>
      <c r="IBY6"/>
      <c r="ICC6"/>
      <c r="ICG6"/>
      <c r="ICK6"/>
      <c r="ICO6"/>
      <c r="ICS6"/>
      <c r="ICW6"/>
      <c r="IDA6"/>
      <c r="IDE6"/>
      <c r="IDI6"/>
      <c r="IDM6"/>
      <c r="IDQ6"/>
      <c r="IDU6"/>
      <c r="IDY6"/>
      <c r="IEC6"/>
      <c r="IEG6"/>
      <c r="IEK6"/>
      <c r="IEO6"/>
      <c r="IES6"/>
      <c r="IEW6"/>
      <c r="IFA6"/>
      <c r="IFE6"/>
      <c r="IFI6"/>
      <c r="IFM6"/>
      <c r="IFQ6"/>
      <c r="IFU6"/>
      <c r="IFY6"/>
      <c r="IGC6"/>
      <c r="IGG6"/>
      <c r="IGK6"/>
      <c r="IGO6"/>
      <c r="IGS6"/>
      <c r="IGW6"/>
      <c r="IHA6"/>
      <c r="IHE6"/>
      <c r="IHI6"/>
      <c r="IHM6"/>
      <c r="IHQ6"/>
      <c r="IHU6"/>
      <c r="IHY6"/>
      <c r="IIC6"/>
      <c r="IIG6"/>
      <c r="IIK6"/>
      <c r="IIO6"/>
      <c r="IIS6"/>
      <c r="IIW6"/>
      <c r="IJA6"/>
      <c r="IJE6"/>
      <c r="IJI6"/>
      <c r="IJM6"/>
      <c r="IJQ6"/>
      <c r="IJU6"/>
      <c r="IJY6"/>
      <c r="IKC6"/>
      <c r="IKG6"/>
      <c r="IKK6"/>
      <c r="IKO6"/>
      <c r="IKS6"/>
      <c r="IKW6"/>
      <c r="ILA6"/>
      <c r="ILE6"/>
      <c r="ILI6"/>
      <c r="ILM6"/>
      <c r="ILQ6"/>
      <c r="ILU6"/>
      <c r="ILY6"/>
      <c r="IMC6"/>
      <c r="IMG6"/>
      <c r="IMK6"/>
      <c r="IMO6"/>
      <c r="IMS6"/>
      <c r="IMW6"/>
      <c r="INA6"/>
      <c r="INE6"/>
      <c r="INI6"/>
      <c r="INM6"/>
      <c r="INQ6"/>
      <c r="INU6"/>
      <c r="INY6"/>
      <c r="IOC6"/>
      <c r="IOG6"/>
      <c r="IOK6"/>
      <c r="IOO6"/>
      <c r="IOS6"/>
      <c r="IOW6"/>
      <c r="IPA6"/>
      <c r="IPE6"/>
      <c r="IPI6"/>
      <c r="IPM6"/>
      <c r="IPQ6"/>
      <c r="IPU6"/>
      <c r="IPY6"/>
      <c r="IQC6"/>
      <c r="IQG6"/>
      <c r="IQK6"/>
      <c r="IQO6"/>
      <c r="IQS6"/>
      <c r="IQW6"/>
      <c r="IRA6"/>
      <c r="IRE6"/>
      <c r="IRI6"/>
      <c r="IRM6"/>
      <c r="IRQ6"/>
      <c r="IRU6"/>
      <c r="IRY6"/>
      <c r="ISC6"/>
      <c r="ISG6"/>
      <c r="ISK6"/>
      <c r="ISO6"/>
      <c r="ISS6"/>
      <c r="ISW6"/>
      <c r="ITA6"/>
      <c r="ITE6"/>
      <c r="ITI6"/>
      <c r="ITM6"/>
      <c r="ITQ6"/>
      <c r="ITU6"/>
      <c r="ITY6"/>
      <c r="IUC6"/>
      <c r="IUG6"/>
      <c r="IUK6"/>
      <c r="IUO6"/>
      <c r="IUS6"/>
      <c r="IUW6"/>
      <c r="IVA6"/>
      <c r="IVE6"/>
      <c r="IVI6"/>
      <c r="IVM6"/>
      <c r="IVQ6"/>
      <c r="IVU6"/>
      <c r="IVY6"/>
      <c r="IWC6"/>
      <c r="IWG6"/>
      <c r="IWK6"/>
      <c r="IWO6"/>
      <c r="IWS6"/>
      <c r="IWW6"/>
      <c r="IXA6"/>
      <c r="IXE6"/>
      <c r="IXI6"/>
      <c r="IXM6"/>
      <c r="IXQ6"/>
      <c r="IXU6"/>
      <c r="IXY6"/>
      <c r="IYC6"/>
      <c r="IYG6"/>
      <c r="IYK6"/>
      <c r="IYO6"/>
      <c r="IYS6"/>
      <c r="IYW6"/>
      <c r="IZA6"/>
      <c r="IZE6"/>
      <c r="IZI6"/>
      <c r="IZM6"/>
      <c r="IZQ6"/>
      <c r="IZU6"/>
      <c r="IZY6"/>
      <c r="JAC6"/>
      <c r="JAG6"/>
      <c r="JAK6"/>
      <c r="JAO6"/>
      <c r="JAS6"/>
      <c r="JAW6"/>
      <c r="JBA6"/>
      <c r="JBE6"/>
      <c r="JBI6"/>
      <c r="JBM6"/>
      <c r="JBQ6"/>
      <c r="JBU6"/>
      <c r="JBY6"/>
      <c r="JCC6"/>
      <c r="JCG6"/>
      <c r="JCK6"/>
      <c r="JCO6"/>
      <c r="JCS6"/>
      <c r="JCW6"/>
      <c r="JDA6"/>
      <c r="JDE6"/>
      <c r="JDI6"/>
      <c r="JDM6"/>
      <c r="JDQ6"/>
      <c r="JDU6"/>
      <c r="JDY6"/>
      <c r="JEC6"/>
      <c r="JEG6"/>
      <c r="JEK6"/>
      <c r="JEO6"/>
      <c r="JES6"/>
      <c r="JEW6"/>
      <c r="JFA6"/>
      <c r="JFE6"/>
      <c r="JFI6"/>
      <c r="JFM6"/>
      <c r="JFQ6"/>
      <c r="JFU6"/>
      <c r="JFY6"/>
      <c r="JGC6"/>
      <c r="JGG6"/>
      <c r="JGK6"/>
      <c r="JGO6"/>
      <c r="JGS6"/>
      <c r="JGW6"/>
      <c r="JHA6"/>
      <c r="JHE6"/>
      <c r="JHI6"/>
      <c r="JHM6"/>
      <c r="JHQ6"/>
      <c r="JHU6"/>
      <c r="JHY6"/>
      <c r="JIC6"/>
      <c r="JIG6"/>
      <c r="JIK6"/>
      <c r="JIO6"/>
      <c r="JIS6"/>
      <c r="JIW6"/>
      <c r="JJA6"/>
      <c r="JJE6"/>
      <c r="JJI6"/>
      <c r="JJM6"/>
      <c r="JJQ6"/>
      <c r="JJU6"/>
      <c r="JJY6"/>
      <c r="JKC6"/>
      <c r="JKG6"/>
      <c r="JKK6"/>
      <c r="JKO6"/>
      <c r="JKS6"/>
      <c r="JKW6"/>
      <c r="JLA6"/>
      <c r="JLE6"/>
      <c r="JLI6"/>
      <c r="JLM6"/>
      <c r="JLQ6"/>
      <c r="JLU6"/>
      <c r="JLY6"/>
      <c r="JMC6"/>
      <c r="JMG6"/>
      <c r="JMK6"/>
      <c r="JMO6"/>
      <c r="JMS6"/>
      <c r="JMW6"/>
      <c r="JNA6"/>
      <c r="JNE6"/>
      <c r="JNI6"/>
      <c r="JNM6"/>
      <c r="JNQ6"/>
      <c r="JNU6"/>
      <c r="JNY6"/>
      <c r="JOC6"/>
      <c r="JOG6"/>
      <c r="JOK6"/>
      <c r="JOO6"/>
      <c r="JOS6"/>
      <c r="JOW6"/>
      <c r="JPA6"/>
      <c r="JPE6"/>
      <c r="JPI6"/>
      <c r="JPM6"/>
      <c r="JPQ6"/>
      <c r="JPU6"/>
      <c r="JPY6"/>
      <c r="JQC6"/>
      <c r="JQG6"/>
      <c r="JQK6"/>
      <c r="JQO6"/>
      <c r="JQS6"/>
      <c r="JQW6"/>
      <c r="JRA6"/>
      <c r="JRE6"/>
      <c r="JRI6"/>
      <c r="JRM6"/>
      <c r="JRQ6"/>
      <c r="JRU6"/>
      <c r="JRY6"/>
      <c r="JSC6"/>
      <c r="JSG6"/>
      <c r="JSK6"/>
      <c r="JSO6"/>
      <c r="JSS6"/>
      <c r="JSW6"/>
      <c r="JTA6"/>
      <c r="JTE6"/>
      <c r="JTI6"/>
      <c r="JTM6"/>
      <c r="JTQ6"/>
      <c r="JTU6"/>
      <c r="JTY6"/>
      <c r="JUC6"/>
      <c r="JUG6"/>
      <c r="JUK6"/>
      <c r="JUO6"/>
      <c r="JUS6"/>
      <c r="JUW6"/>
      <c r="JVA6"/>
      <c r="JVE6"/>
      <c r="JVI6"/>
      <c r="JVM6"/>
      <c r="JVQ6"/>
      <c r="JVU6"/>
      <c r="JVY6"/>
      <c r="JWC6"/>
      <c r="JWG6"/>
      <c r="JWK6"/>
      <c r="JWO6"/>
      <c r="JWS6"/>
      <c r="JWW6"/>
      <c r="JXA6"/>
      <c r="JXE6"/>
      <c r="JXI6"/>
      <c r="JXM6"/>
      <c r="JXQ6"/>
      <c r="JXU6"/>
      <c r="JXY6"/>
      <c r="JYC6"/>
      <c r="JYG6"/>
      <c r="JYK6"/>
      <c r="JYO6"/>
      <c r="JYS6"/>
      <c r="JYW6"/>
      <c r="JZA6"/>
      <c r="JZE6"/>
      <c r="JZI6"/>
      <c r="JZM6"/>
      <c r="JZQ6"/>
      <c r="JZU6"/>
      <c r="JZY6"/>
      <c r="KAC6"/>
      <c r="KAG6"/>
      <c r="KAK6"/>
      <c r="KAO6"/>
      <c r="KAS6"/>
      <c r="KAW6"/>
      <c r="KBA6"/>
      <c r="KBE6"/>
      <c r="KBI6"/>
      <c r="KBM6"/>
      <c r="KBQ6"/>
      <c r="KBU6"/>
      <c r="KBY6"/>
      <c r="KCC6"/>
      <c r="KCG6"/>
      <c r="KCK6"/>
      <c r="KCO6"/>
      <c r="KCS6"/>
      <c r="KCW6"/>
      <c r="KDA6"/>
      <c r="KDE6"/>
      <c r="KDI6"/>
      <c r="KDM6"/>
      <c r="KDQ6"/>
      <c r="KDU6"/>
      <c r="KDY6"/>
      <c r="KEC6"/>
      <c r="KEG6"/>
      <c r="KEK6"/>
      <c r="KEO6"/>
      <c r="KES6"/>
      <c r="KEW6"/>
      <c r="KFA6"/>
      <c r="KFE6"/>
      <c r="KFI6"/>
      <c r="KFM6"/>
      <c r="KFQ6"/>
      <c r="KFU6"/>
      <c r="KFY6"/>
      <c r="KGC6"/>
      <c r="KGG6"/>
      <c r="KGK6"/>
      <c r="KGO6"/>
      <c r="KGS6"/>
      <c r="KGW6"/>
      <c r="KHA6"/>
      <c r="KHE6"/>
      <c r="KHI6"/>
      <c r="KHM6"/>
      <c r="KHQ6"/>
      <c r="KHU6"/>
      <c r="KHY6"/>
      <c r="KIC6"/>
      <c r="KIG6"/>
      <c r="KIK6"/>
      <c r="KIO6"/>
      <c r="KIS6"/>
      <c r="KIW6"/>
      <c r="KJA6"/>
      <c r="KJE6"/>
      <c r="KJI6"/>
      <c r="KJM6"/>
      <c r="KJQ6"/>
      <c r="KJU6"/>
      <c r="KJY6"/>
      <c r="KKC6"/>
      <c r="KKG6"/>
      <c r="KKK6"/>
      <c r="KKO6"/>
      <c r="KKS6"/>
      <c r="KKW6"/>
      <c r="KLA6"/>
      <c r="KLE6"/>
      <c r="KLI6"/>
      <c r="KLM6"/>
      <c r="KLQ6"/>
      <c r="KLU6"/>
      <c r="KLY6"/>
      <c r="KMC6"/>
      <c r="KMG6"/>
      <c r="KMK6"/>
      <c r="KMO6"/>
      <c r="KMS6"/>
      <c r="KMW6"/>
      <c r="KNA6"/>
      <c r="KNE6"/>
      <c r="KNI6"/>
      <c r="KNM6"/>
      <c r="KNQ6"/>
      <c r="KNU6"/>
      <c r="KNY6"/>
      <c r="KOC6"/>
      <c r="KOG6"/>
      <c r="KOK6"/>
      <c r="KOO6"/>
      <c r="KOS6"/>
      <c r="KOW6"/>
      <c r="KPA6"/>
      <c r="KPE6"/>
      <c r="KPI6"/>
      <c r="KPM6"/>
      <c r="KPQ6"/>
      <c r="KPU6"/>
      <c r="KPY6"/>
      <c r="KQC6"/>
      <c r="KQG6"/>
      <c r="KQK6"/>
      <c r="KQO6"/>
      <c r="KQS6"/>
      <c r="KQW6"/>
      <c r="KRA6"/>
      <c r="KRE6"/>
      <c r="KRI6"/>
      <c r="KRM6"/>
      <c r="KRQ6"/>
      <c r="KRU6"/>
      <c r="KRY6"/>
      <c r="KSC6"/>
      <c r="KSG6"/>
      <c r="KSK6"/>
      <c r="KSO6"/>
      <c r="KSS6"/>
      <c r="KSW6"/>
      <c r="KTA6"/>
      <c r="KTE6"/>
      <c r="KTI6"/>
      <c r="KTM6"/>
      <c r="KTQ6"/>
      <c r="KTU6"/>
      <c r="KTY6"/>
      <c r="KUC6"/>
      <c r="KUG6"/>
      <c r="KUK6"/>
      <c r="KUO6"/>
      <c r="KUS6"/>
      <c r="KUW6"/>
      <c r="KVA6"/>
      <c r="KVE6"/>
      <c r="KVI6"/>
      <c r="KVM6"/>
      <c r="KVQ6"/>
      <c r="KVU6"/>
      <c r="KVY6"/>
      <c r="KWC6"/>
      <c r="KWG6"/>
      <c r="KWK6"/>
      <c r="KWO6"/>
      <c r="KWS6"/>
      <c r="KWW6"/>
      <c r="KXA6"/>
      <c r="KXE6"/>
      <c r="KXI6"/>
      <c r="KXM6"/>
      <c r="KXQ6"/>
      <c r="KXU6"/>
      <c r="KXY6"/>
      <c r="KYC6"/>
      <c r="KYG6"/>
      <c r="KYK6"/>
      <c r="KYO6"/>
      <c r="KYS6"/>
      <c r="KYW6"/>
      <c r="KZA6"/>
      <c r="KZE6"/>
      <c r="KZI6"/>
      <c r="KZM6"/>
      <c r="KZQ6"/>
      <c r="KZU6"/>
      <c r="KZY6"/>
      <c r="LAC6"/>
      <c r="LAG6"/>
      <c r="LAK6"/>
      <c r="LAO6"/>
      <c r="LAS6"/>
      <c r="LAW6"/>
      <c r="LBA6"/>
      <c r="LBE6"/>
      <c r="LBI6"/>
      <c r="LBM6"/>
      <c r="LBQ6"/>
      <c r="LBU6"/>
      <c r="LBY6"/>
      <c r="LCC6"/>
      <c r="LCG6"/>
      <c r="LCK6"/>
      <c r="LCO6"/>
      <c r="LCS6"/>
      <c r="LCW6"/>
      <c r="LDA6"/>
      <c r="LDE6"/>
      <c r="LDI6"/>
      <c r="LDM6"/>
      <c r="LDQ6"/>
      <c r="LDU6"/>
      <c r="LDY6"/>
      <c r="LEC6"/>
      <c r="LEG6"/>
      <c r="LEK6"/>
      <c r="LEO6"/>
      <c r="LES6"/>
      <c r="LEW6"/>
      <c r="LFA6"/>
      <c r="LFE6"/>
      <c r="LFI6"/>
      <c r="LFM6"/>
      <c r="LFQ6"/>
      <c r="LFU6"/>
      <c r="LFY6"/>
      <c r="LGC6"/>
      <c r="LGG6"/>
      <c r="LGK6"/>
      <c r="LGO6"/>
      <c r="LGS6"/>
      <c r="LGW6"/>
      <c r="LHA6"/>
      <c r="LHE6"/>
      <c r="LHI6"/>
      <c r="LHM6"/>
      <c r="LHQ6"/>
      <c r="LHU6"/>
      <c r="LHY6"/>
      <c r="LIC6"/>
      <c r="LIG6"/>
      <c r="LIK6"/>
      <c r="LIO6"/>
      <c r="LIS6"/>
      <c r="LIW6"/>
      <c r="LJA6"/>
      <c r="LJE6"/>
      <c r="LJI6"/>
      <c r="LJM6"/>
      <c r="LJQ6"/>
      <c r="LJU6"/>
      <c r="LJY6"/>
      <c r="LKC6"/>
      <c r="LKG6"/>
      <c r="LKK6"/>
      <c r="LKO6"/>
      <c r="LKS6"/>
      <c r="LKW6"/>
      <c r="LLA6"/>
      <c r="LLE6"/>
      <c r="LLI6"/>
      <c r="LLM6"/>
      <c r="LLQ6"/>
      <c r="LLU6"/>
      <c r="LLY6"/>
      <c r="LMC6"/>
      <c r="LMG6"/>
      <c r="LMK6"/>
      <c r="LMO6"/>
      <c r="LMS6"/>
      <c r="LMW6"/>
      <c r="LNA6"/>
      <c r="LNE6"/>
      <c r="LNI6"/>
      <c r="LNM6"/>
      <c r="LNQ6"/>
      <c r="LNU6"/>
      <c r="LNY6"/>
      <c r="LOC6"/>
      <c r="LOG6"/>
      <c r="LOK6"/>
      <c r="LOO6"/>
      <c r="LOS6"/>
      <c r="LOW6"/>
      <c r="LPA6"/>
      <c r="LPE6"/>
      <c r="LPI6"/>
      <c r="LPM6"/>
      <c r="LPQ6"/>
      <c r="LPU6"/>
      <c r="LPY6"/>
      <c r="LQC6"/>
      <c r="LQG6"/>
      <c r="LQK6"/>
      <c r="LQO6"/>
      <c r="LQS6"/>
      <c r="LQW6"/>
      <c r="LRA6"/>
      <c r="LRE6"/>
      <c r="LRI6"/>
      <c r="LRM6"/>
      <c r="LRQ6"/>
      <c r="LRU6"/>
      <c r="LRY6"/>
      <c r="LSC6"/>
      <c r="LSG6"/>
      <c r="LSK6"/>
      <c r="LSO6"/>
      <c r="LSS6"/>
      <c r="LSW6"/>
      <c r="LTA6"/>
      <c r="LTE6"/>
      <c r="LTI6"/>
      <c r="LTM6"/>
      <c r="LTQ6"/>
      <c r="LTU6"/>
      <c r="LTY6"/>
      <c r="LUC6"/>
      <c r="LUG6"/>
      <c r="LUK6"/>
      <c r="LUO6"/>
      <c r="LUS6"/>
      <c r="LUW6"/>
      <c r="LVA6"/>
      <c r="LVE6"/>
      <c r="LVI6"/>
      <c r="LVM6"/>
      <c r="LVQ6"/>
      <c r="LVU6"/>
      <c r="LVY6"/>
      <c r="LWC6"/>
      <c r="LWG6"/>
      <c r="LWK6"/>
      <c r="LWO6"/>
      <c r="LWS6"/>
      <c r="LWW6"/>
      <c r="LXA6"/>
      <c r="LXE6"/>
      <c r="LXI6"/>
      <c r="LXM6"/>
      <c r="LXQ6"/>
      <c r="LXU6"/>
      <c r="LXY6"/>
      <c r="LYC6"/>
      <c r="LYG6"/>
      <c r="LYK6"/>
      <c r="LYO6"/>
      <c r="LYS6"/>
      <c r="LYW6"/>
      <c r="LZA6"/>
      <c r="LZE6"/>
      <c r="LZI6"/>
      <c r="LZM6"/>
      <c r="LZQ6"/>
      <c r="LZU6"/>
      <c r="LZY6"/>
      <c r="MAC6"/>
      <c r="MAG6"/>
      <c r="MAK6"/>
      <c r="MAO6"/>
      <c r="MAS6"/>
      <c r="MAW6"/>
      <c r="MBA6"/>
      <c r="MBE6"/>
      <c r="MBI6"/>
      <c r="MBM6"/>
      <c r="MBQ6"/>
      <c r="MBU6"/>
      <c r="MBY6"/>
      <c r="MCC6"/>
      <c r="MCG6"/>
      <c r="MCK6"/>
      <c r="MCO6"/>
      <c r="MCS6"/>
      <c r="MCW6"/>
      <c r="MDA6"/>
      <c r="MDE6"/>
      <c r="MDI6"/>
      <c r="MDM6"/>
      <c r="MDQ6"/>
      <c r="MDU6"/>
      <c r="MDY6"/>
      <c r="MEC6"/>
      <c r="MEG6"/>
      <c r="MEK6"/>
      <c r="MEO6"/>
      <c r="MES6"/>
      <c r="MEW6"/>
      <c r="MFA6"/>
      <c r="MFE6"/>
      <c r="MFI6"/>
      <c r="MFM6"/>
      <c r="MFQ6"/>
      <c r="MFU6"/>
      <c r="MFY6"/>
      <c r="MGC6"/>
      <c r="MGG6"/>
      <c r="MGK6"/>
      <c r="MGO6"/>
      <c r="MGS6"/>
      <c r="MGW6"/>
      <c r="MHA6"/>
      <c r="MHE6"/>
      <c r="MHI6"/>
      <c r="MHM6"/>
      <c r="MHQ6"/>
      <c r="MHU6"/>
      <c r="MHY6"/>
      <c r="MIC6"/>
      <c r="MIG6"/>
      <c r="MIK6"/>
      <c r="MIO6"/>
      <c r="MIS6"/>
      <c r="MIW6"/>
      <c r="MJA6"/>
      <c r="MJE6"/>
      <c r="MJI6"/>
      <c r="MJM6"/>
      <c r="MJQ6"/>
      <c r="MJU6"/>
      <c r="MJY6"/>
      <c r="MKC6"/>
      <c r="MKG6"/>
      <c r="MKK6"/>
      <c r="MKO6"/>
      <c r="MKS6"/>
      <c r="MKW6"/>
      <c r="MLA6"/>
      <c r="MLE6"/>
      <c r="MLI6"/>
      <c r="MLM6"/>
      <c r="MLQ6"/>
      <c r="MLU6"/>
      <c r="MLY6"/>
      <c r="MMC6"/>
      <c r="MMG6"/>
      <c r="MMK6"/>
      <c r="MMO6"/>
      <c r="MMS6"/>
      <c r="MMW6"/>
      <c r="MNA6"/>
      <c r="MNE6"/>
      <c r="MNI6"/>
      <c r="MNM6"/>
      <c r="MNQ6"/>
      <c r="MNU6"/>
      <c r="MNY6"/>
      <c r="MOC6"/>
      <c r="MOG6"/>
      <c r="MOK6"/>
      <c r="MOO6"/>
      <c r="MOS6"/>
      <c r="MOW6"/>
      <c r="MPA6"/>
      <c r="MPE6"/>
      <c r="MPI6"/>
      <c r="MPM6"/>
      <c r="MPQ6"/>
      <c r="MPU6"/>
      <c r="MPY6"/>
      <c r="MQC6"/>
      <c r="MQG6"/>
      <c r="MQK6"/>
      <c r="MQO6"/>
      <c r="MQS6"/>
      <c r="MQW6"/>
      <c r="MRA6"/>
      <c r="MRE6"/>
      <c r="MRI6"/>
      <c r="MRM6"/>
      <c r="MRQ6"/>
      <c r="MRU6"/>
      <c r="MRY6"/>
      <c r="MSC6"/>
      <c r="MSG6"/>
      <c r="MSK6"/>
      <c r="MSO6"/>
      <c r="MSS6"/>
      <c r="MSW6"/>
      <c r="MTA6"/>
      <c r="MTE6"/>
      <c r="MTI6"/>
      <c r="MTM6"/>
      <c r="MTQ6"/>
      <c r="MTU6"/>
      <c r="MTY6"/>
      <c r="MUC6"/>
      <c r="MUG6"/>
      <c r="MUK6"/>
      <c r="MUO6"/>
      <c r="MUS6"/>
      <c r="MUW6"/>
      <c r="MVA6"/>
      <c r="MVE6"/>
      <c r="MVI6"/>
      <c r="MVM6"/>
      <c r="MVQ6"/>
      <c r="MVU6"/>
      <c r="MVY6"/>
      <c r="MWC6"/>
      <c r="MWG6"/>
      <c r="MWK6"/>
      <c r="MWO6"/>
      <c r="MWS6"/>
      <c r="MWW6"/>
      <c r="MXA6"/>
      <c r="MXE6"/>
      <c r="MXI6"/>
      <c r="MXM6"/>
      <c r="MXQ6"/>
      <c r="MXU6"/>
      <c r="MXY6"/>
      <c r="MYC6"/>
      <c r="MYG6"/>
      <c r="MYK6"/>
      <c r="MYO6"/>
      <c r="MYS6"/>
      <c r="MYW6"/>
      <c r="MZA6"/>
      <c r="MZE6"/>
      <c r="MZI6"/>
      <c r="MZM6"/>
      <c r="MZQ6"/>
      <c r="MZU6"/>
      <c r="MZY6"/>
      <c r="NAC6"/>
      <c r="NAG6"/>
      <c r="NAK6"/>
      <c r="NAO6"/>
      <c r="NAS6"/>
      <c r="NAW6"/>
      <c r="NBA6"/>
      <c r="NBE6"/>
      <c r="NBI6"/>
      <c r="NBM6"/>
      <c r="NBQ6"/>
      <c r="NBU6"/>
      <c r="NBY6"/>
      <c r="NCC6"/>
      <c r="NCG6"/>
      <c r="NCK6"/>
      <c r="NCO6"/>
      <c r="NCS6"/>
      <c r="NCW6"/>
      <c r="NDA6"/>
      <c r="NDE6"/>
      <c r="NDI6"/>
      <c r="NDM6"/>
      <c r="NDQ6"/>
      <c r="NDU6"/>
      <c r="NDY6"/>
      <c r="NEC6"/>
      <c r="NEG6"/>
      <c r="NEK6"/>
      <c r="NEO6"/>
      <c r="NES6"/>
      <c r="NEW6"/>
      <c r="NFA6"/>
      <c r="NFE6"/>
      <c r="NFI6"/>
      <c r="NFM6"/>
      <c r="NFQ6"/>
      <c r="NFU6"/>
      <c r="NFY6"/>
      <c r="NGC6"/>
      <c r="NGG6"/>
      <c r="NGK6"/>
      <c r="NGO6"/>
      <c r="NGS6"/>
      <c r="NGW6"/>
      <c r="NHA6"/>
      <c r="NHE6"/>
      <c r="NHI6"/>
      <c r="NHM6"/>
      <c r="NHQ6"/>
      <c r="NHU6"/>
      <c r="NHY6"/>
      <c r="NIC6"/>
      <c r="NIG6"/>
      <c r="NIK6"/>
      <c r="NIO6"/>
      <c r="NIS6"/>
      <c r="NIW6"/>
      <c r="NJA6"/>
      <c r="NJE6"/>
      <c r="NJI6"/>
      <c r="NJM6"/>
      <c r="NJQ6"/>
      <c r="NJU6"/>
      <c r="NJY6"/>
      <c r="NKC6"/>
      <c r="NKG6"/>
      <c r="NKK6"/>
      <c r="NKO6"/>
      <c r="NKS6"/>
      <c r="NKW6"/>
      <c r="NLA6"/>
      <c r="NLE6"/>
      <c r="NLI6"/>
      <c r="NLM6"/>
      <c r="NLQ6"/>
      <c r="NLU6"/>
      <c r="NLY6"/>
      <c r="NMC6"/>
      <c r="NMG6"/>
      <c r="NMK6"/>
      <c r="NMO6"/>
      <c r="NMS6"/>
      <c r="NMW6"/>
      <c r="NNA6"/>
      <c r="NNE6"/>
      <c r="NNI6"/>
      <c r="NNM6"/>
      <c r="NNQ6"/>
      <c r="NNU6"/>
      <c r="NNY6"/>
      <c r="NOC6"/>
      <c r="NOG6"/>
      <c r="NOK6"/>
      <c r="NOO6"/>
      <c r="NOS6"/>
      <c r="NOW6"/>
      <c r="NPA6"/>
      <c r="NPE6"/>
      <c r="NPI6"/>
      <c r="NPM6"/>
      <c r="NPQ6"/>
      <c r="NPU6"/>
      <c r="NPY6"/>
      <c r="NQC6"/>
      <c r="NQG6"/>
      <c r="NQK6"/>
      <c r="NQO6"/>
      <c r="NQS6"/>
      <c r="NQW6"/>
      <c r="NRA6"/>
      <c r="NRE6"/>
      <c r="NRI6"/>
      <c r="NRM6"/>
      <c r="NRQ6"/>
      <c r="NRU6"/>
      <c r="NRY6"/>
      <c r="NSC6"/>
      <c r="NSG6"/>
      <c r="NSK6"/>
      <c r="NSO6"/>
      <c r="NSS6"/>
      <c r="NSW6"/>
      <c r="NTA6"/>
      <c r="NTE6"/>
      <c r="NTI6"/>
      <c r="NTM6"/>
      <c r="NTQ6"/>
      <c r="NTU6"/>
      <c r="NTY6"/>
      <c r="NUC6"/>
      <c r="NUG6"/>
      <c r="NUK6"/>
      <c r="NUO6"/>
      <c r="NUS6"/>
      <c r="NUW6"/>
      <c r="NVA6"/>
      <c r="NVE6"/>
      <c r="NVI6"/>
      <c r="NVM6"/>
      <c r="NVQ6"/>
      <c r="NVU6"/>
      <c r="NVY6"/>
      <c r="NWC6"/>
      <c r="NWG6"/>
      <c r="NWK6"/>
      <c r="NWO6"/>
      <c r="NWS6"/>
      <c r="NWW6"/>
      <c r="NXA6"/>
      <c r="NXE6"/>
      <c r="NXI6"/>
      <c r="NXM6"/>
      <c r="NXQ6"/>
      <c r="NXU6"/>
      <c r="NXY6"/>
      <c r="NYC6"/>
      <c r="NYG6"/>
      <c r="NYK6"/>
      <c r="NYO6"/>
      <c r="NYS6"/>
      <c r="NYW6"/>
      <c r="NZA6"/>
      <c r="NZE6"/>
      <c r="NZI6"/>
      <c r="NZM6"/>
      <c r="NZQ6"/>
      <c r="NZU6"/>
      <c r="NZY6"/>
      <c r="OAC6"/>
      <c r="OAG6"/>
      <c r="OAK6"/>
      <c r="OAO6"/>
      <c r="OAS6"/>
      <c r="OAW6"/>
      <c r="OBA6"/>
      <c r="OBE6"/>
      <c r="OBI6"/>
      <c r="OBM6"/>
      <c r="OBQ6"/>
      <c r="OBU6"/>
      <c r="OBY6"/>
      <c r="OCC6"/>
      <c r="OCG6"/>
      <c r="OCK6"/>
      <c r="OCO6"/>
      <c r="OCS6"/>
      <c r="OCW6"/>
      <c r="ODA6"/>
      <c r="ODE6"/>
      <c r="ODI6"/>
      <c r="ODM6"/>
      <c r="ODQ6"/>
      <c r="ODU6"/>
      <c r="ODY6"/>
      <c r="OEC6"/>
      <c r="OEG6"/>
      <c r="OEK6"/>
      <c r="OEO6"/>
      <c r="OES6"/>
      <c r="OEW6"/>
      <c r="OFA6"/>
      <c r="OFE6"/>
      <c r="OFI6"/>
      <c r="OFM6"/>
      <c r="OFQ6"/>
      <c r="OFU6"/>
      <c r="OFY6"/>
      <c r="OGC6"/>
      <c r="OGG6"/>
      <c r="OGK6"/>
      <c r="OGO6"/>
      <c r="OGS6"/>
      <c r="OGW6"/>
      <c r="OHA6"/>
      <c r="OHE6"/>
      <c r="OHI6"/>
      <c r="OHM6"/>
      <c r="OHQ6"/>
      <c r="OHU6"/>
      <c r="OHY6"/>
      <c r="OIC6"/>
      <c r="OIG6"/>
      <c r="OIK6"/>
      <c r="OIO6"/>
      <c r="OIS6"/>
      <c r="OIW6"/>
      <c r="OJA6"/>
      <c r="OJE6"/>
      <c r="OJI6"/>
      <c r="OJM6"/>
      <c r="OJQ6"/>
      <c r="OJU6"/>
      <c r="OJY6"/>
      <c r="OKC6"/>
      <c r="OKG6"/>
      <c r="OKK6"/>
      <c r="OKO6"/>
      <c r="OKS6"/>
      <c r="OKW6"/>
      <c r="OLA6"/>
      <c r="OLE6"/>
      <c r="OLI6"/>
      <c r="OLM6"/>
      <c r="OLQ6"/>
      <c r="OLU6"/>
      <c r="OLY6"/>
      <c r="OMC6"/>
      <c r="OMG6"/>
      <c r="OMK6"/>
      <c r="OMO6"/>
      <c r="OMS6"/>
      <c r="OMW6"/>
      <c r="ONA6"/>
      <c r="ONE6"/>
      <c r="ONI6"/>
      <c r="ONM6"/>
      <c r="ONQ6"/>
      <c r="ONU6"/>
      <c r="ONY6"/>
      <c r="OOC6"/>
      <c r="OOG6"/>
      <c r="OOK6"/>
      <c r="OOO6"/>
      <c r="OOS6"/>
      <c r="OOW6"/>
      <c r="OPA6"/>
      <c r="OPE6"/>
      <c r="OPI6"/>
      <c r="OPM6"/>
      <c r="OPQ6"/>
      <c r="OPU6"/>
      <c r="OPY6"/>
      <c r="OQC6"/>
      <c r="OQG6"/>
      <c r="OQK6"/>
      <c r="OQO6"/>
      <c r="OQS6"/>
      <c r="OQW6"/>
      <c r="ORA6"/>
      <c r="ORE6"/>
      <c r="ORI6"/>
      <c r="ORM6"/>
      <c r="ORQ6"/>
      <c r="ORU6"/>
      <c r="ORY6"/>
      <c r="OSC6"/>
      <c r="OSG6"/>
      <c r="OSK6"/>
      <c r="OSO6"/>
      <c r="OSS6"/>
      <c r="OSW6"/>
      <c r="OTA6"/>
      <c r="OTE6"/>
      <c r="OTI6"/>
      <c r="OTM6"/>
      <c r="OTQ6"/>
      <c r="OTU6"/>
      <c r="OTY6"/>
      <c r="OUC6"/>
      <c r="OUG6"/>
      <c r="OUK6"/>
      <c r="OUO6"/>
      <c r="OUS6"/>
      <c r="OUW6"/>
      <c r="OVA6"/>
      <c r="OVE6"/>
      <c r="OVI6"/>
      <c r="OVM6"/>
      <c r="OVQ6"/>
      <c r="OVU6"/>
      <c r="OVY6"/>
      <c r="OWC6"/>
      <c r="OWG6"/>
      <c r="OWK6"/>
      <c r="OWO6"/>
      <c r="OWS6"/>
      <c r="OWW6"/>
      <c r="OXA6"/>
      <c r="OXE6"/>
      <c r="OXI6"/>
      <c r="OXM6"/>
      <c r="OXQ6"/>
      <c r="OXU6"/>
      <c r="OXY6"/>
      <c r="OYC6"/>
      <c r="OYG6"/>
      <c r="OYK6"/>
      <c r="OYO6"/>
      <c r="OYS6"/>
      <c r="OYW6"/>
      <c r="OZA6"/>
      <c r="OZE6"/>
      <c r="OZI6"/>
      <c r="OZM6"/>
      <c r="OZQ6"/>
      <c r="OZU6"/>
      <c r="OZY6"/>
      <c r="PAC6"/>
      <c r="PAG6"/>
      <c r="PAK6"/>
      <c r="PAO6"/>
      <c r="PAS6"/>
      <c r="PAW6"/>
      <c r="PBA6"/>
      <c r="PBE6"/>
      <c r="PBI6"/>
      <c r="PBM6"/>
      <c r="PBQ6"/>
      <c r="PBU6"/>
      <c r="PBY6"/>
      <c r="PCC6"/>
      <c r="PCG6"/>
      <c r="PCK6"/>
      <c r="PCO6"/>
      <c r="PCS6"/>
      <c r="PCW6"/>
      <c r="PDA6"/>
      <c r="PDE6"/>
      <c r="PDI6"/>
      <c r="PDM6"/>
      <c r="PDQ6"/>
      <c r="PDU6"/>
      <c r="PDY6"/>
      <c r="PEC6"/>
      <c r="PEG6"/>
      <c r="PEK6"/>
      <c r="PEO6"/>
      <c r="PES6"/>
      <c r="PEW6"/>
      <c r="PFA6"/>
      <c r="PFE6"/>
      <c r="PFI6"/>
      <c r="PFM6"/>
      <c r="PFQ6"/>
      <c r="PFU6"/>
      <c r="PFY6"/>
      <c r="PGC6"/>
      <c r="PGG6"/>
      <c r="PGK6"/>
      <c r="PGO6"/>
      <c r="PGS6"/>
      <c r="PGW6"/>
      <c r="PHA6"/>
      <c r="PHE6"/>
      <c r="PHI6"/>
      <c r="PHM6"/>
      <c r="PHQ6"/>
      <c r="PHU6"/>
      <c r="PHY6"/>
      <c r="PIC6"/>
      <c r="PIG6"/>
      <c r="PIK6"/>
      <c r="PIO6"/>
      <c r="PIS6"/>
      <c r="PIW6"/>
      <c r="PJA6"/>
      <c r="PJE6"/>
      <c r="PJI6"/>
      <c r="PJM6"/>
      <c r="PJQ6"/>
      <c r="PJU6"/>
      <c r="PJY6"/>
      <c r="PKC6"/>
      <c r="PKG6"/>
      <c r="PKK6"/>
      <c r="PKO6"/>
      <c r="PKS6"/>
      <c r="PKW6"/>
      <c r="PLA6"/>
      <c r="PLE6"/>
      <c r="PLI6"/>
      <c r="PLM6"/>
      <c r="PLQ6"/>
      <c r="PLU6"/>
      <c r="PLY6"/>
      <c r="PMC6"/>
      <c r="PMG6"/>
      <c r="PMK6"/>
      <c r="PMO6"/>
      <c r="PMS6"/>
      <c r="PMW6"/>
      <c r="PNA6"/>
      <c r="PNE6"/>
      <c r="PNI6"/>
      <c r="PNM6"/>
      <c r="PNQ6"/>
      <c r="PNU6"/>
      <c r="PNY6"/>
      <c r="POC6"/>
      <c r="POG6"/>
      <c r="POK6"/>
      <c r="POO6"/>
      <c r="POS6"/>
      <c r="POW6"/>
      <c r="PPA6"/>
      <c r="PPE6"/>
      <c r="PPI6"/>
      <c r="PPM6"/>
      <c r="PPQ6"/>
      <c r="PPU6"/>
      <c r="PPY6"/>
      <c r="PQC6"/>
      <c r="PQG6"/>
      <c r="PQK6"/>
      <c r="PQO6"/>
      <c r="PQS6"/>
      <c r="PQW6"/>
      <c r="PRA6"/>
      <c r="PRE6"/>
      <c r="PRI6"/>
      <c r="PRM6"/>
      <c r="PRQ6"/>
      <c r="PRU6"/>
      <c r="PRY6"/>
      <c r="PSC6"/>
      <c r="PSG6"/>
      <c r="PSK6"/>
      <c r="PSO6"/>
      <c r="PSS6"/>
      <c r="PSW6"/>
      <c r="PTA6"/>
      <c r="PTE6"/>
      <c r="PTI6"/>
      <c r="PTM6"/>
      <c r="PTQ6"/>
      <c r="PTU6"/>
      <c r="PTY6"/>
      <c r="PUC6"/>
      <c r="PUG6"/>
      <c r="PUK6"/>
      <c r="PUO6"/>
      <c r="PUS6"/>
      <c r="PUW6"/>
      <c r="PVA6"/>
      <c r="PVE6"/>
      <c r="PVI6"/>
      <c r="PVM6"/>
      <c r="PVQ6"/>
      <c r="PVU6"/>
      <c r="PVY6"/>
      <c r="PWC6"/>
      <c r="PWG6"/>
      <c r="PWK6"/>
      <c r="PWO6"/>
      <c r="PWS6"/>
      <c r="PWW6"/>
      <c r="PXA6"/>
      <c r="PXE6"/>
      <c r="PXI6"/>
      <c r="PXM6"/>
      <c r="PXQ6"/>
      <c r="PXU6"/>
      <c r="PXY6"/>
      <c r="PYC6"/>
      <c r="PYG6"/>
      <c r="PYK6"/>
      <c r="PYO6"/>
      <c r="PYS6"/>
      <c r="PYW6"/>
      <c r="PZA6"/>
      <c r="PZE6"/>
      <c r="PZI6"/>
      <c r="PZM6"/>
      <c r="PZQ6"/>
      <c r="PZU6"/>
      <c r="PZY6"/>
      <c r="QAC6"/>
      <c r="QAG6"/>
      <c r="QAK6"/>
      <c r="QAO6"/>
      <c r="QAS6"/>
      <c r="QAW6"/>
      <c r="QBA6"/>
      <c r="QBE6"/>
      <c r="QBI6"/>
      <c r="QBM6"/>
      <c r="QBQ6"/>
      <c r="QBU6"/>
      <c r="QBY6"/>
      <c r="QCC6"/>
      <c r="QCG6"/>
      <c r="QCK6"/>
      <c r="QCO6"/>
      <c r="QCS6"/>
      <c r="QCW6"/>
      <c r="QDA6"/>
      <c r="QDE6"/>
      <c r="QDI6"/>
      <c r="QDM6"/>
      <c r="QDQ6"/>
      <c r="QDU6"/>
      <c r="QDY6"/>
      <c r="QEC6"/>
      <c r="QEG6"/>
      <c r="QEK6"/>
      <c r="QEO6"/>
      <c r="QES6"/>
      <c r="QEW6"/>
      <c r="QFA6"/>
      <c r="QFE6"/>
      <c r="QFI6"/>
      <c r="QFM6"/>
      <c r="QFQ6"/>
      <c r="QFU6"/>
      <c r="QFY6"/>
      <c r="QGC6"/>
      <c r="QGG6"/>
      <c r="QGK6"/>
      <c r="QGO6"/>
      <c r="QGS6"/>
      <c r="QGW6"/>
      <c r="QHA6"/>
      <c r="QHE6"/>
      <c r="QHI6"/>
      <c r="QHM6"/>
      <c r="QHQ6"/>
      <c r="QHU6"/>
      <c r="QHY6"/>
      <c r="QIC6"/>
      <c r="QIG6"/>
      <c r="QIK6"/>
      <c r="QIO6"/>
      <c r="QIS6"/>
      <c r="QIW6"/>
      <c r="QJA6"/>
      <c r="QJE6"/>
      <c r="QJI6"/>
      <c r="QJM6"/>
      <c r="QJQ6"/>
      <c r="QJU6"/>
      <c r="QJY6"/>
      <c r="QKC6"/>
      <c r="QKG6"/>
      <c r="QKK6"/>
      <c r="QKO6"/>
      <c r="QKS6"/>
      <c r="QKW6"/>
      <c r="QLA6"/>
      <c r="QLE6"/>
      <c r="QLI6"/>
      <c r="QLM6"/>
      <c r="QLQ6"/>
      <c r="QLU6"/>
      <c r="QLY6"/>
      <c r="QMC6"/>
      <c r="QMG6"/>
      <c r="QMK6"/>
      <c r="QMO6"/>
      <c r="QMS6"/>
      <c r="QMW6"/>
      <c r="QNA6"/>
      <c r="QNE6"/>
      <c r="QNI6"/>
      <c r="QNM6"/>
      <c r="QNQ6"/>
      <c r="QNU6"/>
      <c r="QNY6"/>
      <c r="QOC6"/>
      <c r="QOG6"/>
      <c r="QOK6"/>
      <c r="QOO6"/>
      <c r="QOS6"/>
      <c r="QOW6"/>
      <c r="QPA6"/>
      <c r="QPE6"/>
      <c r="QPI6"/>
      <c r="QPM6"/>
      <c r="QPQ6"/>
      <c r="QPU6"/>
      <c r="QPY6"/>
      <c r="QQC6"/>
      <c r="QQG6"/>
      <c r="QQK6"/>
      <c r="QQO6"/>
      <c r="QQS6"/>
      <c r="QQW6"/>
      <c r="QRA6"/>
      <c r="QRE6"/>
      <c r="QRI6"/>
      <c r="QRM6"/>
      <c r="QRQ6"/>
      <c r="QRU6"/>
      <c r="QRY6"/>
      <c r="QSC6"/>
      <c r="QSG6"/>
      <c r="QSK6"/>
      <c r="QSO6"/>
      <c r="QSS6"/>
      <c r="QSW6"/>
      <c r="QTA6"/>
      <c r="QTE6"/>
      <c r="QTI6"/>
      <c r="QTM6"/>
      <c r="QTQ6"/>
      <c r="QTU6"/>
      <c r="QTY6"/>
      <c r="QUC6"/>
      <c r="QUG6"/>
      <c r="QUK6"/>
      <c r="QUO6"/>
      <c r="QUS6"/>
      <c r="QUW6"/>
      <c r="QVA6"/>
      <c r="QVE6"/>
      <c r="QVI6"/>
      <c r="QVM6"/>
      <c r="QVQ6"/>
      <c r="QVU6"/>
      <c r="QVY6"/>
      <c r="QWC6"/>
      <c r="QWG6"/>
      <c r="QWK6"/>
      <c r="QWO6"/>
      <c r="QWS6"/>
      <c r="QWW6"/>
      <c r="QXA6"/>
      <c r="QXE6"/>
      <c r="QXI6"/>
      <c r="QXM6"/>
      <c r="QXQ6"/>
      <c r="QXU6"/>
      <c r="QXY6"/>
      <c r="QYC6"/>
      <c r="QYG6"/>
      <c r="QYK6"/>
      <c r="QYO6"/>
      <c r="QYS6"/>
      <c r="QYW6"/>
      <c r="QZA6"/>
      <c r="QZE6"/>
      <c r="QZI6"/>
      <c r="QZM6"/>
      <c r="QZQ6"/>
      <c r="QZU6"/>
      <c r="QZY6"/>
      <c r="RAC6"/>
      <c r="RAG6"/>
      <c r="RAK6"/>
      <c r="RAO6"/>
      <c r="RAS6"/>
      <c r="RAW6"/>
      <c r="RBA6"/>
      <c r="RBE6"/>
      <c r="RBI6"/>
      <c r="RBM6"/>
      <c r="RBQ6"/>
      <c r="RBU6"/>
      <c r="RBY6"/>
      <c r="RCC6"/>
      <c r="RCG6"/>
      <c r="RCK6"/>
      <c r="RCO6"/>
      <c r="RCS6"/>
      <c r="RCW6"/>
      <c r="RDA6"/>
      <c r="RDE6"/>
      <c r="RDI6"/>
      <c r="RDM6"/>
      <c r="RDQ6"/>
      <c r="RDU6"/>
      <c r="RDY6"/>
      <c r="REC6"/>
      <c r="REG6"/>
      <c r="REK6"/>
      <c r="REO6"/>
      <c r="RES6"/>
      <c r="REW6"/>
      <c r="RFA6"/>
      <c r="RFE6"/>
      <c r="RFI6"/>
      <c r="RFM6"/>
      <c r="RFQ6"/>
      <c r="RFU6"/>
      <c r="RFY6"/>
      <c r="RGC6"/>
      <c r="RGG6"/>
      <c r="RGK6"/>
      <c r="RGO6"/>
      <c r="RGS6"/>
      <c r="RGW6"/>
      <c r="RHA6"/>
      <c r="RHE6"/>
      <c r="RHI6"/>
      <c r="RHM6"/>
      <c r="RHQ6"/>
      <c r="RHU6"/>
      <c r="RHY6"/>
      <c r="RIC6"/>
      <c r="RIG6"/>
      <c r="RIK6"/>
      <c r="RIO6"/>
      <c r="RIS6"/>
      <c r="RIW6"/>
      <c r="RJA6"/>
      <c r="RJE6"/>
      <c r="RJI6"/>
      <c r="RJM6"/>
      <c r="RJQ6"/>
      <c r="RJU6"/>
      <c r="RJY6"/>
      <c r="RKC6"/>
      <c r="RKG6"/>
      <c r="RKK6"/>
      <c r="RKO6"/>
      <c r="RKS6"/>
      <c r="RKW6"/>
      <c r="RLA6"/>
      <c r="RLE6"/>
      <c r="RLI6"/>
      <c r="RLM6"/>
      <c r="RLQ6"/>
      <c r="RLU6"/>
      <c r="RLY6"/>
      <c r="RMC6"/>
      <c r="RMG6"/>
      <c r="RMK6"/>
      <c r="RMO6"/>
      <c r="RMS6"/>
      <c r="RMW6"/>
      <c r="RNA6"/>
      <c r="RNE6"/>
      <c r="RNI6"/>
      <c r="RNM6"/>
      <c r="RNQ6"/>
      <c r="RNU6"/>
      <c r="RNY6"/>
      <c r="ROC6"/>
      <c r="ROG6"/>
      <c r="ROK6"/>
      <c r="ROO6"/>
      <c r="ROS6"/>
      <c r="ROW6"/>
      <c r="RPA6"/>
      <c r="RPE6"/>
      <c r="RPI6"/>
      <c r="RPM6"/>
      <c r="RPQ6"/>
      <c r="RPU6"/>
      <c r="RPY6"/>
      <c r="RQC6"/>
      <c r="RQG6"/>
      <c r="RQK6"/>
      <c r="RQO6"/>
      <c r="RQS6"/>
      <c r="RQW6"/>
      <c r="RRA6"/>
      <c r="RRE6"/>
      <c r="RRI6"/>
      <c r="RRM6"/>
      <c r="RRQ6"/>
      <c r="RRU6"/>
      <c r="RRY6"/>
      <c r="RSC6"/>
      <c r="RSG6"/>
      <c r="RSK6"/>
      <c r="RSO6"/>
      <c r="RSS6"/>
      <c r="RSW6"/>
      <c r="RTA6"/>
      <c r="RTE6"/>
      <c r="RTI6"/>
      <c r="RTM6"/>
      <c r="RTQ6"/>
      <c r="RTU6"/>
      <c r="RTY6"/>
      <c r="RUC6"/>
      <c r="RUG6"/>
      <c r="RUK6"/>
      <c r="RUO6"/>
      <c r="RUS6"/>
      <c r="RUW6"/>
      <c r="RVA6"/>
      <c r="RVE6"/>
      <c r="RVI6"/>
      <c r="RVM6"/>
      <c r="RVQ6"/>
      <c r="RVU6"/>
      <c r="RVY6"/>
      <c r="RWC6"/>
      <c r="RWG6"/>
      <c r="RWK6"/>
      <c r="RWO6"/>
      <c r="RWS6"/>
      <c r="RWW6"/>
      <c r="RXA6"/>
      <c r="RXE6"/>
      <c r="RXI6"/>
      <c r="RXM6"/>
      <c r="RXQ6"/>
      <c r="RXU6"/>
      <c r="RXY6"/>
      <c r="RYC6"/>
      <c r="RYG6"/>
      <c r="RYK6"/>
      <c r="RYO6"/>
      <c r="RYS6"/>
      <c r="RYW6"/>
      <c r="RZA6"/>
      <c r="RZE6"/>
      <c r="RZI6"/>
      <c r="RZM6"/>
      <c r="RZQ6"/>
      <c r="RZU6"/>
      <c r="RZY6"/>
      <c r="SAC6"/>
      <c r="SAG6"/>
      <c r="SAK6"/>
      <c r="SAO6"/>
      <c r="SAS6"/>
      <c r="SAW6"/>
      <c r="SBA6"/>
      <c r="SBE6"/>
      <c r="SBI6"/>
      <c r="SBM6"/>
      <c r="SBQ6"/>
      <c r="SBU6"/>
      <c r="SBY6"/>
      <c r="SCC6"/>
      <c r="SCG6"/>
      <c r="SCK6"/>
      <c r="SCO6"/>
      <c r="SCS6"/>
      <c r="SCW6"/>
      <c r="SDA6"/>
      <c r="SDE6"/>
      <c r="SDI6"/>
      <c r="SDM6"/>
      <c r="SDQ6"/>
      <c r="SDU6"/>
      <c r="SDY6"/>
      <c r="SEC6"/>
      <c r="SEG6"/>
      <c r="SEK6"/>
      <c r="SEO6"/>
      <c r="SES6"/>
      <c r="SEW6"/>
      <c r="SFA6"/>
      <c r="SFE6"/>
      <c r="SFI6"/>
      <c r="SFM6"/>
      <c r="SFQ6"/>
      <c r="SFU6"/>
      <c r="SFY6"/>
      <c r="SGC6"/>
      <c r="SGG6"/>
      <c r="SGK6"/>
      <c r="SGO6"/>
      <c r="SGS6"/>
      <c r="SGW6"/>
      <c r="SHA6"/>
      <c r="SHE6"/>
      <c r="SHI6"/>
      <c r="SHM6"/>
      <c r="SHQ6"/>
      <c r="SHU6"/>
      <c r="SHY6"/>
      <c r="SIC6"/>
      <c r="SIG6"/>
      <c r="SIK6"/>
      <c r="SIO6"/>
      <c r="SIS6"/>
      <c r="SIW6"/>
      <c r="SJA6"/>
      <c r="SJE6"/>
      <c r="SJI6"/>
      <c r="SJM6"/>
      <c r="SJQ6"/>
      <c r="SJU6"/>
      <c r="SJY6"/>
      <c r="SKC6"/>
      <c r="SKG6"/>
      <c r="SKK6"/>
      <c r="SKO6"/>
      <c r="SKS6"/>
      <c r="SKW6"/>
      <c r="SLA6"/>
      <c r="SLE6"/>
      <c r="SLI6"/>
      <c r="SLM6"/>
      <c r="SLQ6"/>
      <c r="SLU6"/>
      <c r="SLY6"/>
      <c r="SMC6"/>
      <c r="SMG6"/>
      <c r="SMK6"/>
      <c r="SMO6"/>
      <c r="SMS6"/>
      <c r="SMW6"/>
      <c r="SNA6"/>
      <c r="SNE6"/>
      <c r="SNI6"/>
      <c r="SNM6"/>
      <c r="SNQ6"/>
      <c r="SNU6"/>
      <c r="SNY6"/>
      <c r="SOC6"/>
      <c r="SOG6"/>
      <c r="SOK6"/>
      <c r="SOO6"/>
      <c r="SOS6"/>
      <c r="SOW6"/>
      <c r="SPA6"/>
      <c r="SPE6"/>
      <c r="SPI6"/>
      <c r="SPM6"/>
      <c r="SPQ6"/>
      <c r="SPU6"/>
      <c r="SPY6"/>
      <c r="SQC6"/>
      <c r="SQG6"/>
      <c r="SQK6"/>
      <c r="SQO6"/>
      <c r="SQS6"/>
      <c r="SQW6"/>
      <c r="SRA6"/>
      <c r="SRE6"/>
      <c r="SRI6"/>
      <c r="SRM6"/>
      <c r="SRQ6"/>
      <c r="SRU6"/>
      <c r="SRY6"/>
      <c r="SSC6"/>
      <c r="SSG6"/>
      <c r="SSK6"/>
      <c r="SSO6"/>
      <c r="SSS6"/>
      <c r="SSW6"/>
      <c r="STA6"/>
      <c r="STE6"/>
      <c r="STI6"/>
      <c r="STM6"/>
      <c r="STQ6"/>
      <c r="STU6"/>
      <c r="STY6"/>
      <c r="SUC6"/>
      <c r="SUG6"/>
      <c r="SUK6"/>
      <c r="SUO6"/>
      <c r="SUS6"/>
      <c r="SUW6"/>
      <c r="SVA6"/>
      <c r="SVE6"/>
      <c r="SVI6"/>
      <c r="SVM6"/>
      <c r="SVQ6"/>
      <c r="SVU6"/>
      <c r="SVY6"/>
      <c r="SWC6"/>
      <c r="SWG6"/>
      <c r="SWK6"/>
      <c r="SWO6"/>
      <c r="SWS6"/>
      <c r="SWW6"/>
      <c r="SXA6"/>
      <c r="SXE6"/>
      <c r="SXI6"/>
      <c r="SXM6"/>
      <c r="SXQ6"/>
      <c r="SXU6"/>
      <c r="SXY6"/>
      <c r="SYC6"/>
      <c r="SYG6"/>
      <c r="SYK6"/>
      <c r="SYO6"/>
      <c r="SYS6"/>
      <c r="SYW6"/>
      <c r="SZA6"/>
      <c r="SZE6"/>
      <c r="SZI6"/>
      <c r="SZM6"/>
      <c r="SZQ6"/>
      <c r="SZU6"/>
      <c r="SZY6"/>
      <c r="TAC6"/>
      <c r="TAG6"/>
      <c r="TAK6"/>
      <c r="TAO6"/>
      <c r="TAS6"/>
      <c r="TAW6"/>
      <c r="TBA6"/>
      <c r="TBE6"/>
      <c r="TBI6"/>
      <c r="TBM6"/>
      <c r="TBQ6"/>
      <c r="TBU6"/>
      <c r="TBY6"/>
      <c r="TCC6"/>
      <c r="TCG6"/>
      <c r="TCK6"/>
      <c r="TCO6"/>
      <c r="TCS6"/>
      <c r="TCW6"/>
      <c r="TDA6"/>
      <c r="TDE6"/>
      <c r="TDI6"/>
      <c r="TDM6"/>
      <c r="TDQ6"/>
      <c r="TDU6"/>
      <c r="TDY6"/>
      <c r="TEC6"/>
      <c r="TEG6"/>
      <c r="TEK6"/>
      <c r="TEO6"/>
      <c r="TES6"/>
      <c r="TEW6"/>
      <c r="TFA6"/>
      <c r="TFE6"/>
      <c r="TFI6"/>
      <c r="TFM6"/>
      <c r="TFQ6"/>
      <c r="TFU6"/>
      <c r="TFY6"/>
      <c r="TGC6"/>
      <c r="TGG6"/>
      <c r="TGK6"/>
      <c r="TGO6"/>
      <c r="TGS6"/>
      <c r="TGW6"/>
      <c r="THA6"/>
      <c r="THE6"/>
      <c r="THI6"/>
      <c r="THM6"/>
      <c r="THQ6"/>
      <c r="THU6"/>
      <c r="THY6"/>
      <c r="TIC6"/>
      <c r="TIG6"/>
      <c r="TIK6"/>
      <c r="TIO6"/>
      <c r="TIS6"/>
      <c r="TIW6"/>
      <c r="TJA6"/>
      <c r="TJE6"/>
      <c r="TJI6"/>
      <c r="TJM6"/>
      <c r="TJQ6"/>
      <c r="TJU6"/>
      <c r="TJY6"/>
      <c r="TKC6"/>
      <c r="TKG6"/>
      <c r="TKK6"/>
      <c r="TKO6"/>
      <c r="TKS6"/>
      <c r="TKW6"/>
      <c r="TLA6"/>
      <c r="TLE6"/>
      <c r="TLI6"/>
      <c r="TLM6"/>
      <c r="TLQ6"/>
      <c r="TLU6"/>
      <c r="TLY6"/>
      <c r="TMC6"/>
      <c r="TMG6"/>
      <c r="TMK6"/>
      <c r="TMO6"/>
      <c r="TMS6"/>
      <c r="TMW6"/>
      <c r="TNA6"/>
      <c r="TNE6"/>
      <c r="TNI6"/>
      <c r="TNM6"/>
      <c r="TNQ6"/>
      <c r="TNU6"/>
      <c r="TNY6"/>
      <c r="TOC6"/>
      <c r="TOG6"/>
      <c r="TOK6"/>
      <c r="TOO6"/>
      <c r="TOS6"/>
      <c r="TOW6"/>
      <c r="TPA6"/>
      <c r="TPE6"/>
      <c r="TPI6"/>
      <c r="TPM6"/>
      <c r="TPQ6"/>
      <c r="TPU6"/>
      <c r="TPY6"/>
      <c r="TQC6"/>
      <c r="TQG6"/>
      <c r="TQK6"/>
      <c r="TQO6"/>
      <c r="TQS6"/>
      <c r="TQW6"/>
      <c r="TRA6"/>
      <c r="TRE6"/>
      <c r="TRI6"/>
      <c r="TRM6"/>
      <c r="TRQ6"/>
      <c r="TRU6"/>
      <c r="TRY6"/>
      <c r="TSC6"/>
      <c r="TSG6"/>
      <c r="TSK6"/>
      <c r="TSO6"/>
      <c r="TSS6"/>
      <c r="TSW6"/>
      <c r="TTA6"/>
      <c r="TTE6"/>
      <c r="TTI6"/>
      <c r="TTM6"/>
      <c r="TTQ6"/>
      <c r="TTU6"/>
      <c r="TTY6"/>
      <c r="TUC6"/>
      <c r="TUG6"/>
      <c r="TUK6"/>
      <c r="TUO6"/>
      <c r="TUS6"/>
      <c r="TUW6"/>
      <c r="TVA6"/>
      <c r="TVE6"/>
      <c r="TVI6"/>
      <c r="TVM6"/>
      <c r="TVQ6"/>
      <c r="TVU6"/>
      <c r="TVY6"/>
      <c r="TWC6"/>
      <c r="TWG6"/>
      <c r="TWK6"/>
      <c r="TWO6"/>
      <c r="TWS6"/>
      <c r="TWW6"/>
      <c r="TXA6"/>
      <c r="TXE6"/>
      <c r="TXI6"/>
      <c r="TXM6"/>
      <c r="TXQ6"/>
      <c r="TXU6"/>
      <c r="TXY6"/>
      <c r="TYC6"/>
      <c r="TYG6"/>
      <c r="TYK6"/>
      <c r="TYO6"/>
      <c r="TYS6"/>
      <c r="TYW6"/>
      <c r="TZA6"/>
      <c r="TZE6"/>
      <c r="TZI6"/>
      <c r="TZM6"/>
      <c r="TZQ6"/>
      <c r="TZU6"/>
      <c r="TZY6"/>
      <c r="UAC6"/>
      <c r="UAG6"/>
      <c r="UAK6"/>
      <c r="UAO6"/>
      <c r="UAS6"/>
      <c r="UAW6"/>
      <c r="UBA6"/>
      <c r="UBE6"/>
      <c r="UBI6"/>
      <c r="UBM6"/>
      <c r="UBQ6"/>
      <c r="UBU6"/>
      <c r="UBY6"/>
      <c r="UCC6"/>
      <c r="UCG6"/>
      <c r="UCK6"/>
      <c r="UCO6"/>
      <c r="UCS6"/>
      <c r="UCW6"/>
      <c r="UDA6"/>
      <c r="UDE6"/>
      <c r="UDI6"/>
      <c r="UDM6"/>
      <c r="UDQ6"/>
      <c r="UDU6"/>
      <c r="UDY6"/>
      <c r="UEC6"/>
      <c r="UEG6"/>
      <c r="UEK6"/>
      <c r="UEO6"/>
      <c r="UES6"/>
      <c r="UEW6"/>
      <c r="UFA6"/>
      <c r="UFE6"/>
      <c r="UFI6"/>
      <c r="UFM6"/>
      <c r="UFQ6"/>
      <c r="UFU6"/>
      <c r="UFY6"/>
      <c r="UGC6"/>
      <c r="UGG6"/>
      <c r="UGK6"/>
      <c r="UGO6"/>
      <c r="UGS6"/>
      <c r="UGW6"/>
      <c r="UHA6"/>
      <c r="UHE6"/>
      <c r="UHI6"/>
      <c r="UHM6"/>
      <c r="UHQ6"/>
      <c r="UHU6"/>
      <c r="UHY6"/>
      <c r="UIC6"/>
      <c r="UIG6"/>
      <c r="UIK6"/>
      <c r="UIO6"/>
      <c r="UIS6"/>
      <c r="UIW6"/>
      <c r="UJA6"/>
      <c r="UJE6"/>
      <c r="UJI6"/>
      <c r="UJM6"/>
      <c r="UJQ6"/>
      <c r="UJU6"/>
      <c r="UJY6"/>
      <c r="UKC6"/>
      <c r="UKG6"/>
      <c r="UKK6"/>
      <c r="UKO6"/>
      <c r="UKS6"/>
      <c r="UKW6"/>
      <c r="ULA6"/>
      <c r="ULE6"/>
      <c r="ULI6"/>
      <c r="ULM6"/>
      <c r="ULQ6"/>
      <c r="ULU6"/>
      <c r="ULY6"/>
      <c r="UMC6"/>
      <c r="UMG6"/>
      <c r="UMK6"/>
      <c r="UMO6"/>
      <c r="UMS6"/>
      <c r="UMW6"/>
      <c r="UNA6"/>
      <c r="UNE6"/>
      <c r="UNI6"/>
      <c r="UNM6"/>
      <c r="UNQ6"/>
      <c r="UNU6"/>
      <c r="UNY6"/>
      <c r="UOC6"/>
      <c r="UOG6"/>
      <c r="UOK6"/>
      <c r="UOO6"/>
      <c r="UOS6"/>
      <c r="UOW6"/>
      <c r="UPA6"/>
      <c r="UPE6"/>
      <c r="UPI6"/>
      <c r="UPM6"/>
      <c r="UPQ6"/>
      <c r="UPU6"/>
      <c r="UPY6"/>
      <c r="UQC6"/>
      <c r="UQG6"/>
      <c r="UQK6"/>
      <c r="UQO6"/>
      <c r="UQS6"/>
      <c r="UQW6"/>
      <c r="URA6"/>
      <c r="URE6"/>
      <c r="URI6"/>
      <c r="URM6"/>
      <c r="URQ6"/>
      <c r="URU6"/>
      <c r="URY6"/>
      <c r="USC6"/>
      <c r="USG6"/>
      <c r="USK6"/>
      <c r="USO6"/>
      <c r="USS6"/>
      <c r="USW6"/>
      <c r="UTA6"/>
      <c r="UTE6"/>
      <c r="UTI6"/>
      <c r="UTM6"/>
      <c r="UTQ6"/>
      <c r="UTU6"/>
      <c r="UTY6"/>
      <c r="UUC6"/>
      <c r="UUG6"/>
      <c r="UUK6"/>
      <c r="UUO6"/>
      <c r="UUS6"/>
      <c r="UUW6"/>
      <c r="UVA6"/>
      <c r="UVE6"/>
      <c r="UVI6"/>
      <c r="UVM6"/>
      <c r="UVQ6"/>
      <c r="UVU6"/>
      <c r="UVY6"/>
      <c r="UWC6"/>
      <c r="UWG6"/>
      <c r="UWK6"/>
      <c r="UWO6"/>
      <c r="UWS6"/>
      <c r="UWW6"/>
      <c r="UXA6"/>
      <c r="UXE6"/>
      <c r="UXI6"/>
      <c r="UXM6"/>
      <c r="UXQ6"/>
      <c r="UXU6"/>
      <c r="UXY6"/>
      <c r="UYC6"/>
      <c r="UYG6"/>
      <c r="UYK6"/>
      <c r="UYO6"/>
      <c r="UYS6"/>
      <c r="UYW6"/>
      <c r="UZA6"/>
      <c r="UZE6"/>
      <c r="UZI6"/>
      <c r="UZM6"/>
      <c r="UZQ6"/>
      <c r="UZU6"/>
      <c r="UZY6"/>
      <c r="VAC6"/>
      <c r="VAG6"/>
      <c r="VAK6"/>
      <c r="VAO6"/>
      <c r="VAS6"/>
      <c r="VAW6"/>
      <c r="VBA6"/>
      <c r="VBE6"/>
      <c r="VBI6"/>
      <c r="VBM6"/>
      <c r="VBQ6"/>
      <c r="VBU6"/>
      <c r="VBY6"/>
      <c r="VCC6"/>
      <c r="VCG6"/>
      <c r="VCK6"/>
      <c r="VCO6"/>
      <c r="VCS6"/>
      <c r="VCW6"/>
      <c r="VDA6"/>
      <c r="VDE6"/>
      <c r="VDI6"/>
      <c r="VDM6"/>
      <c r="VDQ6"/>
      <c r="VDU6"/>
      <c r="VDY6"/>
      <c r="VEC6"/>
      <c r="VEG6"/>
      <c r="VEK6"/>
      <c r="VEO6"/>
      <c r="VES6"/>
      <c r="VEW6"/>
      <c r="VFA6"/>
      <c r="VFE6"/>
      <c r="VFI6"/>
      <c r="VFM6"/>
      <c r="VFQ6"/>
      <c r="VFU6"/>
      <c r="VFY6"/>
      <c r="VGC6"/>
      <c r="VGG6"/>
      <c r="VGK6"/>
      <c r="VGO6"/>
      <c r="VGS6"/>
      <c r="VGW6"/>
      <c r="VHA6"/>
      <c r="VHE6"/>
      <c r="VHI6"/>
      <c r="VHM6"/>
      <c r="VHQ6"/>
      <c r="VHU6"/>
      <c r="VHY6"/>
      <c r="VIC6"/>
      <c r="VIG6"/>
      <c r="VIK6"/>
      <c r="VIO6"/>
      <c r="VIS6"/>
      <c r="VIW6"/>
      <c r="VJA6"/>
      <c r="VJE6"/>
      <c r="VJI6"/>
      <c r="VJM6"/>
      <c r="VJQ6"/>
      <c r="VJU6"/>
      <c r="VJY6"/>
      <c r="VKC6"/>
      <c r="VKG6"/>
      <c r="VKK6"/>
      <c r="VKO6"/>
      <c r="VKS6"/>
      <c r="VKW6"/>
      <c r="VLA6"/>
      <c r="VLE6"/>
      <c r="VLI6"/>
      <c r="VLM6"/>
      <c r="VLQ6"/>
      <c r="VLU6"/>
      <c r="VLY6"/>
      <c r="VMC6"/>
      <c r="VMG6"/>
      <c r="VMK6"/>
      <c r="VMO6"/>
      <c r="VMS6"/>
      <c r="VMW6"/>
      <c r="VNA6"/>
      <c r="VNE6"/>
      <c r="VNI6"/>
      <c r="VNM6"/>
      <c r="VNQ6"/>
      <c r="VNU6"/>
      <c r="VNY6"/>
      <c r="VOC6"/>
      <c r="VOG6"/>
      <c r="VOK6"/>
      <c r="VOO6"/>
      <c r="VOS6"/>
      <c r="VOW6"/>
      <c r="VPA6"/>
      <c r="VPE6"/>
      <c r="VPI6"/>
      <c r="VPM6"/>
      <c r="VPQ6"/>
      <c r="VPU6"/>
      <c r="VPY6"/>
      <c r="VQC6"/>
      <c r="VQG6"/>
      <c r="VQK6"/>
      <c r="VQO6"/>
      <c r="VQS6"/>
      <c r="VQW6"/>
      <c r="VRA6"/>
      <c r="VRE6"/>
      <c r="VRI6"/>
      <c r="VRM6"/>
      <c r="VRQ6"/>
      <c r="VRU6"/>
      <c r="VRY6"/>
      <c r="VSC6"/>
      <c r="VSG6"/>
      <c r="VSK6"/>
      <c r="VSO6"/>
      <c r="VSS6"/>
      <c r="VSW6"/>
      <c r="VTA6"/>
      <c r="VTE6"/>
      <c r="VTI6"/>
      <c r="VTM6"/>
      <c r="VTQ6"/>
      <c r="VTU6"/>
      <c r="VTY6"/>
      <c r="VUC6"/>
      <c r="VUG6"/>
      <c r="VUK6"/>
      <c r="VUO6"/>
      <c r="VUS6"/>
      <c r="VUW6"/>
      <c r="VVA6"/>
      <c r="VVE6"/>
      <c r="VVI6"/>
      <c r="VVM6"/>
      <c r="VVQ6"/>
      <c r="VVU6"/>
      <c r="VVY6"/>
      <c r="VWC6"/>
      <c r="VWG6"/>
      <c r="VWK6"/>
      <c r="VWO6"/>
      <c r="VWS6"/>
      <c r="VWW6"/>
      <c r="VXA6"/>
      <c r="VXE6"/>
      <c r="VXI6"/>
      <c r="VXM6"/>
      <c r="VXQ6"/>
      <c r="VXU6"/>
      <c r="VXY6"/>
      <c r="VYC6"/>
      <c r="VYG6"/>
      <c r="VYK6"/>
      <c r="VYO6"/>
      <c r="VYS6"/>
      <c r="VYW6"/>
      <c r="VZA6"/>
      <c r="VZE6"/>
      <c r="VZI6"/>
      <c r="VZM6"/>
      <c r="VZQ6"/>
      <c r="VZU6"/>
      <c r="VZY6"/>
      <c r="WAC6"/>
      <c r="WAG6"/>
      <c r="WAK6"/>
      <c r="WAO6"/>
      <c r="WAS6"/>
      <c r="WAW6"/>
      <c r="WBA6"/>
      <c r="WBE6"/>
      <c r="WBI6"/>
      <c r="WBM6"/>
      <c r="WBQ6"/>
      <c r="WBU6"/>
      <c r="WBY6"/>
      <c r="WCC6"/>
      <c r="WCG6"/>
      <c r="WCK6"/>
      <c r="WCO6"/>
      <c r="WCS6"/>
      <c r="WCW6"/>
      <c r="WDA6"/>
      <c r="WDE6"/>
      <c r="WDI6"/>
      <c r="WDM6"/>
      <c r="WDQ6"/>
      <c r="WDU6"/>
      <c r="WDY6"/>
      <c r="WEC6"/>
      <c r="WEG6"/>
      <c r="WEK6"/>
      <c r="WEO6"/>
      <c r="WES6"/>
      <c r="WEW6"/>
      <c r="WFA6"/>
      <c r="WFE6"/>
      <c r="WFI6"/>
      <c r="WFM6"/>
      <c r="WFQ6"/>
      <c r="WFU6"/>
      <c r="WFY6"/>
      <c r="WGC6"/>
      <c r="WGG6"/>
      <c r="WGK6"/>
      <c r="WGO6"/>
      <c r="WGS6"/>
      <c r="WGW6"/>
      <c r="WHA6"/>
      <c r="WHE6"/>
      <c r="WHI6"/>
      <c r="WHM6"/>
      <c r="WHQ6"/>
      <c r="WHU6"/>
      <c r="WHY6"/>
      <c r="WIC6"/>
      <c r="WIG6"/>
      <c r="WIK6"/>
      <c r="WIO6"/>
      <c r="WIS6"/>
      <c r="WIW6"/>
      <c r="WJA6"/>
      <c r="WJE6"/>
      <c r="WJI6"/>
      <c r="WJM6"/>
      <c r="WJQ6"/>
      <c r="WJU6"/>
      <c r="WJY6"/>
      <c r="WKC6"/>
      <c r="WKG6"/>
      <c r="WKK6"/>
      <c r="WKO6"/>
      <c r="WKS6"/>
      <c r="WKW6"/>
      <c r="WLA6"/>
      <c r="WLE6"/>
      <c r="WLI6"/>
      <c r="WLM6"/>
      <c r="WLQ6"/>
      <c r="WLU6"/>
      <c r="WLY6"/>
      <c r="WMC6"/>
      <c r="WMG6"/>
      <c r="WMK6"/>
      <c r="WMO6"/>
      <c r="WMS6"/>
      <c r="WMW6"/>
      <c r="WNA6"/>
      <c r="WNE6"/>
      <c r="WNI6"/>
      <c r="WNM6"/>
      <c r="WNQ6"/>
      <c r="WNU6"/>
      <c r="WNY6"/>
      <c r="WOC6"/>
      <c r="WOG6"/>
      <c r="WOK6"/>
      <c r="WOO6"/>
      <c r="WOS6"/>
      <c r="WOW6"/>
      <c r="WPA6"/>
      <c r="WPE6"/>
      <c r="WPI6"/>
      <c r="WPM6"/>
      <c r="WPQ6"/>
      <c r="WPU6"/>
      <c r="WPY6"/>
      <c r="WQC6"/>
      <c r="WQG6"/>
      <c r="WQK6"/>
      <c r="WQO6"/>
      <c r="WQS6"/>
      <c r="WQW6"/>
      <c r="WRA6"/>
      <c r="WRE6"/>
      <c r="WRI6"/>
      <c r="WRM6"/>
      <c r="WRQ6"/>
      <c r="WRU6"/>
      <c r="WRY6"/>
      <c r="WSC6"/>
      <c r="WSG6"/>
      <c r="WSK6"/>
      <c r="WSO6"/>
      <c r="WSS6"/>
      <c r="WSW6"/>
      <c r="WTA6"/>
      <c r="WTE6"/>
      <c r="WTI6"/>
      <c r="WTM6"/>
      <c r="WTQ6"/>
      <c r="WTU6"/>
      <c r="WTY6"/>
      <c r="WUC6"/>
      <c r="WUG6"/>
      <c r="WUK6"/>
      <c r="WUO6"/>
      <c r="WUS6"/>
      <c r="WUW6"/>
      <c r="WVA6"/>
      <c r="WVE6"/>
      <c r="WVI6"/>
      <c r="WVM6"/>
      <c r="WVQ6"/>
      <c r="WVU6"/>
      <c r="WVY6"/>
      <c r="WWC6"/>
      <c r="WWG6"/>
      <c r="WWK6"/>
      <c r="WWO6"/>
      <c r="WWS6"/>
      <c r="WWW6"/>
      <c r="WXA6"/>
      <c r="WXE6"/>
      <c r="WXI6"/>
      <c r="WXM6"/>
      <c r="WXQ6"/>
      <c r="WXU6"/>
      <c r="WXY6"/>
      <c r="WYC6"/>
      <c r="WYG6"/>
      <c r="WYK6"/>
      <c r="WYO6"/>
      <c r="WYS6"/>
      <c r="WYW6"/>
      <c r="WZA6"/>
      <c r="WZE6"/>
      <c r="WZI6"/>
      <c r="WZM6"/>
      <c r="WZQ6"/>
      <c r="WZU6"/>
      <c r="WZY6"/>
      <c r="XAC6"/>
      <c r="XAG6"/>
      <c r="XAK6"/>
      <c r="XAO6"/>
      <c r="XAS6"/>
      <c r="XAW6"/>
      <c r="XBA6"/>
      <c r="XBE6"/>
      <c r="XBI6"/>
      <c r="XBM6"/>
      <c r="XBQ6"/>
      <c r="XBU6"/>
      <c r="XBY6"/>
      <c r="XCC6"/>
      <c r="XCG6"/>
      <c r="XCK6"/>
      <c r="XCO6"/>
      <c r="XCS6"/>
      <c r="XCW6"/>
      <c r="XDA6"/>
      <c r="XDE6"/>
      <c r="XDI6"/>
      <c r="XDM6"/>
      <c r="XDQ6"/>
      <c r="XDU6"/>
      <c r="XDY6"/>
      <c r="XEC6"/>
      <c r="XEG6"/>
      <c r="XEK6"/>
      <c r="XEO6"/>
      <c r="XES6"/>
      <c r="XEW6"/>
      <c r="XFA6"/>
    </row>
    <row r="7" spans="1:1021 1025:2045 2049:3069 3073:4093 4097:5117 5121:6141 6145:7165 7169:8189 8193:9213 9217:10237 10241:11261 11265:12285 12289:13309 13313:14333 14337:15357 15361:16381" s="1" customFormat="1" x14ac:dyDescent="0.35">
      <c r="A7" s="21">
        <v>1</v>
      </c>
      <c r="B7" s="21">
        <v>3</v>
      </c>
      <c r="C7" s="1" t="str">
        <f xml:space="preserve"> IF('Master Player List'!L5=1,'Master Player List'!C5,"")</f>
        <v xml:space="preserve">Harwood, Michael </v>
      </c>
      <c r="D7" s="1" t="str">
        <f xml:space="preserve"> IF('Master Player List'!L5=1,'Master Player List'!F5,"")</f>
        <v xml:space="preserve">Diaz, Gerry </v>
      </c>
      <c r="E7" s="21">
        <f xml:space="preserve"> IF('Master Player List'!L5=1,'Master Player List'!I5,"")</f>
        <v>9.9999999999999978E-2</v>
      </c>
      <c r="F7" s="22"/>
      <c r="I7" s="21"/>
      <c r="J7" s="22"/>
      <c r="M7" t="s">
        <v>467</v>
      </c>
      <c r="Q7"/>
      <c r="U7"/>
      <c r="Y7"/>
      <c r="AC7"/>
      <c r="AG7"/>
      <c r="AK7"/>
      <c r="AO7"/>
      <c r="AS7"/>
      <c r="AW7"/>
      <c r="BA7"/>
      <c r="BE7"/>
      <c r="BI7"/>
      <c r="BM7"/>
      <c r="BQ7"/>
      <c r="BU7"/>
      <c r="BY7"/>
      <c r="CC7"/>
      <c r="CG7"/>
      <c r="CK7"/>
      <c r="CO7"/>
      <c r="CS7"/>
      <c r="CW7"/>
      <c r="DA7"/>
      <c r="DE7"/>
      <c r="DI7"/>
      <c r="DM7"/>
      <c r="DQ7"/>
      <c r="DU7"/>
      <c r="DY7"/>
      <c r="EC7"/>
      <c r="EG7"/>
      <c r="EK7"/>
      <c r="EO7"/>
      <c r="ES7"/>
      <c r="EW7"/>
      <c r="FA7"/>
      <c r="FE7"/>
      <c r="FI7"/>
      <c r="FM7"/>
      <c r="FQ7"/>
      <c r="FU7"/>
      <c r="FY7"/>
      <c r="GC7"/>
      <c r="GG7"/>
      <c r="GK7"/>
      <c r="GO7"/>
      <c r="GS7"/>
      <c r="GW7"/>
      <c r="HA7"/>
      <c r="HE7"/>
      <c r="HI7"/>
      <c r="HM7"/>
      <c r="HQ7"/>
      <c r="HU7"/>
      <c r="HY7"/>
      <c r="IC7"/>
      <c r="IG7"/>
      <c r="IK7"/>
      <c r="IO7"/>
      <c r="IS7"/>
      <c r="IW7"/>
      <c r="JA7"/>
      <c r="JE7"/>
      <c r="JI7"/>
      <c r="JM7"/>
      <c r="JQ7"/>
      <c r="JU7"/>
      <c r="JY7"/>
      <c r="KC7"/>
      <c r="KG7"/>
      <c r="KK7"/>
      <c r="KO7"/>
      <c r="KS7"/>
      <c r="KW7"/>
      <c r="LA7"/>
      <c r="LE7"/>
      <c r="LI7"/>
      <c r="LM7"/>
      <c r="LQ7"/>
      <c r="LU7"/>
      <c r="LY7"/>
      <c r="MC7"/>
      <c r="MG7"/>
      <c r="MK7"/>
      <c r="MO7"/>
      <c r="MS7"/>
      <c r="MW7"/>
      <c r="NA7"/>
      <c r="NE7"/>
      <c r="NI7"/>
      <c r="NM7"/>
      <c r="NQ7"/>
      <c r="NU7"/>
      <c r="NY7"/>
      <c r="OC7"/>
      <c r="OG7"/>
      <c r="OK7"/>
      <c r="OO7"/>
      <c r="OS7"/>
      <c r="OW7"/>
      <c r="PA7"/>
      <c r="PE7"/>
      <c r="PI7"/>
      <c r="PM7"/>
      <c r="PQ7"/>
      <c r="PU7"/>
      <c r="PY7"/>
      <c r="QC7"/>
      <c r="QG7"/>
      <c r="QK7"/>
      <c r="QO7"/>
      <c r="QS7"/>
      <c r="QW7"/>
      <c r="RA7"/>
      <c r="RE7"/>
      <c r="RI7"/>
      <c r="RM7"/>
      <c r="RQ7"/>
      <c r="RU7"/>
      <c r="RY7"/>
      <c r="SC7"/>
      <c r="SG7"/>
      <c r="SK7"/>
      <c r="SO7"/>
      <c r="SS7"/>
      <c r="SW7"/>
      <c r="TA7"/>
      <c r="TE7"/>
      <c r="TI7"/>
      <c r="TM7"/>
      <c r="TQ7"/>
      <c r="TU7"/>
      <c r="TY7"/>
      <c r="UC7"/>
      <c r="UG7"/>
      <c r="UK7"/>
      <c r="UO7"/>
      <c r="US7"/>
      <c r="UW7"/>
      <c r="VA7"/>
      <c r="VE7"/>
      <c r="VI7"/>
      <c r="VM7"/>
      <c r="VQ7"/>
      <c r="VU7"/>
      <c r="VY7"/>
      <c r="WC7"/>
      <c r="WG7"/>
      <c r="WK7"/>
      <c r="WO7"/>
      <c r="WS7"/>
      <c r="WW7"/>
      <c r="XA7"/>
      <c r="XE7"/>
      <c r="XI7"/>
      <c r="XM7"/>
      <c r="XQ7"/>
      <c r="XU7"/>
      <c r="XY7"/>
      <c r="YC7"/>
      <c r="YG7"/>
      <c r="YK7"/>
      <c r="YO7"/>
      <c r="YS7"/>
      <c r="YW7"/>
      <c r="ZA7"/>
      <c r="ZE7"/>
      <c r="ZI7"/>
      <c r="ZM7"/>
      <c r="ZQ7"/>
      <c r="ZU7"/>
      <c r="ZY7"/>
      <c r="AAC7"/>
      <c r="AAG7"/>
      <c r="AAK7"/>
      <c r="AAO7"/>
      <c r="AAS7"/>
      <c r="AAW7"/>
      <c r="ABA7"/>
      <c r="ABE7"/>
      <c r="ABI7"/>
      <c r="ABM7"/>
      <c r="ABQ7"/>
      <c r="ABU7"/>
      <c r="ABY7"/>
      <c r="ACC7"/>
      <c r="ACG7"/>
      <c r="ACK7"/>
      <c r="ACO7"/>
      <c r="ACS7"/>
      <c r="ACW7"/>
      <c r="ADA7"/>
      <c r="ADE7"/>
      <c r="ADI7"/>
      <c r="ADM7"/>
      <c r="ADQ7"/>
      <c r="ADU7"/>
      <c r="ADY7"/>
      <c r="AEC7"/>
      <c r="AEG7"/>
      <c r="AEK7"/>
      <c r="AEO7"/>
      <c r="AES7"/>
      <c r="AEW7"/>
      <c r="AFA7"/>
      <c r="AFE7"/>
      <c r="AFI7"/>
      <c r="AFM7"/>
      <c r="AFQ7"/>
      <c r="AFU7"/>
      <c r="AFY7"/>
      <c r="AGC7"/>
      <c r="AGG7"/>
      <c r="AGK7"/>
      <c r="AGO7"/>
      <c r="AGS7"/>
      <c r="AGW7"/>
      <c r="AHA7"/>
      <c r="AHE7"/>
      <c r="AHI7"/>
      <c r="AHM7"/>
      <c r="AHQ7"/>
      <c r="AHU7"/>
      <c r="AHY7"/>
      <c r="AIC7"/>
      <c r="AIG7"/>
      <c r="AIK7"/>
      <c r="AIO7"/>
      <c r="AIS7"/>
      <c r="AIW7"/>
      <c r="AJA7"/>
      <c r="AJE7"/>
      <c r="AJI7"/>
      <c r="AJM7"/>
      <c r="AJQ7"/>
      <c r="AJU7"/>
      <c r="AJY7"/>
      <c r="AKC7"/>
      <c r="AKG7"/>
      <c r="AKK7"/>
      <c r="AKO7"/>
      <c r="AKS7"/>
      <c r="AKW7"/>
      <c r="ALA7"/>
      <c r="ALE7"/>
      <c r="ALI7"/>
      <c r="ALM7"/>
      <c r="ALQ7"/>
      <c r="ALU7"/>
      <c r="ALY7"/>
      <c r="AMC7"/>
      <c r="AMG7"/>
      <c r="AMK7"/>
      <c r="AMO7"/>
      <c r="AMS7"/>
      <c r="AMW7"/>
      <c r="ANA7"/>
      <c r="ANE7"/>
      <c r="ANI7"/>
      <c r="ANM7"/>
      <c r="ANQ7"/>
      <c r="ANU7"/>
      <c r="ANY7"/>
      <c r="AOC7"/>
      <c r="AOG7"/>
      <c r="AOK7"/>
      <c r="AOO7"/>
      <c r="AOS7"/>
      <c r="AOW7"/>
      <c r="APA7"/>
      <c r="APE7"/>
      <c r="API7"/>
      <c r="APM7"/>
      <c r="APQ7"/>
      <c r="APU7"/>
      <c r="APY7"/>
      <c r="AQC7"/>
      <c r="AQG7"/>
      <c r="AQK7"/>
      <c r="AQO7"/>
      <c r="AQS7"/>
      <c r="AQW7"/>
      <c r="ARA7"/>
      <c r="ARE7"/>
      <c r="ARI7"/>
      <c r="ARM7"/>
      <c r="ARQ7"/>
      <c r="ARU7"/>
      <c r="ARY7"/>
      <c r="ASC7"/>
      <c r="ASG7"/>
      <c r="ASK7"/>
      <c r="ASO7"/>
      <c r="ASS7"/>
      <c r="ASW7"/>
      <c r="ATA7"/>
      <c r="ATE7"/>
      <c r="ATI7"/>
      <c r="ATM7"/>
      <c r="ATQ7"/>
      <c r="ATU7"/>
      <c r="ATY7"/>
      <c r="AUC7"/>
      <c r="AUG7"/>
      <c r="AUK7"/>
      <c r="AUO7"/>
      <c r="AUS7"/>
      <c r="AUW7"/>
      <c r="AVA7"/>
      <c r="AVE7"/>
      <c r="AVI7"/>
      <c r="AVM7"/>
      <c r="AVQ7"/>
      <c r="AVU7"/>
      <c r="AVY7"/>
      <c r="AWC7"/>
      <c r="AWG7"/>
      <c r="AWK7"/>
      <c r="AWO7"/>
      <c r="AWS7"/>
      <c r="AWW7"/>
      <c r="AXA7"/>
      <c r="AXE7"/>
      <c r="AXI7"/>
      <c r="AXM7"/>
      <c r="AXQ7"/>
      <c r="AXU7"/>
      <c r="AXY7"/>
      <c r="AYC7"/>
      <c r="AYG7"/>
      <c r="AYK7"/>
      <c r="AYO7"/>
      <c r="AYS7"/>
      <c r="AYW7"/>
      <c r="AZA7"/>
      <c r="AZE7"/>
      <c r="AZI7"/>
      <c r="AZM7"/>
      <c r="AZQ7"/>
      <c r="AZU7"/>
      <c r="AZY7"/>
      <c r="BAC7"/>
      <c r="BAG7"/>
      <c r="BAK7"/>
      <c r="BAO7"/>
      <c r="BAS7"/>
      <c r="BAW7"/>
      <c r="BBA7"/>
      <c r="BBE7"/>
      <c r="BBI7"/>
      <c r="BBM7"/>
      <c r="BBQ7"/>
      <c r="BBU7"/>
      <c r="BBY7"/>
      <c r="BCC7"/>
      <c r="BCG7"/>
      <c r="BCK7"/>
      <c r="BCO7"/>
      <c r="BCS7"/>
      <c r="BCW7"/>
      <c r="BDA7"/>
      <c r="BDE7"/>
      <c r="BDI7"/>
      <c r="BDM7"/>
      <c r="BDQ7"/>
      <c r="BDU7"/>
      <c r="BDY7"/>
      <c r="BEC7"/>
      <c r="BEG7"/>
      <c r="BEK7"/>
      <c r="BEO7"/>
      <c r="BES7"/>
      <c r="BEW7"/>
      <c r="BFA7"/>
      <c r="BFE7"/>
      <c r="BFI7"/>
      <c r="BFM7"/>
      <c r="BFQ7"/>
      <c r="BFU7"/>
      <c r="BFY7"/>
      <c r="BGC7"/>
      <c r="BGG7"/>
      <c r="BGK7"/>
      <c r="BGO7"/>
      <c r="BGS7"/>
      <c r="BGW7"/>
      <c r="BHA7"/>
      <c r="BHE7"/>
      <c r="BHI7"/>
      <c r="BHM7"/>
      <c r="BHQ7"/>
      <c r="BHU7"/>
      <c r="BHY7"/>
      <c r="BIC7"/>
      <c r="BIG7"/>
      <c r="BIK7"/>
      <c r="BIO7"/>
      <c r="BIS7"/>
      <c r="BIW7"/>
      <c r="BJA7"/>
      <c r="BJE7"/>
      <c r="BJI7"/>
      <c r="BJM7"/>
      <c r="BJQ7"/>
      <c r="BJU7"/>
      <c r="BJY7"/>
      <c r="BKC7"/>
      <c r="BKG7"/>
      <c r="BKK7"/>
      <c r="BKO7"/>
      <c r="BKS7"/>
      <c r="BKW7"/>
      <c r="BLA7"/>
      <c r="BLE7"/>
      <c r="BLI7"/>
      <c r="BLM7"/>
      <c r="BLQ7"/>
      <c r="BLU7"/>
      <c r="BLY7"/>
      <c r="BMC7"/>
      <c r="BMG7"/>
      <c r="BMK7"/>
      <c r="BMO7"/>
      <c r="BMS7"/>
      <c r="BMW7"/>
      <c r="BNA7"/>
      <c r="BNE7"/>
      <c r="BNI7"/>
      <c r="BNM7"/>
      <c r="BNQ7"/>
      <c r="BNU7"/>
      <c r="BNY7"/>
      <c r="BOC7"/>
      <c r="BOG7"/>
      <c r="BOK7"/>
      <c r="BOO7"/>
      <c r="BOS7"/>
      <c r="BOW7"/>
      <c r="BPA7"/>
      <c r="BPE7"/>
      <c r="BPI7"/>
      <c r="BPM7"/>
      <c r="BPQ7"/>
      <c r="BPU7"/>
      <c r="BPY7"/>
      <c r="BQC7"/>
      <c r="BQG7"/>
      <c r="BQK7"/>
      <c r="BQO7"/>
      <c r="BQS7"/>
      <c r="BQW7"/>
      <c r="BRA7"/>
      <c r="BRE7"/>
      <c r="BRI7"/>
      <c r="BRM7"/>
      <c r="BRQ7"/>
      <c r="BRU7"/>
      <c r="BRY7"/>
      <c r="BSC7"/>
      <c r="BSG7"/>
      <c r="BSK7"/>
      <c r="BSO7"/>
      <c r="BSS7"/>
      <c r="BSW7"/>
      <c r="BTA7"/>
      <c r="BTE7"/>
      <c r="BTI7"/>
      <c r="BTM7"/>
      <c r="BTQ7"/>
      <c r="BTU7"/>
      <c r="BTY7"/>
      <c r="BUC7"/>
      <c r="BUG7"/>
      <c r="BUK7"/>
      <c r="BUO7"/>
      <c r="BUS7"/>
      <c r="BUW7"/>
      <c r="BVA7"/>
      <c r="BVE7"/>
      <c r="BVI7"/>
      <c r="BVM7"/>
      <c r="BVQ7"/>
      <c r="BVU7"/>
      <c r="BVY7"/>
      <c r="BWC7"/>
      <c r="BWG7"/>
      <c r="BWK7"/>
      <c r="BWO7"/>
      <c r="BWS7"/>
      <c r="BWW7"/>
      <c r="BXA7"/>
      <c r="BXE7"/>
      <c r="BXI7"/>
      <c r="BXM7"/>
      <c r="BXQ7"/>
      <c r="BXU7"/>
      <c r="BXY7"/>
      <c r="BYC7"/>
      <c r="BYG7"/>
      <c r="BYK7"/>
      <c r="BYO7"/>
      <c r="BYS7"/>
      <c r="BYW7"/>
      <c r="BZA7"/>
      <c r="BZE7"/>
      <c r="BZI7"/>
      <c r="BZM7"/>
      <c r="BZQ7"/>
      <c r="BZU7"/>
      <c r="BZY7"/>
      <c r="CAC7"/>
      <c r="CAG7"/>
      <c r="CAK7"/>
      <c r="CAO7"/>
      <c r="CAS7"/>
      <c r="CAW7"/>
      <c r="CBA7"/>
      <c r="CBE7"/>
      <c r="CBI7"/>
      <c r="CBM7"/>
      <c r="CBQ7"/>
      <c r="CBU7"/>
      <c r="CBY7"/>
      <c r="CCC7"/>
      <c r="CCG7"/>
      <c r="CCK7"/>
      <c r="CCO7"/>
      <c r="CCS7"/>
      <c r="CCW7"/>
      <c r="CDA7"/>
      <c r="CDE7"/>
      <c r="CDI7"/>
      <c r="CDM7"/>
      <c r="CDQ7"/>
      <c r="CDU7"/>
      <c r="CDY7"/>
      <c r="CEC7"/>
      <c r="CEG7"/>
      <c r="CEK7"/>
      <c r="CEO7"/>
      <c r="CES7"/>
      <c r="CEW7"/>
      <c r="CFA7"/>
      <c r="CFE7"/>
      <c r="CFI7"/>
      <c r="CFM7"/>
      <c r="CFQ7"/>
      <c r="CFU7"/>
      <c r="CFY7"/>
      <c r="CGC7"/>
      <c r="CGG7"/>
      <c r="CGK7"/>
      <c r="CGO7"/>
      <c r="CGS7"/>
      <c r="CGW7"/>
      <c r="CHA7"/>
      <c r="CHE7"/>
      <c r="CHI7"/>
      <c r="CHM7"/>
      <c r="CHQ7"/>
      <c r="CHU7"/>
      <c r="CHY7"/>
      <c r="CIC7"/>
      <c r="CIG7"/>
      <c r="CIK7"/>
      <c r="CIO7"/>
      <c r="CIS7"/>
      <c r="CIW7"/>
      <c r="CJA7"/>
      <c r="CJE7"/>
      <c r="CJI7"/>
      <c r="CJM7"/>
      <c r="CJQ7"/>
      <c r="CJU7"/>
      <c r="CJY7"/>
      <c r="CKC7"/>
      <c r="CKG7"/>
      <c r="CKK7"/>
      <c r="CKO7"/>
      <c r="CKS7"/>
      <c r="CKW7"/>
      <c r="CLA7"/>
      <c r="CLE7"/>
      <c r="CLI7"/>
      <c r="CLM7"/>
      <c r="CLQ7"/>
      <c r="CLU7"/>
      <c r="CLY7"/>
      <c r="CMC7"/>
      <c r="CMG7"/>
      <c r="CMK7"/>
      <c r="CMO7"/>
      <c r="CMS7"/>
      <c r="CMW7"/>
      <c r="CNA7"/>
      <c r="CNE7"/>
      <c r="CNI7"/>
      <c r="CNM7"/>
      <c r="CNQ7"/>
      <c r="CNU7"/>
      <c r="CNY7"/>
      <c r="COC7"/>
      <c r="COG7"/>
      <c r="COK7"/>
      <c r="COO7"/>
      <c r="COS7"/>
      <c r="COW7"/>
      <c r="CPA7"/>
      <c r="CPE7"/>
      <c r="CPI7"/>
      <c r="CPM7"/>
      <c r="CPQ7"/>
      <c r="CPU7"/>
      <c r="CPY7"/>
      <c r="CQC7"/>
      <c r="CQG7"/>
      <c r="CQK7"/>
      <c r="CQO7"/>
      <c r="CQS7"/>
      <c r="CQW7"/>
      <c r="CRA7"/>
      <c r="CRE7"/>
      <c r="CRI7"/>
      <c r="CRM7"/>
      <c r="CRQ7"/>
      <c r="CRU7"/>
      <c r="CRY7"/>
      <c r="CSC7"/>
      <c r="CSG7"/>
      <c r="CSK7"/>
      <c r="CSO7"/>
      <c r="CSS7"/>
      <c r="CSW7"/>
      <c r="CTA7"/>
      <c r="CTE7"/>
      <c r="CTI7"/>
      <c r="CTM7"/>
      <c r="CTQ7"/>
      <c r="CTU7"/>
      <c r="CTY7"/>
      <c r="CUC7"/>
      <c r="CUG7"/>
      <c r="CUK7"/>
      <c r="CUO7"/>
      <c r="CUS7"/>
      <c r="CUW7"/>
      <c r="CVA7"/>
      <c r="CVE7"/>
      <c r="CVI7"/>
      <c r="CVM7"/>
      <c r="CVQ7"/>
      <c r="CVU7"/>
      <c r="CVY7"/>
      <c r="CWC7"/>
      <c r="CWG7"/>
      <c r="CWK7"/>
      <c r="CWO7"/>
      <c r="CWS7"/>
      <c r="CWW7"/>
      <c r="CXA7"/>
      <c r="CXE7"/>
      <c r="CXI7"/>
      <c r="CXM7"/>
      <c r="CXQ7"/>
      <c r="CXU7"/>
      <c r="CXY7"/>
      <c r="CYC7"/>
      <c r="CYG7"/>
      <c r="CYK7"/>
      <c r="CYO7"/>
      <c r="CYS7"/>
      <c r="CYW7"/>
      <c r="CZA7"/>
      <c r="CZE7"/>
      <c r="CZI7"/>
      <c r="CZM7"/>
      <c r="CZQ7"/>
      <c r="CZU7"/>
      <c r="CZY7"/>
      <c r="DAC7"/>
      <c r="DAG7"/>
      <c r="DAK7"/>
      <c r="DAO7"/>
      <c r="DAS7"/>
      <c r="DAW7"/>
      <c r="DBA7"/>
      <c r="DBE7"/>
      <c r="DBI7"/>
      <c r="DBM7"/>
      <c r="DBQ7"/>
      <c r="DBU7"/>
      <c r="DBY7"/>
      <c r="DCC7"/>
      <c r="DCG7"/>
      <c r="DCK7"/>
      <c r="DCO7"/>
      <c r="DCS7"/>
      <c r="DCW7"/>
      <c r="DDA7"/>
      <c r="DDE7"/>
      <c r="DDI7"/>
      <c r="DDM7"/>
      <c r="DDQ7"/>
      <c r="DDU7"/>
      <c r="DDY7"/>
      <c r="DEC7"/>
      <c r="DEG7"/>
      <c r="DEK7"/>
      <c r="DEO7"/>
      <c r="DES7"/>
      <c r="DEW7"/>
      <c r="DFA7"/>
      <c r="DFE7"/>
      <c r="DFI7"/>
      <c r="DFM7"/>
      <c r="DFQ7"/>
      <c r="DFU7"/>
      <c r="DFY7"/>
      <c r="DGC7"/>
      <c r="DGG7"/>
      <c r="DGK7"/>
      <c r="DGO7"/>
      <c r="DGS7"/>
      <c r="DGW7"/>
      <c r="DHA7"/>
      <c r="DHE7"/>
      <c r="DHI7"/>
      <c r="DHM7"/>
      <c r="DHQ7"/>
      <c r="DHU7"/>
      <c r="DHY7"/>
      <c r="DIC7"/>
      <c r="DIG7"/>
      <c r="DIK7"/>
      <c r="DIO7"/>
      <c r="DIS7"/>
      <c r="DIW7"/>
      <c r="DJA7"/>
      <c r="DJE7"/>
      <c r="DJI7"/>
      <c r="DJM7"/>
      <c r="DJQ7"/>
      <c r="DJU7"/>
      <c r="DJY7"/>
      <c r="DKC7"/>
      <c r="DKG7"/>
      <c r="DKK7"/>
      <c r="DKO7"/>
      <c r="DKS7"/>
      <c r="DKW7"/>
      <c r="DLA7"/>
      <c r="DLE7"/>
      <c r="DLI7"/>
      <c r="DLM7"/>
      <c r="DLQ7"/>
      <c r="DLU7"/>
      <c r="DLY7"/>
      <c r="DMC7"/>
      <c r="DMG7"/>
      <c r="DMK7"/>
      <c r="DMO7"/>
      <c r="DMS7"/>
      <c r="DMW7"/>
      <c r="DNA7"/>
      <c r="DNE7"/>
      <c r="DNI7"/>
      <c r="DNM7"/>
      <c r="DNQ7"/>
      <c r="DNU7"/>
      <c r="DNY7"/>
      <c r="DOC7"/>
      <c r="DOG7"/>
      <c r="DOK7"/>
      <c r="DOO7"/>
      <c r="DOS7"/>
      <c r="DOW7"/>
      <c r="DPA7"/>
      <c r="DPE7"/>
      <c r="DPI7"/>
      <c r="DPM7"/>
      <c r="DPQ7"/>
      <c r="DPU7"/>
      <c r="DPY7"/>
      <c r="DQC7"/>
      <c r="DQG7"/>
      <c r="DQK7"/>
      <c r="DQO7"/>
      <c r="DQS7"/>
      <c r="DQW7"/>
      <c r="DRA7"/>
      <c r="DRE7"/>
      <c r="DRI7"/>
      <c r="DRM7"/>
      <c r="DRQ7"/>
      <c r="DRU7"/>
      <c r="DRY7"/>
      <c r="DSC7"/>
      <c r="DSG7"/>
      <c r="DSK7"/>
      <c r="DSO7"/>
      <c r="DSS7"/>
      <c r="DSW7"/>
      <c r="DTA7"/>
      <c r="DTE7"/>
      <c r="DTI7"/>
      <c r="DTM7"/>
      <c r="DTQ7"/>
      <c r="DTU7"/>
      <c r="DTY7"/>
      <c r="DUC7"/>
      <c r="DUG7"/>
      <c r="DUK7"/>
      <c r="DUO7"/>
      <c r="DUS7"/>
      <c r="DUW7"/>
      <c r="DVA7"/>
      <c r="DVE7"/>
      <c r="DVI7"/>
      <c r="DVM7"/>
      <c r="DVQ7"/>
      <c r="DVU7"/>
      <c r="DVY7"/>
      <c r="DWC7"/>
      <c r="DWG7"/>
      <c r="DWK7"/>
      <c r="DWO7"/>
      <c r="DWS7"/>
      <c r="DWW7"/>
      <c r="DXA7"/>
      <c r="DXE7"/>
      <c r="DXI7"/>
      <c r="DXM7"/>
      <c r="DXQ7"/>
      <c r="DXU7"/>
      <c r="DXY7"/>
      <c r="DYC7"/>
      <c r="DYG7"/>
      <c r="DYK7"/>
      <c r="DYO7"/>
      <c r="DYS7"/>
      <c r="DYW7"/>
      <c r="DZA7"/>
      <c r="DZE7"/>
      <c r="DZI7"/>
      <c r="DZM7"/>
      <c r="DZQ7"/>
      <c r="DZU7"/>
      <c r="DZY7"/>
      <c r="EAC7"/>
      <c r="EAG7"/>
      <c r="EAK7"/>
      <c r="EAO7"/>
      <c r="EAS7"/>
      <c r="EAW7"/>
      <c r="EBA7"/>
      <c r="EBE7"/>
      <c r="EBI7"/>
      <c r="EBM7"/>
      <c r="EBQ7"/>
      <c r="EBU7"/>
      <c r="EBY7"/>
      <c r="ECC7"/>
      <c r="ECG7"/>
      <c r="ECK7"/>
      <c r="ECO7"/>
      <c r="ECS7"/>
      <c r="ECW7"/>
      <c r="EDA7"/>
      <c r="EDE7"/>
      <c r="EDI7"/>
      <c r="EDM7"/>
      <c r="EDQ7"/>
      <c r="EDU7"/>
      <c r="EDY7"/>
      <c r="EEC7"/>
      <c r="EEG7"/>
      <c r="EEK7"/>
      <c r="EEO7"/>
      <c r="EES7"/>
      <c r="EEW7"/>
      <c r="EFA7"/>
      <c r="EFE7"/>
      <c r="EFI7"/>
      <c r="EFM7"/>
      <c r="EFQ7"/>
      <c r="EFU7"/>
      <c r="EFY7"/>
      <c r="EGC7"/>
      <c r="EGG7"/>
      <c r="EGK7"/>
      <c r="EGO7"/>
      <c r="EGS7"/>
      <c r="EGW7"/>
      <c r="EHA7"/>
      <c r="EHE7"/>
      <c r="EHI7"/>
      <c r="EHM7"/>
      <c r="EHQ7"/>
      <c r="EHU7"/>
      <c r="EHY7"/>
      <c r="EIC7"/>
      <c r="EIG7"/>
      <c r="EIK7"/>
      <c r="EIO7"/>
      <c r="EIS7"/>
      <c r="EIW7"/>
      <c r="EJA7"/>
      <c r="EJE7"/>
      <c r="EJI7"/>
      <c r="EJM7"/>
      <c r="EJQ7"/>
      <c r="EJU7"/>
      <c r="EJY7"/>
      <c r="EKC7"/>
      <c r="EKG7"/>
      <c r="EKK7"/>
      <c r="EKO7"/>
      <c r="EKS7"/>
      <c r="EKW7"/>
      <c r="ELA7"/>
      <c r="ELE7"/>
      <c r="ELI7"/>
      <c r="ELM7"/>
      <c r="ELQ7"/>
      <c r="ELU7"/>
      <c r="ELY7"/>
      <c r="EMC7"/>
      <c r="EMG7"/>
      <c r="EMK7"/>
      <c r="EMO7"/>
      <c r="EMS7"/>
      <c r="EMW7"/>
      <c r="ENA7"/>
      <c r="ENE7"/>
      <c r="ENI7"/>
      <c r="ENM7"/>
      <c r="ENQ7"/>
      <c r="ENU7"/>
      <c r="ENY7"/>
      <c r="EOC7"/>
      <c r="EOG7"/>
      <c r="EOK7"/>
      <c r="EOO7"/>
      <c r="EOS7"/>
      <c r="EOW7"/>
      <c r="EPA7"/>
      <c r="EPE7"/>
      <c r="EPI7"/>
      <c r="EPM7"/>
      <c r="EPQ7"/>
      <c r="EPU7"/>
      <c r="EPY7"/>
      <c r="EQC7"/>
      <c r="EQG7"/>
      <c r="EQK7"/>
      <c r="EQO7"/>
      <c r="EQS7"/>
      <c r="EQW7"/>
      <c r="ERA7"/>
      <c r="ERE7"/>
      <c r="ERI7"/>
      <c r="ERM7"/>
      <c r="ERQ7"/>
      <c r="ERU7"/>
      <c r="ERY7"/>
      <c r="ESC7"/>
      <c r="ESG7"/>
      <c r="ESK7"/>
      <c r="ESO7"/>
      <c r="ESS7"/>
      <c r="ESW7"/>
      <c r="ETA7"/>
      <c r="ETE7"/>
      <c r="ETI7"/>
      <c r="ETM7"/>
      <c r="ETQ7"/>
      <c r="ETU7"/>
      <c r="ETY7"/>
      <c r="EUC7"/>
      <c r="EUG7"/>
      <c r="EUK7"/>
      <c r="EUO7"/>
      <c r="EUS7"/>
      <c r="EUW7"/>
      <c r="EVA7"/>
      <c r="EVE7"/>
      <c r="EVI7"/>
      <c r="EVM7"/>
      <c r="EVQ7"/>
      <c r="EVU7"/>
      <c r="EVY7"/>
      <c r="EWC7"/>
      <c r="EWG7"/>
      <c r="EWK7"/>
      <c r="EWO7"/>
      <c r="EWS7"/>
      <c r="EWW7"/>
      <c r="EXA7"/>
      <c r="EXE7"/>
      <c r="EXI7"/>
      <c r="EXM7"/>
      <c r="EXQ7"/>
      <c r="EXU7"/>
      <c r="EXY7"/>
      <c r="EYC7"/>
      <c r="EYG7"/>
      <c r="EYK7"/>
      <c r="EYO7"/>
      <c r="EYS7"/>
      <c r="EYW7"/>
      <c r="EZA7"/>
      <c r="EZE7"/>
      <c r="EZI7"/>
      <c r="EZM7"/>
      <c r="EZQ7"/>
      <c r="EZU7"/>
      <c r="EZY7"/>
      <c r="FAC7"/>
      <c r="FAG7"/>
      <c r="FAK7"/>
      <c r="FAO7"/>
      <c r="FAS7"/>
      <c r="FAW7"/>
      <c r="FBA7"/>
      <c r="FBE7"/>
      <c r="FBI7"/>
      <c r="FBM7"/>
      <c r="FBQ7"/>
      <c r="FBU7"/>
      <c r="FBY7"/>
      <c r="FCC7"/>
      <c r="FCG7"/>
      <c r="FCK7"/>
      <c r="FCO7"/>
      <c r="FCS7"/>
      <c r="FCW7"/>
      <c r="FDA7"/>
      <c r="FDE7"/>
      <c r="FDI7"/>
      <c r="FDM7"/>
      <c r="FDQ7"/>
      <c r="FDU7"/>
      <c r="FDY7"/>
      <c r="FEC7"/>
      <c r="FEG7"/>
      <c r="FEK7"/>
      <c r="FEO7"/>
      <c r="FES7"/>
      <c r="FEW7"/>
      <c r="FFA7"/>
      <c r="FFE7"/>
      <c r="FFI7"/>
      <c r="FFM7"/>
      <c r="FFQ7"/>
      <c r="FFU7"/>
      <c r="FFY7"/>
      <c r="FGC7"/>
      <c r="FGG7"/>
      <c r="FGK7"/>
      <c r="FGO7"/>
      <c r="FGS7"/>
      <c r="FGW7"/>
      <c r="FHA7"/>
      <c r="FHE7"/>
      <c r="FHI7"/>
      <c r="FHM7"/>
      <c r="FHQ7"/>
      <c r="FHU7"/>
      <c r="FHY7"/>
      <c r="FIC7"/>
      <c r="FIG7"/>
      <c r="FIK7"/>
      <c r="FIO7"/>
      <c r="FIS7"/>
      <c r="FIW7"/>
      <c r="FJA7"/>
      <c r="FJE7"/>
      <c r="FJI7"/>
      <c r="FJM7"/>
      <c r="FJQ7"/>
      <c r="FJU7"/>
      <c r="FJY7"/>
      <c r="FKC7"/>
      <c r="FKG7"/>
      <c r="FKK7"/>
      <c r="FKO7"/>
      <c r="FKS7"/>
      <c r="FKW7"/>
      <c r="FLA7"/>
      <c r="FLE7"/>
      <c r="FLI7"/>
      <c r="FLM7"/>
      <c r="FLQ7"/>
      <c r="FLU7"/>
      <c r="FLY7"/>
      <c r="FMC7"/>
      <c r="FMG7"/>
      <c r="FMK7"/>
      <c r="FMO7"/>
      <c r="FMS7"/>
      <c r="FMW7"/>
      <c r="FNA7"/>
      <c r="FNE7"/>
      <c r="FNI7"/>
      <c r="FNM7"/>
      <c r="FNQ7"/>
      <c r="FNU7"/>
      <c r="FNY7"/>
      <c r="FOC7"/>
      <c r="FOG7"/>
      <c r="FOK7"/>
      <c r="FOO7"/>
      <c r="FOS7"/>
      <c r="FOW7"/>
      <c r="FPA7"/>
      <c r="FPE7"/>
      <c r="FPI7"/>
      <c r="FPM7"/>
      <c r="FPQ7"/>
      <c r="FPU7"/>
      <c r="FPY7"/>
      <c r="FQC7"/>
      <c r="FQG7"/>
      <c r="FQK7"/>
      <c r="FQO7"/>
      <c r="FQS7"/>
      <c r="FQW7"/>
      <c r="FRA7"/>
      <c r="FRE7"/>
      <c r="FRI7"/>
      <c r="FRM7"/>
      <c r="FRQ7"/>
      <c r="FRU7"/>
      <c r="FRY7"/>
      <c r="FSC7"/>
      <c r="FSG7"/>
      <c r="FSK7"/>
      <c r="FSO7"/>
      <c r="FSS7"/>
      <c r="FSW7"/>
      <c r="FTA7"/>
      <c r="FTE7"/>
      <c r="FTI7"/>
      <c r="FTM7"/>
      <c r="FTQ7"/>
      <c r="FTU7"/>
      <c r="FTY7"/>
      <c r="FUC7"/>
      <c r="FUG7"/>
      <c r="FUK7"/>
      <c r="FUO7"/>
      <c r="FUS7"/>
      <c r="FUW7"/>
      <c r="FVA7"/>
      <c r="FVE7"/>
      <c r="FVI7"/>
      <c r="FVM7"/>
      <c r="FVQ7"/>
      <c r="FVU7"/>
      <c r="FVY7"/>
      <c r="FWC7"/>
      <c r="FWG7"/>
      <c r="FWK7"/>
      <c r="FWO7"/>
      <c r="FWS7"/>
      <c r="FWW7"/>
      <c r="FXA7"/>
      <c r="FXE7"/>
      <c r="FXI7"/>
      <c r="FXM7"/>
      <c r="FXQ7"/>
      <c r="FXU7"/>
      <c r="FXY7"/>
      <c r="FYC7"/>
      <c r="FYG7"/>
      <c r="FYK7"/>
      <c r="FYO7"/>
      <c r="FYS7"/>
      <c r="FYW7"/>
      <c r="FZA7"/>
      <c r="FZE7"/>
      <c r="FZI7"/>
      <c r="FZM7"/>
      <c r="FZQ7"/>
      <c r="FZU7"/>
      <c r="FZY7"/>
      <c r="GAC7"/>
      <c r="GAG7"/>
      <c r="GAK7"/>
      <c r="GAO7"/>
      <c r="GAS7"/>
      <c r="GAW7"/>
      <c r="GBA7"/>
      <c r="GBE7"/>
      <c r="GBI7"/>
      <c r="GBM7"/>
      <c r="GBQ7"/>
      <c r="GBU7"/>
      <c r="GBY7"/>
      <c r="GCC7"/>
      <c r="GCG7"/>
      <c r="GCK7"/>
      <c r="GCO7"/>
      <c r="GCS7"/>
      <c r="GCW7"/>
      <c r="GDA7"/>
      <c r="GDE7"/>
      <c r="GDI7"/>
      <c r="GDM7"/>
      <c r="GDQ7"/>
      <c r="GDU7"/>
      <c r="GDY7"/>
      <c r="GEC7"/>
      <c r="GEG7"/>
      <c r="GEK7"/>
      <c r="GEO7"/>
      <c r="GES7"/>
      <c r="GEW7"/>
      <c r="GFA7"/>
      <c r="GFE7"/>
      <c r="GFI7"/>
      <c r="GFM7"/>
      <c r="GFQ7"/>
      <c r="GFU7"/>
      <c r="GFY7"/>
      <c r="GGC7"/>
      <c r="GGG7"/>
      <c r="GGK7"/>
      <c r="GGO7"/>
      <c r="GGS7"/>
      <c r="GGW7"/>
      <c r="GHA7"/>
      <c r="GHE7"/>
      <c r="GHI7"/>
      <c r="GHM7"/>
      <c r="GHQ7"/>
      <c r="GHU7"/>
      <c r="GHY7"/>
      <c r="GIC7"/>
      <c r="GIG7"/>
      <c r="GIK7"/>
      <c r="GIO7"/>
      <c r="GIS7"/>
      <c r="GIW7"/>
      <c r="GJA7"/>
      <c r="GJE7"/>
      <c r="GJI7"/>
      <c r="GJM7"/>
      <c r="GJQ7"/>
      <c r="GJU7"/>
      <c r="GJY7"/>
      <c r="GKC7"/>
      <c r="GKG7"/>
      <c r="GKK7"/>
      <c r="GKO7"/>
      <c r="GKS7"/>
      <c r="GKW7"/>
      <c r="GLA7"/>
      <c r="GLE7"/>
      <c r="GLI7"/>
      <c r="GLM7"/>
      <c r="GLQ7"/>
      <c r="GLU7"/>
      <c r="GLY7"/>
      <c r="GMC7"/>
      <c r="GMG7"/>
      <c r="GMK7"/>
      <c r="GMO7"/>
      <c r="GMS7"/>
      <c r="GMW7"/>
      <c r="GNA7"/>
      <c r="GNE7"/>
      <c r="GNI7"/>
      <c r="GNM7"/>
      <c r="GNQ7"/>
      <c r="GNU7"/>
      <c r="GNY7"/>
      <c r="GOC7"/>
      <c r="GOG7"/>
      <c r="GOK7"/>
      <c r="GOO7"/>
      <c r="GOS7"/>
      <c r="GOW7"/>
      <c r="GPA7"/>
      <c r="GPE7"/>
      <c r="GPI7"/>
      <c r="GPM7"/>
      <c r="GPQ7"/>
      <c r="GPU7"/>
      <c r="GPY7"/>
      <c r="GQC7"/>
      <c r="GQG7"/>
      <c r="GQK7"/>
      <c r="GQO7"/>
      <c r="GQS7"/>
      <c r="GQW7"/>
      <c r="GRA7"/>
      <c r="GRE7"/>
      <c r="GRI7"/>
      <c r="GRM7"/>
      <c r="GRQ7"/>
      <c r="GRU7"/>
      <c r="GRY7"/>
      <c r="GSC7"/>
      <c r="GSG7"/>
      <c r="GSK7"/>
      <c r="GSO7"/>
      <c r="GSS7"/>
      <c r="GSW7"/>
      <c r="GTA7"/>
      <c r="GTE7"/>
      <c r="GTI7"/>
      <c r="GTM7"/>
      <c r="GTQ7"/>
      <c r="GTU7"/>
      <c r="GTY7"/>
      <c r="GUC7"/>
      <c r="GUG7"/>
      <c r="GUK7"/>
      <c r="GUO7"/>
      <c r="GUS7"/>
      <c r="GUW7"/>
      <c r="GVA7"/>
      <c r="GVE7"/>
      <c r="GVI7"/>
      <c r="GVM7"/>
      <c r="GVQ7"/>
      <c r="GVU7"/>
      <c r="GVY7"/>
      <c r="GWC7"/>
      <c r="GWG7"/>
      <c r="GWK7"/>
      <c r="GWO7"/>
      <c r="GWS7"/>
      <c r="GWW7"/>
      <c r="GXA7"/>
      <c r="GXE7"/>
      <c r="GXI7"/>
      <c r="GXM7"/>
      <c r="GXQ7"/>
      <c r="GXU7"/>
      <c r="GXY7"/>
      <c r="GYC7"/>
      <c r="GYG7"/>
      <c r="GYK7"/>
      <c r="GYO7"/>
      <c r="GYS7"/>
      <c r="GYW7"/>
      <c r="GZA7"/>
      <c r="GZE7"/>
      <c r="GZI7"/>
      <c r="GZM7"/>
      <c r="GZQ7"/>
      <c r="GZU7"/>
      <c r="GZY7"/>
      <c r="HAC7"/>
      <c r="HAG7"/>
      <c r="HAK7"/>
      <c r="HAO7"/>
      <c r="HAS7"/>
      <c r="HAW7"/>
      <c r="HBA7"/>
      <c r="HBE7"/>
      <c r="HBI7"/>
      <c r="HBM7"/>
      <c r="HBQ7"/>
      <c r="HBU7"/>
      <c r="HBY7"/>
      <c r="HCC7"/>
      <c r="HCG7"/>
      <c r="HCK7"/>
      <c r="HCO7"/>
      <c r="HCS7"/>
      <c r="HCW7"/>
      <c r="HDA7"/>
      <c r="HDE7"/>
      <c r="HDI7"/>
      <c r="HDM7"/>
      <c r="HDQ7"/>
      <c r="HDU7"/>
      <c r="HDY7"/>
      <c r="HEC7"/>
      <c r="HEG7"/>
      <c r="HEK7"/>
      <c r="HEO7"/>
      <c r="HES7"/>
      <c r="HEW7"/>
      <c r="HFA7"/>
      <c r="HFE7"/>
      <c r="HFI7"/>
      <c r="HFM7"/>
      <c r="HFQ7"/>
      <c r="HFU7"/>
      <c r="HFY7"/>
      <c r="HGC7"/>
      <c r="HGG7"/>
      <c r="HGK7"/>
      <c r="HGO7"/>
      <c r="HGS7"/>
      <c r="HGW7"/>
      <c r="HHA7"/>
      <c r="HHE7"/>
      <c r="HHI7"/>
      <c r="HHM7"/>
      <c r="HHQ7"/>
      <c r="HHU7"/>
      <c r="HHY7"/>
      <c r="HIC7"/>
      <c r="HIG7"/>
      <c r="HIK7"/>
      <c r="HIO7"/>
      <c r="HIS7"/>
      <c r="HIW7"/>
      <c r="HJA7"/>
      <c r="HJE7"/>
      <c r="HJI7"/>
      <c r="HJM7"/>
      <c r="HJQ7"/>
      <c r="HJU7"/>
      <c r="HJY7"/>
      <c r="HKC7"/>
      <c r="HKG7"/>
      <c r="HKK7"/>
      <c r="HKO7"/>
      <c r="HKS7"/>
      <c r="HKW7"/>
      <c r="HLA7"/>
      <c r="HLE7"/>
      <c r="HLI7"/>
      <c r="HLM7"/>
      <c r="HLQ7"/>
      <c r="HLU7"/>
      <c r="HLY7"/>
      <c r="HMC7"/>
      <c r="HMG7"/>
      <c r="HMK7"/>
      <c r="HMO7"/>
      <c r="HMS7"/>
      <c r="HMW7"/>
      <c r="HNA7"/>
      <c r="HNE7"/>
      <c r="HNI7"/>
      <c r="HNM7"/>
      <c r="HNQ7"/>
      <c r="HNU7"/>
      <c r="HNY7"/>
      <c r="HOC7"/>
      <c r="HOG7"/>
      <c r="HOK7"/>
      <c r="HOO7"/>
      <c r="HOS7"/>
      <c r="HOW7"/>
      <c r="HPA7"/>
      <c r="HPE7"/>
      <c r="HPI7"/>
      <c r="HPM7"/>
      <c r="HPQ7"/>
      <c r="HPU7"/>
      <c r="HPY7"/>
      <c r="HQC7"/>
      <c r="HQG7"/>
      <c r="HQK7"/>
      <c r="HQO7"/>
      <c r="HQS7"/>
      <c r="HQW7"/>
      <c r="HRA7"/>
      <c r="HRE7"/>
      <c r="HRI7"/>
      <c r="HRM7"/>
      <c r="HRQ7"/>
      <c r="HRU7"/>
      <c r="HRY7"/>
      <c r="HSC7"/>
      <c r="HSG7"/>
      <c r="HSK7"/>
      <c r="HSO7"/>
      <c r="HSS7"/>
      <c r="HSW7"/>
      <c r="HTA7"/>
      <c r="HTE7"/>
      <c r="HTI7"/>
      <c r="HTM7"/>
      <c r="HTQ7"/>
      <c r="HTU7"/>
      <c r="HTY7"/>
      <c r="HUC7"/>
      <c r="HUG7"/>
      <c r="HUK7"/>
      <c r="HUO7"/>
      <c r="HUS7"/>
      <c r="HUW7"/>
      <c r="HVA7"/>
      <c r="HVE7"/>
      <c r="HVI7"/>
      <c r="HVM7"/>
      <c r="HVQ7"/>
      <c r="HVU7"/>
      <c r="HVY7"/>
      <c r="HWC7"/>
      <c r="HWG7"/>
      <c r="HWK7"/>
      <c r="HWO7"/>
      <c r="HWS7"/>
      <c r="HWW7"/>
      <c r="HXA7"/>
      <c r="HXE7"/>
      <c r="HXI7"/>
      <c r="HXM7"/>
      <c r="HXQ7"/>
      <c r="HXU7"/>
      <c r="HXY7"/>
      <c r="HYC7"/>
      <c r="HYG7"/>
      <c r="HYK7"/>
      <c r="HYO7"/>
      <c r="HYS7"/>
      <c r="HYW7"/>
      <c r="HZA7"/>
      <c r="HZE7"/>
      <c r="HZI7"/>
      <c r="HZM7"/>
      <c r="HZQ7"/>
      <c r="HZU7"/>
      <c r="HZY7"/>
      <c r="IAC7"/>
      <c r="IAG7"/>
      <c r="IAK7"/>
      <c r="IAO7"/>
      <c r="IAS7"/>
      <c r="IAW7"/>
      <c r="IBA7"/>
      <c r="IBE7"/>
      <c r="IBI7"/>
      <c r="IBM7"/>
      <c r="IBQ7"/>
      <c r="IBU7"/>
      <c r="IBY7"/>
      <c r="ICC7"/>
      <c r="ICG7"/>
      <c r="ICK7"/>
      <c r="ICO7"/>
      <c r="ICS7"/>
      <c r="ICW7"/>
      <c r="IDA7"/>
      <c r="IDE7"/>
      <c r="IDI7"/>
      <c r="IDM7"/>
      <c r="IDQ7"/>
      <c r="IDU7"/>
      <c r="IDY7"/>
      <c r="IEC7"/>
      <c r="IEG7"/>
      <c r="IEK7"/>
      <c r="IEO7"/>
      <c r="IES7"/>
      <c r="IEW7"/>
      <c r="IFA7"/>
      <c r="IFE7"/>
      <c r="IFI7"/>
      <c r="IFM7"/>
      <c r="IFQ7"/>
      <c r="IFU7"/>
      <c r="IFY7"/>
      <c r="IGC7"/>
      <c r="IGG7"/>
      <c r="IGK7"/>
      <c r="IGO7"/>
      <c r="IGS7"/>
      <c r="IGW7"/>
      <c r="IHA7"/>
      <c r="IHE7"/>
      <c r="IHI7"/>
      <c r="IHM7"/>
      <c r="IHQ7"/>
      <c r="IHU7"/>
      <c r="IHY7"/>
      <c r="IIC7"/>
      <c r="IIG7"/>
      <c r="IIK7"/>
      <c r="IIO7"/>
      <c r="IIS7"/>
      <c r="IIW7"/>
      <c r="IJA7"/>
      <c r="IJE7"/>
      <c r="IJI7"/>
      <c r="IJM7"/>
      <c r="IJQ7"/>
      <c r="IJU7"/>
      <c r="IJY7"/>
      <c r="IKC7"/>
      <c r="IKG7"/>
      <c r="IKK7"/>
      <c r="IKO7"/>
      <c r="IKS7"/>
      <c r="IKW7"/>
      <c r="ILA7"/>
      <c r="ILE7"/>
      <c r="ILI7"/>
      <c r="ILM7"/>
      <c r="ILQ7"/>
      <c r="ILU7"/>
      <c r="ILY7"/>
      <c r="IMC7"/>
      <c r="IMG7"/>
      <c r="IMK7"/>
      <c r="IMO7"/>
      <c r="IMS7"/>
      <c r="IMW7"/>
      <c r="INA7"/>
      <c r="INE7"/>
      <c r="INI7"/>
      <c r="INM7"/>
      <c r="INQ7"/>
      <c r="INU7"/>
      <c r="INY7"/>
      <c r="IOC7"/>
      <c r="IOG7"/>
      <c r="IOK7"/>
      <c r="IOO7"/>
      <c r="IOS7"/>
      <c r="IOW7"/>
      <c r="IPA7"/>
      <c r="IPE7"/>
      <c r="IPI7"/>
      <c r="IPM7"/>
      <c r="IPQ7"/>
      <c r="IPU7"/>
      <c r="IPY7"/>
      <c r="IQC7"/>
      <c r="IQG7"/>
      <c r="IQK7"/>
      <c r="IQO7"/>
      <c r="IQS7"/>
      <c r="IQW7"/>
      <c r="IRA7"/>
      <c r="IRE7"/>
      <c r="IRI7"/>
      <c r="IRM7"/>
      <c r="IRQ7"/>
      <c r="IRU7"/>
      <c r="IRY7"/>
      <c r="ISC7"/>
      <c r="ISG7"/>
      <c r="ISK7"/>
      <c r="ISO7"/>
      <c r="ISS7"/>
      <c r="ISW7"/>
      <c r="ITA7"/>
      <c r="ITE7"/>
      <c r="ITI7"/>
      <c r="ITM7"/>
      <c r="ITQ7"/>
      <c r="ITU7"/>
      <c r="ITY7"/>
      <c r="IUC7"/>
      <c r="IUG7"/>
      <c r="IUK7"/>
      <c r="IUO7"/>
      <c r="IUS7"/>
      <c r="IUW7"/>
      <c r="IVA7"/>
      <c r="IVE7"/>
      <c r="IVI7"/>
      <c r="IVM7"/>
      <c r="IVQ7"/>
      <c r="IVU7"/>
      <c r="IVY7"/>
      <c r="IWC7"/>
      <c r="IWG7"/>
      <c r="IWK7"/>
      <c r="IWO7"/>
      <c r="IWS7"/>
      <c r="IWW7"/>
      <c r="IXA7"/>
      <c r="IXE7"/>
      <c r="IXI7"/>
      <c r="IXM7"/>
      <c r="IXQ7"/>
      <c r="IXU7"/>
      <c r="IXY7"/>
      <c r="IYC7"/>
      <c r="IYG7"/>
      <c r="IYK7"/>
      <c r="IYO7"/>
      <c r="IYS7"/>
      <c r="IYW7"/>
      <c r="IZA7"/>
      <c r="IZE7"/>
      <c r="IZI7"/>
      <c r="IZM7"/>
      <c r="IZQ7"/>
      <c r="IZU7"/>
      <c r="IZY7"/>
      <c r="JAC7"/>
      <c r="JAG7"/>
      <c r="JAK7"/>
      <c r="JAO7"/>
      <c r="JAS7"/>
      <c r="JAW7"/>
      <c r="JBA7"/>
      <c r="JBE7"/>
      <c r="JBI7"/>
      <c r="JBM7"/>
      <c r="JBQ7"/>
      <c r="JBU7"/>
      <c r="JBY7"/>
      <c r="JCC7"/>
      <c r="JCG7"/>
      <c r="JCK7"/>
      <c r="JCO7"/>
      <c r="JCS7"/>
      <c r="JCW7"/>
      <c r="JDA7"/>
      <c r="JDE7"/>
      <c r="JDI7"/>
      <c r="JDM7"/>
      <c r="JDQ7"/>
      <c r="JDU7"/>
      <c r="JDY7"/>
      <c r="JEC7"/>
      <c r="JEG7"/>
      <c r="JEK7"/>
      <c r="JEO7"/>
      <c r="JES7"/>
      <c r="JEW7"/>
      <c r="JFA7"/>
      <c r="JFE7"/>
      <c r="JFI7"/>
      <c r="JFM7"/>
      <c r="JFQ7"/>
      <c r="JFU7"/>
      <c r="JFY7"/>
      <c r="JGC7"/>
      <c r="JGG7"/>
      <c r="JGK7"/>
      <c r="JGO7"/>
      <c r="JGS7"/>
      <c r="JGW7"/>
      <c r="JHA7"/>
      <c r="JHE7"/>
      <c r="JHI7"/>
      <c r="JHM7"/>
      <c r="JHQ7"/>
      <c r="JHU7"/>
      <c r="JHY7"/>
      <c r="JIC7"/>
      <c r="JIG7"/>
      <c r="JIK7"/>
      <c r="JIO7"/>
      <c r="JIS7"/>
      <c r="JIW7"/>
      <c r="JJA7"/>
      <c r="JJE7"/>
      <c r="JJI7"/>
      <c r="JJM7"/>
      <c r="JJQ7"/>
      <c r="JJU7"/>
      <c r="JJY7"/>
      <c r="JKC7"/>
      <c r="JKG7"/>
      <c r="JKK7"/>
      <c r="JKO7"/>
      <c r="JKS7"/>
      <c r="JKW7"/>
      <c r="JLA7"/>
      <c r="JLE7"/>
      <c r="JLI7"/>
      <c r="JLM7"/>
      <c r="JLQ7"/>
      <c r="JLU7"/>
      <c r="JLY7"/>
      <c r="JMC7"/>
      <c r="JMG7"/>
      <c r="JMK7"/>
      <c r="JMO7"/>
      <c r="JMS7"/>
      <c r="JMW7"/>
      <c r="JNA7"/>
      <c r="JNE7"/>
      <c r="JNI7"/>
      <c r="JNM7"/>
      <c r="JNQ7"/>
      <c r="JNU7"/>
      <c r="JNY7"/>
      <c r="JOC7"/>
      <c r="JOG7"/>
      <c r="JOK7"/>
      <c r="JOO7"/>
      <c r="JOS7"/>
      <c r="JOW7"/>
      <c r="JPA7"/>
      <c r="JPE7"/>
      <c r="JPI7"/>
      <c r="JPM7"/>
      <c r="JPQ7"/>
      <c r="JPU7"/>
      <c r="JPY7"/>
      <c r="JQC7"/>
      <c r="JQG7"/>
      <c r="JQK7"/>
      <c r="JQO7"/>
      <c r="JQS7"/>
      <c r="JQW7"/>
      <c r="JRA7"/>
      <c r="JRE7"/>
      <c r="JRI7"/>
      <c r="JRM7"/>
      <c r="JRQ7"/>
      <c r="JRU7"/>
      <c r="JRY7"/>
      <c r="JSC7"/>
      <c r="JSG7"/>
      <c r="JSK7"/>
      <c r="JSO7"/>
      <c r="JSS7"/>
      <c r="JSW7"/>
      <c r="JTA7"/>
      <c r="JTE7"/>
      <c r="JTI7"/>
      <c r="JTM7"/>
      <c r="JTQ7"/>
      <c r="JTU7"/>
      <c r="JTY7"/>
      <c r="JUC7"/>
      <c r="JUG7"/>
      <c r="JUK7"/>
      <c r="JUO7"/>
      <c r="JUS7"/>
      <c r="JUW7"/>
      <c r="JVA7"/>
      <c r="JVE7"/>
      <c r="JVI7"/>
      <c r="JVM7"/>
      <c r="JVQ7"/>
      <c r="JVU7"/>
      <c r="JVY7"/>
      <c r="JWC7"/>
      <c r="JWG7"/>
      <c r="JWK7"/>
      <c r="JWO7"/>
      <c r="JWS7"/>
      <c r="JWW7"/>
      <c r="JXA7"/>
      <c r="JXE7"/>
      <c r="JXI7"/>
      <c r="JXM7"/>
      <c r="JXQ7"/>
      <c r="JXU7"/>
      <c r="JXY7"/>
      <c r="JYC7"/>
      <c r="JYG7"/>
      <c r="JYK7"/>
      <c r="JYO7"/>
      <c r="JYS7"/>
      <c r="JYW7"/>
      <c r="JZA7"/>
      <c r="JZE7"/>
      <c r="JZI7"/>
      <c r="JZM7"/>
      <c r="JZQ7"/>
      <c r="JZU7"/>
      <c r="JZY7"/>
      <c r="KAC7"/>
      <c r="KAG7"/>
      <c r="KAK7"/>
      <c r="KAO7"/>
      <c r="KAS7"/>
      <c r="KAW7"/>
      <c r="KBA7"/>
      <c r="KBE7"/>
      <c r="KBI7"/>
      <c r="KBM7"/>
      <c r="KBQ7"/>
      <c r="KBU7"/>
      <c r="KBY7"/>
      <c r="KCC7"/>
      <c r="KCG7"/>
      <c r="KCK7"/>
      <c r="KCO7"/>
      <c r="KCS7"/>
      <c r="KCW7"/>
      <c r="KDA7"/>
      <c r="KDE7"/>
      <c r="KDI7"/>
      <c r="KDM7"/>
      <c r="KDQ7"/>
      <c r="KDU7"/>
      <c r="KDY7"/>
      <c r="KEC7"/>
      <c r="KEG7"/>
      <c r="KEK7"/>
      <c r="KEO7"/>
      <c r="KES7"/>
      <c r="KEW7"/>
      <c r="KFA7"/>
      <c r="KFE7"/>
      <c r="KFI7"/>
      <c r="KFM7"/>
      <c r="KFQ7"/>
      <c r="KFU7"/>
      <c r="KFY7"/>
      <c r="KGC7"/>
      <c r="KGG7"/>
      <c r="KGK7"/>
      <c r="KGO7"/>
      <c r="KGS7"/>
      <c r="KGW7"/>
      <c r="KHA7"/>
      <c r="KHE7"/>
      <c r="KHI7"/>
      <c r="KHM7"/>
      <c r="KHQ7"/>
      <c r="KHU7"/>
      <c r="KHY7"/>
      <c r="KIC7"/>
      <c r="KIG7"/>
      <c r="KIK7"/>
      <c r="KIO7"/>
      <c r="KIS7"/>
      <c r="KIW7"/>
      <c r="KJA7"/>
      <c r="KJE7"/>
      <c r="KJI7"/>
      <c r="KJM7"/>
      <c r="KJQ7"/>
      <c r="KJU7"/>
      <c r="KJY7"/>
      <c r="KKC7"/>
      <c r="KKG7"/>
      <c r="KKK7"/>
      <c r="KKO7"/>
      <c r="KKS7"/>
      <c r="KKW7"/>
      <c r="KLA7"/>
      <c r="KLE7"/>
      <c r="KLI7"/>
      <c r="KLM7"/>
      <c r="KLQ7"/>
      <c r="KLU7"/>
      <c r="KLY7"/>
      <c r="KMC7"/>
      <c r="KMG7"/>
      <c r="KMK7"/>
      <c r="KMO7"/>
      <c r="KMS7"/>
      <c r="KMW7"/>
      <c r="KNA7"/>
      <c r="KNE7"/>
      <c r="KNI7"/>
      <c r="KNM7"/>
      <c r="KNQ7"/>
      <c r="KNU7"/>
      <c r="KNY7"/>
      <c r="KOC7"/>
      <c r="KOG7"/>
      <c r="KOK7"/>
      <c r="KOO7"/>
      <c r="KOS7"/>
      <c r="KOW7"/>
      <c r="KPA7"/>
      <c r="KPE7"/>
      <c r="KPI7"/>
      <c r="KPM7"/>
      <c r="KPQ7"/>
      <c r="KPU7"/>
      <c r="KPY7"/>
      <c r="KQC7"/>
      <c r="KQG7"/>
      <c r="KQK7"/>
      <c r="KQO7"/>
      <c r="KQS7"/>
      <c r="KQW7"/>
      <c r="KRA7"/>
      <c r="KRE7"/>
      <c r="KRI7"/>
      <c r="KRM7"/>
      <c r="KRQ7"/>
      <c r="KRU7"/>
      <c r="KRY7"/>
      <c r="KSC7"/>
      <c r="KSG7"/>
      <c r="KSK7"/>
      <c r="KSO7"/>
      <c r="KSS7"/>
      <c r="KSW7"/>
      <c r="KTA7"/>
      <c r="KTE7"/>
      <c r="KTI7"/>
      <c r="KTM7"/>
      <c r="KTQ7"/>
      <c r="KTU7"/>
      <c r="KTY7"/>
      <c r="KUC7"/>
      <c r="KUG7"/>
      <c r="KUK7"/>
      <c r="KUO7"/>
      <c r="KUS7"/>
      <c r="KUW7"/>
      <c r="KVA7"/>
      <c r="KVE7"/>
      <c r="KVI7"/>
      <c r="KVM7"/>
      <c r="KVQ7"/>
      <c r="KVU7"/>
      <c r="KVY7"/>
      <c r="KWC7"/>
      <c r="KWG7"/>
      <c r="KWK7"/>
      <c r="KWO7"/>
      <c r="KWS7"/>
      <c r="KWW7"/>
      <c r="KXA7"/>
      <c r="KXE7"/>
      <c r="KXI7"/>
      <c r="KXM7"/>
      <c r="KXQ7"/>
      <c r="KXU7"/>
      <c r="KXY7"/>
      <c r="KYC7"/>
      <c r="KYG7"/>
      <c r="KYK7"/>
      <c r="KYO7"/>
      <c r="KYS7"/>
      <c r="KYW7"/>
      <c r="KZA7"/>
      <c r="KZE7"/>
      <c r="KZI7"/>
      <c r="KZM7"/>
      <c r="KZQ7"/>
      <c r="KZU7"/>
      <c r="KZY7"/>
      <c r="LAC7"/>
      <c r="LAG7"/>
      <c r="LAK7"/>
      <c r="LAO7"/>
      <c r="LAS7"/>
      <c r="LAW7"/>
      <c r="LBA7"/>
      <c r="LBE7"/>
      <c r="LBI7"/>
      <c r="LBM7"/>
      <c r="LBQ7"/>
      <c r="LBU7"/>
      <c r="LBY7"/>
      <c r="LCC7"/>
      <c r="LCG7"/>
      <c r="LCK7"/>
      <c r="LCO7"/>
      <c r="LCS7"/>
      <c r="LCW7"/>
      <c r="LDA7"/>
      <c r="LDE7"/>
      <c r="LDI7"/>
      <c r="LDM7"/>
      <c r="LDQ7"/>
      <c r="LDU7"/>
      <c r="LDY7"/>
      <c r="LEC7"/>
      <c r="LEG7"/>
      <c r="LEK7"/>
      <c r="LEO7"/>
      <c r="LES7"/>
      <c r="LEW7"/>
      <c r="LFA7"/>
      <c r="LFE7"/>
      <c r="LFI7"/>
      <c r="LFM7"/>
      <c r="LFQ7"/>
      <c r="LFU7"/>
      <c r="LFY7"/>
      <c r="LGC7"/>
      <c r="LGG7"/>
      <c r="LGK7"/>
      <c r="LGO7"/>
      <c r="LGS7"/>
      <c r="LGW7"/>
      <c r="LHA7"/>
      <c r="LHE7"/>
      <c r="LHI7"/>
      <c r="LHM7"/>
      <c r="LHQ7"/>
      <c r="LHU7"/>
      <c r="LHY7"/>
      <c r="LIC7"/>
      <c r="LIG7"/>
      <c r="LIK7"/>
      <c r="LIO7"/>
      <c r="LIS7"/>
      <c r="LIW7"/>
      <c r="LJA7"/>
      <c r="LJE7"/>
      <c r="LJI7"/>
      <c r="LJM7"/>
      <c r="LJQ7"/>
      <c r="LJU7"/>
      <c r="LJY7"/>
      <c r="LKC7"/>
      <c r="LKG7"/>
      <c r="LKK7"/>
      <c r="LKO7"/>
      <c r="LKS7"/>
      <c r="LKW7"/>
      <c r="LLA7"/>
      <c r="LLE7"/>
      <c r="LLI7"/>
      <c r="LLM7"/>
      <c r="LLQ7"/>
      <c r="LLU7"/>
      <c r="LLY7"/>
      <c r="LMC7"/>
      <c r="LMG7"/>
      <c r="LMK7"/>
      <c r="LMO7"/>
      <c r="LMS7"/>
      <c r="LMW7"/>
      <c r="LNA7"/>
      <c r="LNE7"/>
      <c r="LNI7"/>
      <c r="LNM7"/>
      <c r="LNQ7"/>
      <c r="LNU7"/>
      <c r="LNY7"/>
      <c r="LOC7"/>
      <c r="LOG7"/>
      <c r="LOK7"/>
      <c r="LOO7"/>
      <c r="LOS7"/>
      <c r="LOW7"/>
      <c r="LPA7"/>
      <c r="LPE7"/>
      <c r="LPI7"/>
      <c r="LPM7"/>
      <c r="LPQ7"/>
      <c r="LPU7"/>
      <c r="LPY7"/>
      <c r="LQC7"/>
      <c r="LQG7"/>
      <c r="LQK7"/>
      <c r="LQO7"/>
      <c r="LQS7"/>
      <c r="LQW7"/>
      <c r="LRA7"/>
      <c r="LRE7"/>
      <c r="LRI7"/>
      <c r="LRM7"/>
      <c r="LRQ7"/>
      <c r="LRU7"/>
      <c r="LRY7"/>
      <c r="LSC7"/>
      <c r="LSG7"/>
      <c r="LSK7"/>
      <c r="LSO7"/>
      <c r="LSS7"/>
      <c r="LSW7"/>
      <c r="LTA7"/>
      <c r="LTE7"/>
      <c r="LTI7"/>
      <c r="LTM7"/>
      <c r="LTQ7"/>
      <c r="LTU7"/>
      <c r="LTY7"/>
      <c r="LUC7"/>
      <c r="LUG7"/>
      <c r="LUK7"/>
      <c r="LUO7"/>
      <c r="LUS7"/>
      <c r="LUW7"/>
      <c r="LVA7"/>
      <c r="LVE7"/>
      <c r="LVI7"/>
      <c r="LVM7"/>
      <c r="LVQ7"/>
      <c r="LVU7"/>
      <c r="LVY7"/>
      <c r="LWC7"/>
      <c r="LWG7"/>
      <c r="LWK7"/>
      <c r="LWO7"/>
      <c r="LWS7"/>
      <c r="LWW7"/>
      <c r="LXA7"/>
      <c r="LXE7"/>
      <c r="LXI7"/>
      <c r="LXM7"/>
      <c r="LXQ7"/>
      <c r="LXU7"/>
      <c r="LXY7"/>
      <c r="LYC7"/>
      <c r="LYG7"/>
      <c r="LYK7"/>
      <c r="LYO7"/>
      <c r="LYS7"/>
      <c r="LYW7"/>
      <c r="LZA7"/>
      <c r="LZE7"/>
      <c r="LZI7"/>
      <c r="LZM7"/>
      <c r="LZQ7"/>
      <c r="LZU7"/>
      <c r="LZY7"/>
      <c r="MAC7"/>
      <c r="MAG7"/>
      <c r="MAK7"/>
      <c r="MAO7"/>
      <c r="MAS7"/>
      <c r="MAW7"/>
      <c r="MBA7"/>
      <c r="MBE7"/>
      <c r="MBI7"/>
      <c r="MBM7"/>
      <c r="MBQ7"/>
      <c r="MBU7"/>
      <c r="MBY7"/>
      <c r="MCC7"/>
      <c r="MCG7"/>
      <c r="MCK7"/>
      <c r="MCO7"/>
      <c r="MCS7"/>
      <c r="MCW7"/>
      <c r="MDA7"/>
      <c r="MDE7"/>
      <c r="MDI7"/>
      <c r="MDM7"/>
      <c r="MDQ7"/>
      <c r="MDU7"/>
      <c r="MDY7"/>
      <c r="MEC7"/>
      <c r="MEG7"/>
      <c r="MEK7"/>
      <c r="MEO7"/>
      <c r="MES7"/>
      <c r="MEW7"/>
      <c r="MFA7"/>
      <c r="MFE7"/>
      <c r="MFI7"/>
      <c r="MFM7"/>
      <c r="MFQ7"/>
      <c r="MFU7"/>
      <c r="MFY7"/>
      <c r="MGC7"/>
      <c r="MGG7"/>
      <c r="MGK7"/>
      <c r="MGO7"/>
      <c r="MGS7"/>
      <c r="MGW7"/>
      <c r="MHA7"/>
      <c r="MHE7"/>
      <c r="MHI7"/>
      <c r="MHM7"/>
      <c r="MHQ7"/>
      <c r="MHU7"/>
      <c r="MHY7"/>
      <c r="MIC7"/>
      <c r="MIG7"/>
      <c r="MIK7"/>
      <c r="MIO7"/>
      <c r="MIS7"/>
      <c r="MIW7"/>
      <c r="MJA7"/>
      <c r="MJE7"/>
      <c r="MJI7"/>
      <c r="MJM7"/>
      <c r="MJQ7"/>
      <c r="MJU7"/>
      <c r="MJY7"/>
      <c r="MKC7"/>
      <c r="MKG7"/>
      <c r="MKK7"/>
      <c r="MKO7"/>
      <c r="MKS7"/>
      <c r="MKW7"/>
      <c r="MLA7"/>
      <c r="MLE7"/>
      <c r="MLI7"/>
      <c r="MLM7"/>
      <c r="MLQ7"/>
      <c r="MLU7"/>
      <c r="MLY7"/>
      <c r="MMC7"/>
      <c r="MMG7"/>
      <c r="MMK7"/>
      <c r="MMO7"/>
      <c r="MMS7"/>
      <c r="MMW7"/>
      <c r="MNA7"/>
      <c r="MNE7"/>
      <c r="MNI7"/>
      <c r="MNM7"/>
      <c r="MNQ7"/>
      <c r="MNU7"/>
      <c r="MNY7"/>
      <c r="MOC7"/>
      <c r="MOG7"/>
      <c r="MOK7"/>
      <c r="MOO7"/>
      <c r="MOS7"/>
      <c r="MOW7"/>
      <c r="MPA7"/>
      <c r="MPE7"/>
      <c r="MPI7"/>
      <c r="MPM7"/>
      <c r="MPQ7"/>
      <c r="MPU7"/>
      <c r="MPY7"/>
      <c r="MQC7"/>
      <c r="MQG7"/>
      <c r="MQK7"/>
      <c r="MQO7"/>
      <c r="MQS7"/>
      <c r="MQW7"/>
      <c r="MRA7"/>
      <c r="MRE7"/>
      <c r="MRI7"/>
      <c r="MRM7"/>
      <c r="MRQ7"/>
      <c r="MRU7"/>
      <c r="MRY7"/>
      <c r="MSC7"/>
      <c r="MSG7"/>
      <c r="MSK7"/>
      <c r="MSO7"/>
      <c r="MSS7"/>
      <c r="MSW7"/>
      <c r="MTA7"/>
      <c r="MTE7"/>
      <c r="MTI7"/>
      <c r="MTM7"/>
      <c r="MTQ7"/>
      <c r="MTU7"/>
      <c r="MTY7"/>
      <c r="MUC7"/>
      <c r="MUG7"/>
      <c r="MUK7"/>
      <c r="MUO7"/>
      <c r="MUS7"/>
      <c r="MUW7"/>
      <c r="MVA7"/>
      <c r="MVE7"/>
      <c r="MVI7"/>
      <c r="MVM7"/>
      <c r="MVQ7"/>
      <c r="MVU7"/>
      <c r="MVY7"/>
      <c r="MWC7"/>
      <c r="MWG7"/>
      <c r="MWK7"/>
      <c r="MWO7"/>
      <c r="MWS7"/>
      <c r="MWW7"/>
      <c r="MXA7"/>
      <c r="MXE7"/>
      <c r="MXI7"/>
      <c r="MXM7"/>
      <c r="MXQ7"/>
      <c r="MXU7"/>
      <c r="MXY7"/>
      <c r="MYC7"/>
      <c r="MYG7"/>
      <c r="MYK7"/>
      <c r="MYO7"/>
      <c r="MYS7"/>
      <c r="MYW7"/>
      <c r="MZA7"/>
      <c r="MZE7"/>
      <c r="MZI7"/>
      <c r="MZM7"/>
      <c r="MZQ7"/>
      <c r="MZU7"/>
      <c r="MZY7"/>
      <c r="NAC7"/>
      <c r="NAG7"/>
      <c r="NAK7"/>
      <c r="NAO7"/>
      <c r="NAS7"/>
      <c r="NAW7"/>
      <c r="NBA7"/>
      <c r="NBE7"/>
      <c r="NBI7"/>
      <c r="NBM7"/>
      <c r="NBQ7"/>
      <c r="NBU7"/>
      <c r="NBY7"/>
      <c r="NCC7"/>
      <c r="NCG7"/>
      <c r="NCK7"/>
      <c r="NCO7"/>
      <c r="NCS7"/>
      <c r="NCW7"/>
      <c r="NDA7"/>
      <c r="NDE7"/>
      <c r="NDI7"/>
      <c r="NDM7"/>
      <c r="NDQ7"/>
      <c r="NDU7"/>
      <c r="NDY7"/>
      <c r="NEC7"/>
      <c r="NEG7"/>
      <c r="NEK7"/>
      <c r="NEO7"/>
      <c r="NES7"/>
      <c r="NEW7"/>
      <c r="NFA7"/>
      <c r="NFE7"/>
      <c r="NFI7"/>
      <c r="NFM7"/>
      <c r="NFQ7"/>
      <c r="NFU7"/>
      <c r="NFY7"/>
      <c r="NGC7"/>
      <c r="NGG7"/>
      <c r="NGK7"/>
      <c r="NGO7"/>
      <c r="NGS7"/>
      <c r="NGW7"/>
      <c r="NHA7"/>
      <c r="NHE7"/>
      <c r="NHI7"/>
      <c r="NHM7"/>
      <c r="NHQ7"/>
      <c r="NHU7"/>
      <c r="NHY7"/>
      <c r="NIC7"/>
      <c r="NIG7"/>
      <c r="NIK7"/>
      <c r="NIO7"/>
      <c r="NIS7"/>
      <c r="NIW7"/>
      <c r="NJA7"/>
      <c r="NJE7"/>
      <c r="NJI7"/>
      <c r="NJM7"/>
      <c r="NJQ7"/>
      <c r="NJU7"/>
      <c r="NJY7"/>
      <c r="NKC7"/>
      <c r="NKG7"/>
      <c r="NKK7"/>
      <c r="NKO7"/>
      <c r="NKS7"/>
      <c r="NKW7"/>
      <c r="NLA7"/>
      <c r="NLE7"/>
      <c r="NLI7"/>
      <c r="NLM7"/>
      <c r="NLQ7"/>
      <c r="NLU7"/>
      <c r="NLY7"/>
      <c r="NMC7"/>
      <c r="NMG7"/>
      <c r="NMK7"/>
      <c r="NMO7"/>
      <c r="NMS7"/>
      <c r="NMW7"/>
      <c r="NNA7"/>
      <c r="NNE7"/>
      <c r="NNI7"/>
      <c r="NNM7"/>
      <c r="NNQ7"/>
      <c r="NNU7"/>
      <c r="NNY7"/>
      <c r="NOC7"/>
      <c r="NOG7"/>
      <c r="NOK7"/>
      <c r="NOO7"/>
      <c r="NOS7"/>
      <c r="NOW7"/>
      <c r="NPA7"/>
      <c r="NPE7"/>
      <c r="NPI7"/>
      <c r="NPM7"/>
      <c r="NPQ7"/>
      <c r="NPU7"/>
      <c r="NPY7"/>
      <c r="NQC7"/>
      <c r="NQG7"/>
      <c r="NQK7"/>
      <c r="NQO7"/>
      <c r="NQS7"/>
      <c r="NQW7"/>
      <c r="NRA7"/>
      <c r="NRE7"/>
      <c r="NRI7"/>
      <c r="NRM7"/>
      <c r="NRQ7"/>
      <c r="NRU7"/>
      <c r="NRY7"/>
      <c r="NSC7"/>
      <c r="NSG7"/>
      <c r="NSK7"/>
      <c r="NSO7"/>
      <c r="NSS7"/>
      <c r="NSW7"/>
      <c r="NTA7"/>
      <c r="NTE7"/>
      <c r="NTI7"/>
      <c r="NTM7"/>
      <c r="NTQ7"/>
      <c r="NTU7"/>
      <c r="NTY7"/>
      <c r="NUC7"/>
      <c r="NUG7"/>
      <c r="NUK7"/>
      <c r="NUO7"/>
      <c r="NUS7"/>
      <c r="NUW7"/>
      <c r="NVA7"/>
      <c r="NVE7"/>
      <c r="NVI7"/>
      <c r="NVM7"/>
      <c r="NVQ7"/>
      <c r="NVU7"/>
      <c r="NVY7"/>
      <c r="NWC7"/>
      <c r="NWG7"/>
      <c r="NWK7"/>
      <c r="NWO7"/>
      <c r="NWS7"/>
      <c r="NWW7"/>
      <c r="NXA7"/>
      <c r="NXE7"/>
      <c r="NXI7"/>
      <c r="NXM7"/>
      <c r="NXQ7"/>
      <c r="NXU7"/>
      <c r="NXY7"/>
      <c r="NYC7"/>
      <c r="NYG7"/>
      <c r="NYK7"/>
      <c r="NYO7"/>
      <c r="NYS7"/>
      <c r="NYW7"/>
      <c r="NZA7"/>
      <c r="NZE7"/>
      <c r="NZI7"/>
      <c r="NZM7"/>
      <c r="NZQ7"/>
      <c r="NZU7"/>
      <c r="NZY7"/>
      <c r="OAC7"/>
      <c r="OAG7"/>
      <c r="OAK7"/>
      <c r="OAO7"/>
      <c r="OAS7"/>
      <c r="OAW7"/>
      <c r="OBA7"/>
      <c r="OBE7"/>
      <c r="OBI7"/>
      <c r="OBM7"/>
      <c r="OBQ7"/>
      <c r="OBU7"/>
      <c r="OBY7"/>
      <c r="OCC7"/>
      <c r="OCG7"/>
      <c r="OCK7"/>
      <c r="OCO7"/>
      <c r="OCS7"/>
      <c r="OCW7"/>
      <c r="ODA7"/>
      <c r="ODE7"/>
      <c r="ODI7"/>
      <c r="ODM7"/>
      <c r="ODQ7"/>
      <c r="ODU7"/>
      <c r="ODY7"/>
      <c r="OEC7"/>
      <c r="OEG7"/>
      <c r="OEK7"/>
      <c r="OEO7"/>
      <c r="OES7"/>
      <c r="OEW7"/>
      <c r="OFA7"/>
      <c r="OFE7"/>
      <c r="OFI7"/>
      <c r="OFM7"/>
      <c r="OFQ7"/>
      <c r="OFU7"/>
      <c r="OFY7"/>
      <c r="OGC7"/>
      <c r="OGG7"/>
      <c r="OGK7"/>
      <c r="OGO7"/>
      <c r="OGS7"/>
      <c r="OGW7"/>
      <c r="OHA7"/>
      <c r="OHE7"/>
      <c r="OHI7"/>
      <c r="OHM7"/>
      <c r="OHQ7"/>
      <c r="OHU7"/>
      <c r="OHY7"/>
      <c r="OIC7"/>
      <c r="OIG7"/>
      <c r="OIK7"/>
      <c r="OIO7"/>
      <c r="OIS7"/>
      <c r="OIW7"/>
      <c r="OJA7"/>
      <c r="OJE7"/>
      <c r="OJI7"/>
      <c r="OJM7"/>
      <c r="OJQ7"/>
      <c r="OJU7"/>
      <c r="OJY7"/>
      <c r="OKC7"/>
      <c r="OKG7"/>
      <c r="OKK7"/>
      <c r="OKO7"/>
      <c r="OKS7"/>
      <c r="OKW7"/>
      <c r="OLA7"/>
      <c r="OLE7"/>
      <c r="OLI7"/>
      <c r="OLM7"/>
      <c r="OLQ7"/>
      <c r="OLU7"/>
      <c r="OLY7"/>
      <c r="OMC7"/>
      <c r="OMG7"/>
      <c r="OMK7"/>
      <c r="OMO7"/>
      <c r="OMS7"/>
      <c r="OMW7"/>
      <c r="ONA7"/>
      <c r="ONE7"/>
      <c r="ONI7"/>
      <c r="ONM7"/>
      <c r="ONQ7"/>
      <c r="ONU7"/>
      <c r="ONY7"/>
      <c r="OOC7"/>
      <c r="OOG7"/>
      <c r="OOK7"/>
      <c r="OOO7"/>
      <c r="OOS7"/>
      <c r="OOW7"/>
      <c r="OPA7"/>
      <c r="OPE7"/>
      <c r="OPI7"/>
      <c r="OPM7"/>
      <c r="OPQ7"/>
      <c r="OPU7"/>
      <c r="OPY7"/>
      <c r="OQC7"/>
      <c r="OQG7"/>
      <c r="OQK7"/>
      <c r="OQO7"/>
      <c r="OQS7"/>
      <c r="OQW7"/>
      <c r="ORA7"/>
      <c r="ORE7"/>
      <c r="ORI7"/>
      <c r="ORM7"/>
      <c r="ORQ7"/>
      <c r="ORU7"/>
      <c r="ORY7"/>
      <c r="OSC7"/>
      <c r="OSG7"/>
      <c r="OSK7"/>
      <c r="OSO7"/>
      <c r="OSS7"/>
      <c r="OSW7"/>
      <c r="OTA7"/>
      <c r="OTE7"/>
      <c r="OTI7"/>
      <c r="OTM7"/>
      <c r="OTQ7"/>
      <c r="OTU7"/>
      <c r="OTY7"/>
      <c r="OUC7"/>
      <c r="OUG7"/>
      <c r="OUK7"/>
      <c r="OUO7"/>
      <c r="OUS7"/>
      <c r="OUW7"/>
      <c r="OVA7"/>
      <c r="OVE7"/>
      <c r="OVI7"/>
      <c r="OVM7"/>
      <c r="OVQ7"/>
      <c r="OVU7"/>
      <c r="OVY7"/>
      <c r="OWC7"/>
      <c r="OWG7"/>
      <c r="OWK7"/>
      <c r="OWO7"/>
      <c r="OWS7"/>
      <c r="OWW7"/>
      <c r="OXA7"/>
      <c r="OXE7"/>
      <c r="OXI7"/>
      <c r="OXM7"/>
      <c r="OXQ7"/>
      <c r="OXU7"/>
      <c r="OXY7"/>
      <c r="OYC7"/>
      <c r="OYG7"/>
      <c r="OYK7"/>
      <c r="OYO7"/>
      <c r="OYS7"/>
      <c r="OYW7"/>
      <c r="OZA7"/>
      <c r="OZE7"/>
      <c r="OZI7"/>
      <c r="OZM7"/>
      <c r="OZQ7"/>
      <c r="OZU7"/>
      <c r="OZY7"/>
      <c r="PAC7"/>
      <c r="PAG7"/>
      <c r="PAK7"/>
      <c r="PAO7"/>
      <c r="PAS7"/>
      <c r="PAW7"/>
      <c r="PBA7"/>
      <c r="PBE7"/>
      <c r="PBI7"/>
      <c r="PBM7"/>
      <c r="PBQ7"/>
      <c r="PBU7"/>
      <c r="PBY7"/>
      <c r="PCC7"/>
      <c r="PCG7"/>
      <c r="PCK7"/>
      <c r="PCO7"/>
      <c r="PCS7"/>
      <c r="PCW7"/>
      <c r="PDA7"/>
      <c r="PDE7"/>
      <c r="PDI7"/>
      <c r="PDM7"/>
      <c r="PDQ7"/>
      <c r="PDU7"/>
      <c r="PDY7"/>
      <c r="PEC7"/>
      <c r="PEG7"/>
      <c r="PEK7"/>
      <c r="PEO7"/>
      <c r="PES7"/>
      <c r="PEW7"/>
      <c r="PFA7"/>
      <c r="PFE7"/>
      <c r="PFI7"/>
      <c r="PFM7"/>
      <c r="PFQ7"/>
      <c r="PFU7"/>
      <c r="PFY7"/>
      <c r="PGC7"/>
      <c r="PGG7"/>
      <c r="PGK7"/>
      <c r="PGO7"/>
      <c r="PGS7"/>
      <c r="PGW7"/>
      <c r="PHA7"/>
      <c r="PHE7"/>
      <c r="PHI7"/>
      <c r="PHM7"/>
      <c r="PHQ7"/>
      <c r="PHU7"/>
      <c r="PHY7"/>
      <c r="PIC7"/>
      <c r="PIG7"/>
      <c r="PIK7"/>
      <c r="PIO7"/>
      <c r="PIS7"/>
      <c r="PIW7"/>
      <c r="PJA7"/>
      <c r="PJE7"/>
      <c r="PJI7"/>
      <c r="PJM7"/>
      <c r="PJQ7"/>
      <c r="PJU7"/>
      <c r="PJY7"/>
      <c r="PKC7"/>
      <c r="PKG7"/>
      <c r="PKK7"/>
      <c r="PKO7"/>
      <c r="PKS7"/>
      <c r="PKW7"/>
      <c r="PLA7"/>
      <c r="PLE7"/>
      <c r="PLI7"/>
      <c r="PLM7"/>
      <c r="PLQ7"/>
      <c r="PLU7"/>
      <c r="PLY7"/>
      <c r="PMC7"/>
      <c r="PMG7"/>
      <c r="PMK7"/>
      <c r="PMO7"/>
      <c r="PMS7"/>
      <c r="PMW7"/>
      <c r="PNA7"/>
      <c r="PNE7"/>
      <c r="PNI7"/>
      <c r="PNM7"/>
      <c r="PNQ7"/>
      <c r="PNU7"/>
      <c r="PNY7"/>
      <c r="POC7"/>
      <c r="POG7"/>
      <c r="POK7"/>
      <c r="POO7"/>
      <c r="POS7"/>
      <c r="POW7"/>
      <c r="PPA7"/>
      <c r="PPE7"/>
      <c r="PPI7"/>
      <c r="PPM7"/>
      <c r="PPQ7"/>
      <c r="PPU7"/>
      <c r="PPY7"/>
      <c r="PQC7"/>
      <c r="PQG7"/>
      <c r="PQK7"/>
      <c r="PQO7"/>
      <c r="PQS7"/>
      <c r="PQW7"/>
      <c r="PRA7"/>
      <c r="PRE7"/>
      <c r="PRI7"/>
      <c r="PRM7"/>
      <c r="PRQ7"/>
      <c r="PRU7"/>
      <c r="PRY7"/>
      <c r="PSC7"/>
      <c r="PSG7"/>
      <c r="PSK7"/>
      <c r="PSO7"/>
      <c r="PSS7"/>
      <c r="PSW7"/>
      <c r="PTA7"/>
      <c r="PTE7"/>
      <c r="PTI7"/>
      <c r="PTM7"/>
      <c r="PTQ7"/>
      <c r="PTU7"/>
      <c r="PTY7"/>
      <c r="PUC7"/>
      <c r="PUG7"/>
      <c r="PUK7"/>
      <c r="PUO7"/>
      <c r="PUS7"/>
      <c r="PUW7"/>
      <c r="PVA7"/>
      <c r="PVE7"/>
      <c r="PVI7"/>
      <c r="PVM7"/>
      <c r="PVQ7"/>
      <c r="PVU7"/>
      <c r="PVY7"/>
      <c r="PWC7"/>
      <c r="PWG7"/>
      <c r="PWK7"/>
      <c r="PWO7"/>
      <c r="PWS7"/>
      <c r="PWW7"/>
      <c r="PXA7"/>
      <c r="PXE7"/>
      <c r="PXI7"/>
      <c r="PXM7"/>
      <c r="PXQ7"/>
      <c r="PXU7"/>
      <c r="PXY7"/>
      <c r="PYC7"/>
      <c r="PYG7"/>
      <c r="PYK7"/>
      <c r="PYO7"/>
      <c r="PYS7"/>
      <c r="PYW7"/>
      <c r="PZA7"/>
      <c r="PZE7"/>
      <c r="PZI7"/>
      <c r="PZM7"/>
      <c r="PZQ7"/>
      <c r="PZU7"/>
      <c r="PZY7"/>
      <c r="QAC7"/>
      <c r="QAG7"/>
      <c r="QAK7"/>
      <c r="QAO7"/>
      <c r="QAS7"/>
      <c r="QAW7"/>
      <c r="QBA7"/>
      <c r="QBE7"/>
      <c r="QBI7"/>
      <c r="QBM7"/>
      <c r="QBQ7"/>
      <c r="QBU7"/>
      <c r="QBY7"/>
      <c r="QCC7"/>
      <c r="QCG7"/>
      <c r="QCK7"/>
      <c r="QCO7"/>
      <c r="QCS7"/>
      <c r="QCW7"/>
      <c r="QDA7"/>
      <c r="QDE7"/>
      <c r="QDI7"/>
      <c r="QDM7"/>
      <c r="QDQ7"/>
      <c r="QDU7"/>
      <c r="QDY7"/>
      <c r="QEC7"/>
      <c r="QEG7"/>
      <c r="QEK7"/>
      <c r="QEO7"/>
      <c r="QES7"/>
      <c r="QEW7"/>
      <c r="QFA7"/>
      <c r="QFE7"/>
      <c r="QFI7"/>
      <c r="QFM7"/>
      <c r="QFQ7"/>
      <c r="QFU7"/>
      <c r="QFY7"/>
      <c r="QGC7"/>
      <c r="QGG7"/>
      <c r="QGK7"/>
      <c r="QGO7"/>
      <c r="QGS7"/>
      <c r="QGW7"/>
      <c r="QHA7"/>
      <c r="QHE7"/>
      <c r="QHI7"/>
      <c r="QHM7"/>
      <c r="QHQ7"/>
      <c r="QHU7"/>
      <c r="QHY7"/>
      <c r="QIC7"/>
      <c r="QIG7"/>
      <c r="QIK7"/>
      <c r="QIO7"/>
      <c r="QIS7"/>
      <c r="QIW7"/>
      <c r="QJA7"/>
      <c r="QJE7"/>
      <c r="QJI7"/>
      <c r="QJM7"/>
      <c r="QJQ7"/>
      <c r="QJU7"/>
      <c r="QJY7"/>
      <c r="QKC7"/>
      <c r="QKG7"/>
      <c r="QKK7"/>
      <c r="QKO7"/>
      <c r="QKS7"/>
      <c r="QKW7"/>
      <c r="QLA7"/>
      <c r="QLE7"/>
      <c r="QLI7"/>
      <c r="QLM7"/>
      <c r="QLQ7"/>
      <c r="QLU7"/>
      <c r="QLY7"/>
      <c r="QMC7"/>
      <c r="QMG7"/>
      <c r="QMK7"/>
      <c r="QMO7"/>
      <c r="QMS7"/>
      <c r="QMW7"/>
      <c r="QNA7"/>
      <c r="QNE7"/>
      <c r="QNI7"/>
      <c r="QNM7"/>
      <c r="QNQ7"/>
      <c r="QNU7"/>
      <c r="QNY7"/>
      <c r="QOC7"/>
      <c r="QOG7"/>
      <c r="QOK7"/>
      <c r="QOO7"/>
      <c r="QOS7"/>
      <c r="QOW7"/>
      <c r="QPA7"/>
      <c r="QPE7"/>
      <c r="QPI7"/>
      <c r="QPM7"/>
      <c r="QPQ7"/>
      <c r="QPU7"/>
      <c r="QPY7"/>
      <c r="QQC7"/>
      <c r="QQG7"/>
      <c r="QQK7"/>
      <c r="QQO7"/>
      <c r="QQS7"/>
      <c r="QQW7"/>
      <c r="QRA7"/>
      <c r="QRE7"/>
      <c r="QRI7"/>
      <c r="QRM7"/>
      <c r="QRQ7"/>
      <c r="QRU7"/>
      <c r="QRY7"/>
      <c r="QSC7"/>
      <c r="QSG7"/>
      <c r="QSK7"/>
      <c r="QSO7"/>
      <c r="QSS7"/>
      <c r="QSW7"/>
      <c r="QTA7"/>
      <c r="QTE7"/>
      <c r="QTI7"/>
      <c r="QTM7"/>
      <c r="QTQ7"/>
      <c r="QTU7"/>
      <c r="QTY7"/>
      <c r="QUC7"/>
      <c r="QUG7"/>
      <c r="QUK7"/>
      <c r="QUO7"/>
      <c r="QUS7"/>
      <c r="QUW7"/>
      <c r="QVA7"/>
      <c r="QVE7"/>
      <c r="QVI7"/>
      <c r="QVM7"/>
      <c r="QVQ7"/>
      <c r="QVU7"/>
      <c r="QVY7"/>
      <c r="QWC7"/>
      <c r="QWG7"/>
      <c r="QWK7"/>
      <c r="QWO7"/>
      <c r="QWS7"/>
      <c r="QWW7"/>
      <c r="QXA7"/>
      <c r="QXE7"/>
      <c r="QXI7"/>
      <c r="QXM7"/>
      <c r="QXQ7"/>
      <c r="QXU7"/>
      <c r="QXY7"/>
      <c r="QYC7"/>
      <c r="QYG7"/>
      <c r="QYK7"/>
      <c r="QYO7"/>
      <c r="QYS7"/>
      <c r="QYW7"/>
      <c r="QZA7"/>
      <c r="QZE7"/>
      <c r="QZI7"/>
      <c r="QZM7"/>
      <c r="QZQ7"/>
      <c r="QZU7"/>
      <c r="QZY7"/>
      <c r="RAC7"/>
      <c r="RAG7"/>
      <c r="RAK7"/>
      <c r="RAO7"/>
      <c r="RAS7"/>
      <c r="RAW7"/>
      <c r="RBA7"/>
      <c r="RBE7"/>
      <c r="RBI7"/>
      <c r="RBM7"/>
      <c r="RBQ7"/>
      <c r="RBU7"/>
      <c r="RBY7"/>
      <c r="RCC7"/>
      <c r="RCG7"/>
      <c r="RCK7"/>
      <c r="RCO7"/>
      <c r="RCS7"/>
      <c r="RCW7"/>
      <c r="RDA7"/>
      <c r="RDE7"/>
      <c r="RDI7"/>
      <c r="RDM7"/>
      <c r="RDQ7"/>
      <c r="RDU7"/>
      <c r="RDY7"/>
      <c r="REC7"/>
      <c r="REG7"/>
      <c r="REK7"/>
      <c r="REO7"/>
      <c r="RES7"/>
      <c r="REW7"/>
      <c r="RFA7"/>
      <c r="RFE7"/>
      <c r="RFI7"/>
      <c r="RFM7"/>
      <c r="RFQ7"/>
      <c r="RFU7"/>
      <c r="RFY7"/>
      <c r="RGC7"/>
      <c r="RGG7"/>
      <c r="RGK7"/>
      <c r="RGO7"/>
      <c r="RGS7"/>
      <c r="RGW7"/>
      <c r="RHA7"/>
      <c r="RHE7"/>
      <c r="RHI7"/>
      <c r="RHM7"/>
      <c r="RHQ7"/>
      <c r="RHU7"/>
      <c r="RHY7"/>
      <c r="RIC7"/>
      <c r="RIG7"/>
      <c r="RIK7"/>
      <c r="RIO7"/>
      <c r="RIS7"/>
      <c r="RIW7"/>
      <c r="RJA7"/>
      <c r="RJE7"/>
      <c r="RJI7"/>
      <c r="RJM7"/>
      <c r="RJQ7"/>
      <c r="RJU7"/>
      <c r="RJY7"/>
      <c r="RKC7"/>
      <c r="RKG7"/>
      <c r="RKK7"/>
      <c r="RKO7"/>
      <c r="RKS7"/>
      <c r="RKW7"/>
      <c r="RLA7"/>
      <c r="RLE7"/>
      <c r="RLI7"/>
      <c r="RLM7"/>
      <c r="RLQ7"/>
      <c r="RLU7"/>
      <c r="RLY7"/>
      <c r="RMC7"/>
      <c r="RMG7"/>
      <c r="RMK7"/>
      <c r="RMO7"/>
      <c r="RMS7"/>
      <c r="RMW7"/>
      <c r="RNA7"/>
      <c r="RNE7"/>
      <c r="RNI7"/>
      <c r="RNM7"/>
      <c r="RNQ7"/>
      <c r="RNU7"/>
      <c r="RNY7"/>
      <c r="ROC7"/>
      <c r="ROG7"/>
      <c r="ROK7"/>
      <c r="ROO7"/>
      <c r="ROS7"/>
      <c r="ROW7"/>
      <c r="RPA7"/>
      <c r="RPE7"/>
      <c r="RPI7"/>
      <c r="RPM7"/>
      <c r="RPQ7"/>
      <c r="RPU7"/>
      <c r="RPY7"/>
      <c r="RQC7"/>
      <c r="RQG7"/>
      <c r="RQK7"/>
      <c r="RQO7"/>
      <c r="RQS7"/>
      <c r="RQW7"/>
      <c r="RRA7"/>
      <c r="RRE7"/>
      <c r="RRI7"/>
      <c r="RRM7"/>
      <c r="RRQ7"/>
      <c r="RRU7"/>
      <c r="RRY7"/>
      <c r="RSC7"/>
      <c r="RSG7"/>
      <c r="RSK7"/>
      <c r="RSO7"/>
      <c r="RSS7"/>
      <c r="RSW7"/>
      <c r="RTA7"/>
      <c r="RTE7"/>
      <c r="RTI7"/>
      <c r="RTM7"/>
      <c r="RTQ7"/>
      <c r="RTU7"/>
      <c r="RTY7"/>
      <c r="RUC7"/>
      <c r="RUG7"/>
      <c r="RUK7"/>
      <c r="RUO7"/>
      <c r="RUS7"/>
      <c r="RUW7"/>
      <c r="RVA7"/>
      <c r="RVE7"/>
      <c r="RVI7"/>
      <c r="RVM7"/>
      <c r="RVQ7"/>
      <c r="RVU7"/>
      <c r="RVY7"/>
      <c r="RWC7"/>
      <c r="RWG7"/>
      <c r="RWK7"/>
      <c r="RWO7"/>
      <c r="RWS7"/>
      <c r="RWW7"/>
      <c r="RXA7"/>
      <c r="RXE7"/>
      <c r="RXI7"/>
      <c r="RXM7"/>
      <c r="RXQ7"/>
      <c r="RXU7"/>
      <c r="RXY7"/>
      <c r="RYC7"/>
      <c r="RYG7"/>
      <c r="RYK7"/>
      <c r="RYO7"/>
      <c r="RYS7"/>
      <c r="RYW7"/>
      <c r="RZA7"/>
      <c r="RZE7"/>
      <c r="RZI7"/>
      <c r="RZM7"/>
      <c r="RZQ7"/>
      <c r="RZU7"/>
      <c r="RZY7"/>
      <c r="SAC7"/>
      <c r="SAG7"/>
      <c r="SAK7"/>
      <c r="SAO7"/>
      <c r="SAS7"/>
      <c r="SAW7"/>
      <c r="SBA7"/>
      <c r="SBE7"/>
      <c r="SBI7"/>
      <c r="SBM7"/>
      <c r="SBQ7"/>
      <c r="SBU7"/>
      <c r="SBY7"/>
      <c r="SCC7"/>
      <c r="SCG7"/>
      <c r="SCK7"/>
      <c r="SCO7"/>
      <c r="SCS7"/>
      <c r="SCW7"/>
      <c r="SDA7"/>
      <c r="SDE7"/>
      <c r="SDI7"/>
      <c r="SDM7"/>
      <c r="SDQ7"/>
      <c r="SDU7"/>
      <c r="SDY7"/>
      <c r="SEC7"/>
      <c r="SEG7"/>
      <c r="SEK7"/>
      <c r="SEO7"/>
      <c r="SES7"/>
      <c r="SEW7"/>
      <c r="SFA7"/>
      <c r="SFE7"/>
      <c r="SFI7"/>
      <c r="SFM7"/>
      <c r="SFQ7"/>
      <c r="SFU7"/>
      <c r="SFY7"/>
      <c r="SGC7"/>
      <c r="SGG7"/>
      <c r="SGK7"/>
      <c r="SGO7"/>
      <c r="SGS7"/>
      <c r="SGW7"/>
      <c r="SHA7"/>
      <c r="SHE7"/>
      <c r="SHI7"/>
      <c r="SHM7"/>
      <c r="SHQ7"/>
      <c r="SHU7"/>
      <c r="SHY7"/>
      <c r="SIC7"/>
      <c r="SIG7"/>
      <c r="SIK7"/>
      <c r="SIO7"/>
      <c r="SIS7"/>
      <c r="SIW7"/>
      <c r="SJA7"/>
      <c r="SJE7"/>
      <c r="SJI7"/>
      <c r="SJM7"/>
      <c r="SJQ7"/>
      <c r="SJU7"/>
      <c r="SJY7"/>
      <c r="SKC7"/>
      <c r="SKG7"/>
      <c r="SKK7"/>
      <c r="SKO7"/>
      <c r="SKS7"/>
      <c r="SKW7"/>
      <c r="SLA7"/>
      <c r="SLE7"/>
      <c r="SLI7"/>
      <c r="SLM7"/>
      <c r="SLQ7"/>
      <c r="SLU7"/>
      <c r="SLY7"/>
      <c r="SMC7"/>
      <c r="SMG7"/>
      <c r="SMK7"/>
      <c r="SMO7"/>
      <c r="SMS7"/>
      <c r="SMW7"/>
      <c r="SNA7"/>
      <c r="SNE7"/>
      <c r="SNI7"/>
      <c r="SNM7"/>
      <c r="SNQ7"/>
      <c r="SNU7"/>
      <c r="SNY7"/>
      <c r="SOC7"/>
      <c r="SOG7"/>
      <c r="SOK7"/>
      <c r="SOO7"/>
      <c r="SOS7"/>
      <c r="SOW7"/>
      <c r="SPA7"/>
      <c r="SPE7"/>
      <c r="SPI7"/>
      <c r="SPM7"/>
      <c r="SPQ7"/>
      <c r="SPU7"/>
      <c r="SPY7"/>
      <c r="SQC7"/>
      <c r="SQG7"/>
      <c r="SQK7"/>
      <c r="SQO7"/>
      <c r="SQS7"/>
      <c r="SQW7"/>
      <c r="SRA7"/>
      <c r="SRE7"/>
      <c r="SRI7"/>
      <c r="SRM7"/>
      <c r="SRQ7"/>
      <c r="SRU7"/>
      <c r="SRY7"/>
      <c r="SSC7"/>
      <c r="SSG7"/>
      <c r="SSK7"/>
      <c r="SSO7"/>
      <c r="SSS7"/>
      <c r="SSW7"/>
      <c r="STA7"/>
      <c r="STE7"/>
      <c r="STI7"/>
      <c r="STM7"/>
      <c r="STQ7"/>
      <c r="STU7"/>
      <c r="STY7"/>
      <c r="SUC7"/>
      <c r="SUG7"/>
      <c r="SUK7"/>
      <c r="SUO7"/>
      <c r="SUS7"/>
      <c r="SUW7"/>
      <c r="SVA7"/>
      <c r="SVE7"/>
      <c r="SVI7"/>
      <c r="SVM7"/>
      <c r="SVQ7"/>
      <c r="SVU7"/>
      <c r="SVY7"/>
      <c r="SWC7"/>
      <c r="SWG7"/>
      <c r="SWK7"/>
      <c r="SWO7"/>
      <c r="SWS7"/>
      <c r="SWW7"/>
      <c r="SXA7"/>
      <c r="SXE7"/>
      <c r="SXI7"/>
      <c r="SXM7"/>
      <c r="SXQ7"/>
      <c r="SXU7"/>
      <c r="SXY7"/>
      <c r="SYC7"/>
      <c r="SYG7"/>
      <c r="SYK7"/>
      <c r="SYO7"/>
      <c r="SYS7"/>
      <c r="SYW7"/>
      <c r="SZA7"/>
      <c r="SZE7"/>
      <c r="SZI7"/>
      <c r="SZM7"/>
      <c r="SZQ7"/>
      <c r="SZU7"/>
      <c r="SZY7"/>
      <c r="TAC7"/>
      <c r="TAG7"/>
      <c r="TAK7"/>
      <c r="TAO7"/>
      <c r="TAS7"/>
      <c r="TAW7"/>
      <c r="TBA7"/>
      <c r="TBE7"/>
      <c r="TBI7"/>
      <c r="TBM7"/>
      <c r="TBQ7"/>
      <c r="TBU7"/>
      <c r="TBY7"/>
      <c r="TCC7"/>
      <c r="TCG7"/>
      <c r="TCK7"/>
      <c r="TCO7"/>
      <c r="TCS7"/>
      <c r="TCW7"/>
      <c r="TDA7"/>
      <c r="TDE7"/>
      <c r="TDI7"/>
      <c r="TDM7"/>
      <c r="TDQ7"/>
      <c r="TDU7"/>
      <c r="TDY7"/>
      <c r="TEC7"/>
      <c r="TEG7"/>
      <c r="TEK7"/>
      <c r="TEO7"/>
      <c r="TES7"/>
      <c r="TEW7"/>
      <c r="TFA7"/>
      <c r="TFE7"/>
      <c r="TFI7"/>
      <c r="TFM7"/>
      <c r="TFQ7"/>
      <c r="TFU7"/>
      <c r="TFY7"/>
      <c r="TGC7"/>
      <c r="TGG7"/>
      <c r="TGK7"/>
      <c r="TGO7"/>
      <c r="TGS7"/>
      <c r="TGW7"/>
      <c r="THA7"/>
      <c r="THE7"/>
      <c r="THI7"/>
      <c r="THM7"/>
      <c r="THQ7"/>
      <c r="THU7"/>
      <c r="THY7"/>
      <c r="TIC7"/>
      <c r="TIG7"/>
      <c r="TIK7"/>
      <c r="TIO7"/>
      <c r="TIS7"/>
      <c r="TIW7"/>
      <c r="TJA7"/>
      <c r="TJE7"/>
      <c r="TJI7"/>
      <c r="TJM7"/>
      <c r="TJQ7"/>
      <c r="TJU7"/>
      <c r="TJY7"/>
      <c r="TKC7"/>
      <c r="TKG7"/>
      <c r="TKK7"/>
      <c r="TKO7"/>
      <c r="TKS7"/>
      <c r="TKW7"/>
      <c r="TLA7"/>
      <c r="TLE7"/>
      <c r="TLI7"/>
      <c r="TLM7"/>
      <c r="TLQ7"/>
      <c r="TLU7"/>
      <c r="TLY7"/>
      <c r="TMC7"/>
      <c r="TMG7"/>
      <c r="TMK7"/>
      <c r="TMO7"/>
      <c r="TMS7"/>
      <c r="TMW7"/>
      <c r="TNA7"/>
      <c r="TNE7"/>
      <c r="TNI7"/>
      <c r="TNM7"/>
      <c r="TNQ7"/>
      <c r="TNU7"/>
      <c r="TNY7"/>
      <c r="TOC7"/>
      <c r="TOG7"/>
      <c r="TOK7"/>
      <c r="TOO7"/>
      <c r="TOS7"/>
      <c r="TOW7"/>
      <c r="TPA7"/>
      <c r="TPE7"/>
      <c r="TPI7"/>
      <c r="TPM7"/>
      <c r="TPQ7"/>
      <c r="TPU7"/>
      <c r="TPY7"/>
      <c r="TQC7"/>
      <c r="TQG7"/>
      <c r="TQK7"/>
      <c r="TQO7"/>
      <c r="TQS7"/>
      <c r="TQW7"/>
      <c r="TRA7"/>
      <c r="TRE7"/>
      <c r="TRI7"/>
      <c r="TRM7"/>
      <c r="TRQ7"/>
      <c r="TRU7"/>
      <c r="TRY7"/>
      <c r="TSC7"/>
      <c r="TSG7"/>
      <c r="TSK7"/>
      <c r="TSO7"/>
      <c r="TSS7"/>
      <c r="TSW7"/>
      <c r="TTA7"/>
      <c r="TTE7"/>
      <c r="TTI7"/>
      <c r="TTM7"/>
      <c r="TTQ7"/>
      <c r="TTU7"/>
      <c r="TTY7"/>
      <c r="TUC7"/>
      <c r="TUG7"/>
      <c r="TUK7"/>
      <c r="TUO7"/>
      <c r="TUS7"/>
      <c r="TUW7"/>
      <c r="TVA7"/>
      <c r="TVE7"/>
      <c r="TVI7"/>
      <c r="TVM7"/>
      <c r="TVQ7"/>
      <c r="TVU7"/>
      <c r="TVY7"/>
      <c r="TWC7"/>
      <c r="TWG7"/>
      <c r="TWK7"/>
      <c r="TWO7"/>
      <c r="TWS7"/>
      <c r="TWW7"/>
      <c r="TXA7"/>
      <c r="TXE7"/>
      <c r="TXI7"/>
      <c r="TXM7"/>
      <c r="TXQ7"/>
      <c r="TXU7"/>
      <c r="TXY7"/>
      <c r="TYC7"/>
      <c r="TYG7"/>
      <c r="TYK7"/>
      <c r="TYO7"/>
      <c r="TYS7"/>
      <c r="TYW7"/>
      <c r="TZA7"/>
      <c r="TZE7"/>
      <c r="TZI7"/>
      <c r="TZM7"/>
      <c r="TZQ7"/>
      <c r="TZU7"/>
      <c r="TZY7"/>
      <c r="UAC7"/>
      <c r="UAG7"/>
      <c r="UAK7"/>
      <c r="UAO7"/>
      <c r="UAS7"/>
      <c r="UAW7"/>
      <c r="UBA7"/>
      <c r="UBE7"/>
      <c r="UBI7"/>
      <c r="UBM7"/>
      <c r="UBQ7"/>
      <c r="UBU7"/>
      <c r="UBY7"/>
      <c r="UCC7"/>
      <c r="UCG7"/>
      <c r="UCK7"/>
      <c r="UCO7"/>
      <c r="UCS7"/>
      <c r="UCW7"/>
      <c r="UDA7"/>
      <c r="UDE7"/>
      <c r="UDI7"/>
      <c r="UDM7"/>
      <c r="UDQ7"/>
      <c r="UDU7"/>
      <c r="UDY7"/>
      <c r="UEC7"/>
      <c r="UEG7"/>
      <c r="UEK7"/>
      <c r="UEO7"/>
      <c r="UES7"/>
      <c r="UEW7"/>
      <c r="UFA7"/>
      <c r="UFE7"/>
      <c r="UFI7"/>
      <c r="UFM7"/>
      <c r="UFQ7"/>
      <c r="UFU7"/>
      <c r="UFY7"/>
      <c r="UGC7"/>
      <c r="UGG7"/>
      <c r="UGK7"/>
      <c r="UGO7"/>
      <c r="UGS7"/>
      <c r="UGW7"/>
      <c r="UHA7"/>
      <c r="UHE7"/>
      <c r="UHI7"/>
      <c r="UHM7"/>
      <c r="UHQ7"/>
      <c r="UHU7"/>
      <c r="UHY7"/>
      <c r="UIC7"/>
      <c r="UIG7"/>
      <c r="UIK7"/>
      <c r="UIO7"/>
      <c r="UIS7"/>
      <c r="UIW7"/>
      <c r="UJA7"/>
      <c r="UJE7"/>
      <c r="UJI7"/>
      <c r="UJM7"/>
      <c r="UJQ7"/>
      <c r="UJU7"/>
      <c r="UJY7"/>
      <c r="UKC7"/>
      <c r="UKG7"/>
      <c r="UKK7"/>
      <c r="UKO7"/>
      <c r="UKS7"/>
      <c r="UKW7"/>
      <c r="ULA7"/>
      <c r="ULE7"/>
      <c r="ULI7"/>
      <c r="ULM7"/>
      <c r="ULQ7"/>
      <c r="ULU7"/>
      <c r="ULY7"/>
      <c r="UMC7"/>
      <c r="UMG7"/>
      <c r="UMK7"/>
      <c r="UMO7"/>
      <c r="UMS7"/>
      <c r="UMW7"/>
      <c r="UNA7"/>
      <c r="UNE7"/>
      <c r="UNI7"/>
      <c r="UNM7"/>
      <c r="UNQ7"/>
      <c r="UNU7"/>
      <c r="UNY7"/>
      <c r="UOC7"/>
      <c r="UOG7"/>
      <c r="UOK7"/>
      <c r="UOO7"/>
      <c r="UOS7"/>
      <c r="UOW7"/>
      <c r="UPA7"/>
      <c r="UPE7"/>
      <c r="UPI7"/>
      <c r="UPM7"/>
      <c r="UPQ7"/>
      <c r="UPU7"/>
      <c r="UPY7"/>
      <c r="UQC7"/>
      <c r="UQG7"/>
      <c r="UQK7"/>
      <c r="UQO7"/>
      <c r="UQS7"/>
      <c r="UQW7"/>
      <c r="URA7"/>
      <c r="URE7"/>
      <c r="URI7"/>
      <c r="URM7"/>
      <c r="URQ7"/>
      <c r="URU7"/>
      <c r="URY7"/>
      <c r="USC7"/>
      <c r="USG7"/>
      <c r="USK7"/>
      <c r="USO7"/>
      <c r="USS7"/>
      <c r="USW7"/>
      <c r="UTA7"/>
      <c r="UTE7"/>
      <c r="UTI7"/>
      <c r="UTM7"/>
      <c r="UTQ7"/>
      <c r="UTU7"/>
      <c r="UTY7"/>
      <c r="UUC7"/>
      <c r="UUG7"/>
      <c r="UUK7"/>
      <c r="UUO7"/>
      <c r="UUS7"/>
      <c r="UUW7"/>
      <c r="UVA7"/>
      <c r="UVE7"/>
      <c r="UVI7"/>
      <c r="UVM7"/>
      <c r="UVQ7"/>
      <c r="UVU7"/>
      <c r="UVY7"/>
      <c r="UWC7"/>
      <c r="UWG7"/>
      <c r="UWK7"/>
      <c r="UWO7"/>
      <c r="UWS7"/>
      <c r="UWW7"/>
      <c r="UXA7"/>
      <c r="UXE7"/>
      <c r="UXI7"/>
      <c r="UXM7"/>
      <c r="UXQ7"/>
      <c r="UXU7"/>
      <c r="UXY7"/>
      <c r="UYC7"/>
      <c r="UYG7"/>
      <c r="UYK7"/>
      <c r="UYO7"/>
      <c r="UYS7"/>
      <c r="UYW7"/>
      <c r="UZA7"/>
      <c r="UZE7"/>
      <c r="UZI7"/>
      <c r="UZM7"/>
      <c r="UZQ7"/>
      <c r="UZU7"/>
      <c r="UZY7"/>
      <c r="VAC7"/>
      <c r="VAG7"/>
      <c r="VAK7"/>
      <c r="VAO7"/>
      <c r="VAS7"/>
      <c r="VAW7"/>
      <c r="VBA7"/>
      <c r="VBE7"/>
      <c r="VBI7"/>
      <c r="VBM7"/>
      <c r="VBQ7"/>
      <c r="VBU7"/>
      <c r="VBY7"/>
      <c r="VCC7"/>
      <c r="VCG7"/>
      <c r="VCK7"/>
      <c r="VCO7"/>
      <c r="VCS7"/>
      <c r="VCW7"/>
      <c r="VDA7"/>
      <c r="VDE7"/>
      <c r="VDI7"/>
      <c r="VDM7"/>
      <c r="VDQ7"/>
      <c r="VDU7"/>
      <c r="VDY7"/>
      <c r="VEC7"/>
      <c r="VEG7"/>
      <c r="VEK7"/>
      <c r="VEO7"/>
      <c r="VES7"/>
      <c r="VEW7"/>
      <c r="VFA7"/>
      <c r="VFE7"/>
      <c r="VFI7"/>
      <c r="VFM7"/>
      <c r="VFQ7"/>
      <c r="VFU7"/>
      <c r="VFY7"/>
      <c r="VGC7"/>
      <c r="VGG7"/>
      <c r="VGK7"/>
      <c r="VGO7"/>
      <c r="VGS7"/>
      <c r="VGW7"/>
      <c r="VHA7"/>
      <c r="VHE7"/>
      <c r="VHI7"/>
      <c r="VHM7"/>
      <c r="VHQ7"/>
      <c r="VHU7"/>
      <c r="VHY7"/>
      <c r="VIC7"/>
      <c r="VIG7"/>
      <c r="VIK7"/>
      <c r="VIO7"/>
      <c r="VIS7"/>
      <c r="VIW7"/>
      <c r="VJA7"/>
      <c r="VJE7"/>
      <c r="VJI7"/>
      <c r="VJM7"/>
      <c r="VJQ7"/>
      <c r="VJU7"/>
      <c r="VJY7"/>
      <c r="VKC7"/>
      <c r="VKG7"/>
      <c r="VKK7"/>
      <c r="VKO7"/>
      <c r="VKS7"/>
      <c r="VKW7"/>
      <c r="VLA7"/>
      <c r="VLE7"/>
      <c r="VLI7"/>
      <c r="VLM7"/>
      <c r="VLQ7"/>
      <c r="VLU7"/>
      <c r="VLY7"/>
      <c r="VMC7"/>
      <c r="VMG7"/>
      <c r="VMK7"/>
      <c r="VMO7"/>
      <c r="VMS7"/>
      <c r="VMW7"/>
      <c r="VNA7"/>
      <c r="VNE7"/>
      <c r="VNI7"/>
      <c r="VNM7"/>
      <c r="VNQ7"/>
      <c r="VNU7"/>
      <c r="VNY7"/>
      <c r="VOC7"/>
      <c r="VOG7"/>
      <c r="VOK7"/>
      <c r="VOO7"/>
      <c r="VOS7"/>
      <c r="VOW7"/>
      <c r="VPA7"/>
      <c r="VPE7"/>
      <c r="VPI7"/>
      <c r="VPM7"/>
      <c r="VPQ7"/>
      <c r="VPU7"/>
      <c r="VPY7"/>
      <c r="VQC7"/>
      <c r="VQG7"/>
      <c r="VQK7"/>
      <c r="VQO7"/>
      <c r="VQS7"/>
      <c r="VQW7"/>
      <c r="VRA7"/>
      <c r="VRE7"/>
      <c r="VRI7"/>
      <c r="VRM7"/>
      <c r="VRQ7"/>
      <c r="VRU7"/>
      <c r="VRY7"/>
      <c r="VSC7"/>
      <c r="VSG7"/>
      <c r="VSK7"/>
      <c r="VSO7"/>
      <c r="VSS7"/>
      <c r="VSW7"/>
      <c r="VTA7"/>
      <c r="VTE7"/>
      <c r="VTI7"/>
      <c r="VTM7"/>
      <c r="VTQ7"/>
      <c r="VTU7"/>
      <c r="VTY7"/>
      <c r="VUC7"/>
      <c r="VUG7"/>
      <c r="VUK7"/>
      <c r="VUO7"/>
      <c r="VUS7"/>
      <c r="VUW7"/>
      <c r="VVA7"/>
      <c r="VVE7"/>
      <c r="VVI7"/>
      <c r="VVM7"/>
      <c r="VVQ7"/>
      <c r="VVU7"/>
      <c r="VVY7"/>
      <c r="VWC7"/>
      <c r="VWG7"/>
      <c r="VWK7"/>
      <c r="VWO7"/>
      <c r="VWS7"/>
      <c r="VWW7"/>
      <c r="VXA7"/>
      <c r="VXE7"/>
      <c r="VXI7"/>
      <c r="VXM7"/>
      <c r="VXQ7"/>
      <c r="VXU7"/>
      <c r="VXY7"/>
      <c r="VYC7"/>
      <c r="VYG7"/>
      <c r="VYK7"/>
      <c r="VYO7"/>
      <c r="VYS7"/>
      <c r="VYW7"/>
      <c r="VZA7"/>
      <c r="VZE7"/>
      <c r="VZI7"/>
      <c r="VZM7"/>
      <c r="VZQ7"/>
      <c r="VZU7"/>
      <c r="VZY7"/>
      <c r="WAC7"/>
      <c r="WAG7"/>
      <c r="WAK7"/>
      <c r="WAO7"/>
      <c r="WAS7"/>
      <c r="WAW7"/>
      <c r="WBA7"/>
      <c r="WBE7"/>
      <c r="WBI7"/>
      <c r="WBM7"/>
      <c r="WBQ7"/>
      <c r="WBU7"/>
      <c r="WBY7"/>
      <c r="WCC7"/>
      <c r="WCG7"/>
      <c r="WCK7"/>
      <c r="WCO7"/>
      <c r="WCS7"/>
      <c r="WCW7"/>
      <c r="WDA7"/>
      <c r="WDE7"/>
      <c r="WDI7"/>
      <c r="WDM7"/>
      <c r="WDQ7"/>
      <c r="WDU7"/>
      <c r="WDY7"/>
      <c r="WEC7"/>
      <c r="WEG7"/>
      <c r="WEK7"/>
      <c r="WEO7"/>
      <c r="WES7"/>
      <c r="WEW7"/>
      <c r="WFA7"/>
      <c r="WFE7"/>
      <c r="WFI7"/>
      <c r="WFM7"/>
      <c r="WFQ7"/>
      <c r="WFU7"/>
      <c r="WFY7"/>
      <c r="WGC7"/>
      <c r="WGG7"/>
      <c r="WGK7"/>
      <c r="WGO7"/>
      <c r="WGS7"/>
      <c r="WGW7"/>
      <c r="WHA7"/>
      <c r="WHE7"/>
      <c r="WHI7"/>
      <c r="WHM7"/>
      <c r="WHQ7"/>
      <c r="WHU7"/>
      <c r="WHY7"/>
      <c r="WIC7"/>
      <c r="WIG7"/>
      <c r="WIK7"/>
      <c r="WIO7"/>
      <c r="WIS7"/>
      <c r="WIW7"/>
      <c r="WJA7"/>
      <c r="WJE7"/>
      <c r="WJI7"/>
      <c r="WJM7"/>
      <c r="WJQ7"/>
      <c r="WJU7"/>
      <c r="WJY7"/>
      <c r="WKC7"/>
      <c r="WKG7"/>
      <c r="WKK7"/>
      <c r="WKO7"/>
      <c r="WKS7"/>
      <c r="WKW7"/>
      <c r="WLA7"/>
      <c r="WLE7"/>
      <c r="WLI7"/>
      <c r="WLM7"/>
      <c r="WLQ7"/>
      <c r="WLU7"/>
      <c r="WLY7"/>
      <c r="WMC7"/>
      <c r="WMG7"/>
      <c r="WMK7"/>
      <c r="WMO7"/>
      <c r="WMS7"/>
      <c r="WMW7"/>
      <c r="WNA7"/>
      <c r="WNE7"/>
      <c r="WNI7"/>
      <c r="WNM7"/>
      <c r="WNQ7"/>
      <c r="WNU7"/>
      <c r="WNY7"/>
      <c r="WOC7"/>
      <c r="WOG7"/>
      <c r="WOK7"/>
      <c r="WOO7"/>
      <c r="WOS7"/>
      <c r="WOW7"/>
      <c r="WPA7"/>
      <c r="WPE7"/>
      <c r="WPI7"/>
      <c r="WPM7"/>
      <c r="WPQ7"/>
      <c r="WPU7"/>
      <c r="WPY7"/>
      <c r="WQC7"/>
      <c r="WQG7"/>
      <c r="WQK7"/>
      <c r="WQO7"/>
      <c r="WQS7"/>
      <c r="WQW7"/>
      <c r="WRA7"/>
      <c r="WRE7"/>
      <c r="WRI7"/>
      <c r="WRM7"/>
      <c r="WRQ7"/>
      <c r="WRU7"/>
      <c r="WRY7"/>
      <c r="WSC7"/>
      <c r="WSG7"/>
      <c r="WSK7"/>
      <c r="WSO7"/>
      <c r="WSS7"/>
      <c r="WSW7"/>
      <c r="WTA7"/>
      <c r="WTE7"/>
      <c r="WTI7"/>
      <c r="WTM7"/>
      <c r="WTQ7"/>
      <c r="WTU7"/>
      <c r="WTY7"/>
      <c r="WUC7"/>
      <c r="WUG7"/>
      <c r="WUK7"/>
      <c r="WUO7"/>
      <c r="WUS7"/>
      <c r="WUW7"/>
      <c r="WVA7"/>
      <c r="WVE7"/>
      <c r="WVI7"/>
      <c r="WVM7"/>
      <c r="WVQ7"/>
      <c r="WVU7"/>
      <c r="WVY7"/>
      <c r="WWC7"/>
      <c r="WWG7"/>
      <c r="WWK7"/>
      <c r="WWO7"/>
      <c r="WWS7"/>
      <c r="WWW7"/>
      <c r="WXA7"/>
      <c r="WXE7"/>
      <c r="WXI7"/>
      <c r="WXM7"/>
      <c r="WXQ7"/>
      <c r="WXU7"/>
      <c r="WXY7"/>
      <c r="WYC7"/>
      <c r="WYG7"/>
      <c r="WYK7"/>
      <c r="WYO7"/>
      <c r="WYS7"/>
      <c r="WYW7"/>
      <c r="WZA7"/>
      <c r="WZE7"/>
      <c r="WZI7"/>
      <c r="WZM7"/>
      <c r="WZQ7"/>
      <c r="WZU7"/>
      <c r="WZY7"/>
      <c r="XAC7"/>
      <c r="XAG7"/>
      <c r="XAK7"/>
      <c r="XAO7"/>
      <c r="XAS7"/>
      <c r="XAW7"/>
      <c r="XBA7"/>
      <c r="XBE7"/>
      <c r="XBI7"/>
      <c r="XBM7"/>
      <c r="XBQ7"/>
      <c r="XBU7"/>
      <c r="XBY7"/>
      <c r="XCC7"/>
      <c r="XCG7"/>
      <c r="XCK7"/>
      <c r="XCO7"/>
      <c r="XCS7"/>
      <c r="XCW7"/>
      <c r="XDA7"/>
      <c r="XDE7"/>
      <c r="XDI7"/>
      <c r="XDM7"/>
      <c r="XDQ7"/>
      <c r="XDU7"/>
      <c r="XDY7"/>
      <c r="XEC7"/>
      <c r="XEG7"/>
      <c r="XEK7"/>
      <c r="XEO7"/>
      <c r="XES7"/>
      <c r="XEW7"/>
      <c r="XFA7"/>
    </row>
    <row r="8" spans="1:1021 1025:2045 2049:3069 3073:4093 4097:5117 5121:6141 6145:7165 7169:8189 8193:9213 9217:10237 10241:11261 11265:12285 12289:13309 13313:14333 14337:15357 15361:16381" s="1" customFormat="1" ht="17.5" x14ac:dyDescent="0.35">
      <c r="A8" s="21">
        <v>1</v>
      </c>
      <c r="B8" s="21">
        <v>4</v>
      </c>
      <c r="C8" s="1" t="str">
        <f xml:space="preserve"> IF('Master Player List'!L6=1,'Master Player List'!C6,"")</f>
        <v xml:space="preserve">Lambert, Jeff </v>
      </c>
      <c r="D8" s="1" t="str">
        <f xml:space="preserve"> IF('Master Player List'!L6=1,'Master Player List'!F6,"")</f>
        <v xml:space="preserve">White, Jason </v>
      </c>
      <c r="E8" s="21">
        <f xml:space="preserve"> IF('Master Player List'!L6=1,'Master Player List'!I6,"")</f>
        <v>1.8</v>
      </c>
      <c r="F8" s="22"/>
      <c r="I8" s="21"/>
      <c r="J8" s="22"/>
      <c r="M8" t="s">
        <v>468</v>
      </c>
      <c r="O8" s="44"/>
      <c r="Q8"/>
      <c r="U8"/>
      <c r="Y8"/>
      <c r="AC8"/>
      <c r="AG8"/>
      <c r="AK8"/>
      <c r="AO8"/>
      <c r="AS8"/>
      <c r="AW8"/>
      <c r="BA8"/>
      <c r="BE8"/>
      <c r="BI8"/>
      <c r="BM8"/>
      <c r="BQ8"/>
      <c r="BU8"/>
      <c r="BY8"/>
      <c r="CC8"/>
      <c r="CG8"/>
      <c r="CK8"/>
      <c r="CO8"/>
      <c r="CS8"/>
      <c r="CW8"/>
      <c r="DA8"/>
      <c r="DE8"/>
      <c r="DI8"/>
      <c r="DM8"/>
      <c r="DQ8"/>
      <c r="DU8"/>
      <c r="DY8"/>
      <c r="EC8"/>
      <c r="EG8"/>
      <c r="EK8"/>
      <c r="EO8"/>
      <c r="ES8"/>
      <c r="EW8"/>
      <c r="FA8"/>
      <c r="FE8"/>
      <c r="FI8"/>
      <c r="FM8"/>
      <c r="FQ8"/>
      <c r="FU8"/>
      <c r="FY8"/>
      <c r="GC8"/>
      <c r="GG8"/>
      <c r="GK8"/>
      <c r="GO8"/>
      <c r="GS8"/>
      <c r="GW8"/>
      <c r="HA8"/>
      <c r="HE8"/>
      <c r="HI8"/>
      <c r="HM8"/>
      <c r="HQ8"/>
      <c r="HU8"/>
      <c r="HY8"/>
      <c r="IC8"/>
      <c r="IG8"/>
      <c r="IK8"/>
      <c r="IO8"/>
      <c r="IS8"/>
      <c r="IW8"/>
      <c r="JA8"/>
      <c r="JE8"/>
      <c r="JI8"/>
      <c r="JM8"/>
      <c r="JQ8"/>
      <c r="JU8"/>
      <c r="JY8"/>
      <c r="KC8"/>
      <c r="KG8"/>
      <c r="KK8"/>
      <c r="KO8"/>
      <c r="KS8"/>
      <c r="KW8"/>
      <c r="LA8"/>
      <c r="LE8"/>
      <c r="LI8"/>
      <c r="LM8"/>
      <c r="LQ8"/>
      <c r="LU8"/>
      <c r="LY8"/>
      <c r="MC8"/>
      <c r="MG8"/>
      <c r="MK8"/>
      <c r="MO8"/>
      <c r="MS8"/>
      <c r="MW8"/>
      <c r="NA8"/>
      <c r="NE8"/>
      <c r="NI8"/>
      <c r="NM8"/>
      <c r="NQ8"/>
      <c r="NU8"/>
      <c r="NY8"/>
      <c r="OC8"/>
      <c r="OG8"/>
      <c r="OK8"/>
      <c r="OO8"/>
      <c r="OS8"/>
      <c r="OW8"/>
      <c r="PA8"/>
      <c r="PE8"/>
      <c r="PI8"/>
      <c r="PM8"/>
      <c r="PQ8"/>
      <c r="PU8"/>
      <c r="PY8"/>
      <c r="QC8"/>
      <c r="QG8"/>
      <c r="QK8"/>
      <c r="QO8"/>
      <c r="QS8"/>
      <c r="QW8"/>
      <c r="RA8"/>
      <c r="RE8"/>
      <c r="RI8"/>
      <c r="RM8"/>
      <c r="RQ8"/>
      <c r="RU8"/>
      <c r="RY8"/>
      <c r="SC8"/>
      <c r="SG8"/>
      <c r="SK8"/>
      <c r="SO8"/>
      <c r="SS8"/>
      <c r="SW8"/>
      <c r="TA8"/>
      <c r="TE8"/>
      <c r="TI8"/>
      <c r="TM8"/>
      <c r="TQ8"/>
      <c r="TU8"/>
      <c r="TY8"/>
      <c r="UC8"/>
      <c r="UG8"/>
      <c r="UK8"/>
      <c r="UO8"/>
      <c r="US8"/>
      <c r="UW8"/>
      <c r="VA8"/>
      <c r="VE8"/>
      <c r="VI8"/>
      <c r="VM8"/>
      <c r="VQ8"/>
      <c r="VU8"/>
      <c r="VY8"/>
      <c r="WC8"/>
      <c r="WG8"/>
      <c r="WK8"/>
      <c r="WO8"/>
      <c r="WS8"/>
      <c r="WW8"/>
      <c r="XA8"/>
      <c r="XE8"/>
      <c r="XI8"/>
      <c r="XM8"/>
      <c r="XQ8"/>
      <c r="XU8"/>
      <c r="XY8"/>
      <c r="YC8"/>
      <c r="YG8"/>
      <c r="YK8"/>
      <c r="YO8"/>
      <c r="YS8"/>
      <c r="YW8"/>
      <c r="ZA8"/>
      <c r="ZE8"/>
      <c r="ZI8"/>
      <c r="ZM8"/>
      <c r="ZQ8"/>
      <c r="ZU8"/>
      <c r="ZY8"/>
      <c r="AAC8"/>
      <c r="AAG8"/>
      <c r="AAK8"/>
      <c r="AAO8"/>
      <c r="AAS8"/>
      <c r="AAW8"/>
      <c r="ABA8"/>
      <c r="ABE8"/>
      <c r="ABI8"/>
      <c r="ABM8"/>
      <c r="ABQ8"/>
      <c r="ABU8"/>
      <c r="ABY8"/>
      <c r="ACC8"/>
      <c r="ACG8"/>
      <c r="ACK8"/>
      <c r="ACO8"/>
      <c r="ACS8"/>
      <c r="ACW8"/>
      <c r="ADA8"/>
      <c r="ADE8"/>
      <c r="ADI8"/>
      <c r="ADM8"/>
      <c r="ADQ8"/>
      <c r="ADU8"/>
      <c r="ADY8"/>
      <c r="AEC8"/>
      <c r="AEG8"/>
      <c r="AEK8"/>
      <c r="AEO8"/>
      <c r="AES8"/>
      <c r="AEW8"/>
      <c r="AFA8"/>
      <c r="AFE8"/>
      <c r="AFI8"/>
      <c r="AFM8"/>
      <c r="AFQ8"/>
      <c r="AFU8"/>
      <c r="AFY8"/>
      <c r="AGC8"/>
      <c r="AGG8"/>
      <c r="AGK8"/>
      <c r="AGO8"/>
      <c r="AGS8"/>
      <c r="AGW8"/>
      <c r="AHA8"/>
      <c r="AHE8"/>
      <c r="AHI8"/>
      <c r="AHM8"/>
      <c r="AHQ8"/>
      <c r="AHU8"/>
      <c r="AHY8"/>
      <c r="AIC8"/>
      <c r="AIG8"/>
      <c r="AIK8"/>
      <c r="AIO8"/>
      <c r="AIS8"/>
      <c r="AIW8"/>
      <c r="AJA8"/>
      <c r="AJE8"/>
      <c r="AJI8"/>
      <c r="AJM8"/>
      <c r="AJQ8"/>
      <c r="AJU8"/>
      <c r="AJY8"/>
      <c r="AKC8"/>
      <c r="AKG8"/>
      <c r="AKK8"/>
      <c r="AKO8"/>
      <c r="AKS8"/>
      <c r="AKW8"/>
      <c r="ALA8"/>
      <c r="ALE8"/>
      <c r="ALI8"/>
      <c r="ALM8"/>
      <c r="ALQ8"/>
      <c r="ALU8"/>
      <c r="ALY8"/>
      <c r="AMC8"/>
      <c r="AMG8"/>
      <c r="AMK8"/>
      <c r="AMO8"/>
      <c r="AMS8"/>
      <c r="AMW8"/>
      <c r="ANA8"/>
      <c r="ANE8"/>
      <c r="ANI8"/>
      <c r="ANM8"/>
      <c r="ANQ8"/>
      <c r="ANU8"/>
      <c r="ANY8"/>
      <c r="AOC8"/>
      <c r="AOG8"/>
      <c r="AOK8"/>
      <c r="AOO8"/>
      <c r="AOS8"/>
      <c r="AOW8"/>
      <c r="APA8"/>
      <c r="APE8"/>
      <c r="API8"/>
      <c r="APM8"/>
      <c r="APQ8"/>
      <c r="APU8"/>
      <c r="APY8"/>
      <c r="AQC8"/>
      <c r="AQG8"/>
      <c r="AQK8"/>
      <c r="AQO8"/>
      <c r="AQS8"/>
      <c r="AQW8"/>
      <c r="ARA8"/>
      <c r="ARE8"/>
      <c r="ARI8"/>
      <c r="ARM8"/>
      <c r="ARQ8"/>
      <c r="ARU8"/>
      <c r="ARY8"/>
      <c r="ASC8"/>
      <c r="ASG8"/>
      <c r="ASK8"/>
      <c r="ASO8"/>
      <c r="ASS8"/>
      <c r="ASW8"/>
      <c r="ATA8"/>
      <c r="ATE8"/>
      <c r="ATI8"/>
      <c r="ATM8"/>
      <c r="ATQ8"/>
      <c r="ATU8"/>
      <c r="ATY8"/>
      <c r="AUC8"/>
      <c r="AUG8"/>
      <c r="AUK8"/>
      <c r="AUO8"/>
      <c r="AUS8"/>
      <c r="AUW8"/>
      <c r="AVA8"/>
      <c r="AVE8"/>
      <c r="AVI8"/>
      <c r="AVM8"/>
      <c r="AVQ8"/>
      <c r="AVU8"/>
      <c r="AVY8"/>
      <c r="AWC8"/>
      <c r="AWG8"/>
      <c r="AWK8"/>
      <c r="AWO8"/>
      <c r="AWS8"/>
      <c r="AWW8"/>
      <c r="AXA8"/>
      <c r="AXE8"/>
      <c r="AXI8"/>
      <c r="AXM8"/>
      <c r="AXQ8"/>
      <c r="AXU8"/>
      <c r="AXY8"/>
      <c r="AYC8"/>
      <c r="AYG8"/>
      <c r="AYK8"/>
      <c r="AYO8"/>
      <c r="AYS8"/>
      <c r="AYW8"/>
      <c r="AZA8"/>
      <c r="AZE8"/>
      <c r="AZI8"/>
      <c r="AZM8"/>
      <c r="AZQ8"/>
      <c r="AZU8"/>
      <c r="AZY8"/>
      <c r="BAC8"/>
      <c r="BAG8"/>
      <c r="BAK8"/>
      <c r="BAO8"/>
      <c r="BAS8"/>
      <c r="BAW8"/>
      <c r="BBA8"/>
      <c r="BBE8"/>
      <c r="BBI8"/>
      <c r="BBM8"/>
      <c r="BBQ8"/>
      <c r="BBU8"/>
      <c r="BBY8"/>
      <c r="BCC8"/>
      <c r="BCG8"/>
      <c r="BCK8"/>
      <c r="BCO8"/>
      <c r="BCS8"/>
      <c r="BCW8"/>
      <c r="BDA8"/>
      <c r="BDE8"/>
      <c r="BDI8"/>
      <c r="BDM8"/>
      <c r="BDQ8"/>
      <c r="BDU8"/>
      <c r="BDY8"/>
      <c r="BEC8"/>
      <c r="BEG8"/>
      <c r="BEK8"/>
      <c r="BEO8"/>
      <c r="BES8"/>
      <c r="BEW8"/>
      <c r="BFA8"/>
      <c r="BFE8"/>
      <c r="BFI8"/>
      <c r="BFM8"/>
      <c r="BFQ8"/>
      <c r="BFU8"/>
      <c r="BFY8"/>
      <c r="BGC8"/>
      <c r="BGG8"/>
      <c r="BGK8"/>
      <c r="BGO8"/>
      <c r="BGS8"/>
      <c r="BGW8"/>
      <c r="BHA8"/>
      <c r="BHE8"/>
      <c r="BHI8"/>
      <c r="BHM8"/>
      <c r="BHQ8"/>
      <c r="BHU8"/>
      <c r="BHY8"/>
      <c r="BIC8"/>
      <c r="BIG8"/>
      <c r="BIK8"/>
      <c r="BIO8"/>
      <c r="BIS8"/>
      <c r="BIW8"/>
      <c r="BJA8"/>
      <c r="BJE8"/>
      <c r="BJI8"/>
      <c r="BJM8"/>
      <c r="BJQ8"/>
      <c r="BJU8"/>
      <c r="BJY8"/>
      <c r="BKC8"/>
      <c r="BKG8"/>
      <c r="BKK8"/>
      <c r="BKO8"/>
      <c r="BKS8"/>
      <c r="BKW8"/>
      <c r="BLA8"/>
      <c r="BLE8"/>
      <c r="BLI8"/>
      <c r="BLM8"/>
      <c r="BLQ8"/>
      <c r="BLU8"/>
      <c r="BLY8"/>
      <c r="BMC8"/>
      <c r="BMG8"/>
      <c r="BMK8"/>
      <c r="BMO8"/>
      <c r="BMS8"/>
      <c r="BMW8"/>
      <c r="BNA8"/>
      <c r="BNE8"/>
      <c r="BNI8"/>
      <c r="BNM8"/>
      <c r="BNQ8"/>
      <c r="BNU8"/>
      <c r="BNY8"/>
      <c r="BOC8"/>
      <c r="BOG8"/>
      <c r="BOK8"/>
      <c r="BOO8"/>
      <c r="BOS8"/>
      <c r="BOW8"/>
      <c r="BPA8"/>
      <c r="BPE8"/>
      <c r="BPI8"/>
      <c r="BPM8"/>
      <c r="BPQ8"/>
      <c r="BPU8"/>
      <c r="BPY8"/>
      <c r="BQC8"/>
      <c r="BQG8"/>
      <c r="BQK8"/>
      <c r="BQO8"/>
      <c r="BQS8"/>
      <c r="BQW8"/>
      <c r="BRA8"/>
      <c r="BRE8"/>
      <c r="BRI8"/>
      <c r="BRM8"/>
      <c r="BRQ8"/>
      <c r="BRU8"/>
      <c r="BRY8"/>
      <c r="BSC8"/>
      <c r="BSG8"/>
      <c r="BSK8"/>
      <c r="BSO8"/>
      <c r="BSS8"/>
      <c r="BSW8"/>
      <c r="BTA8"/>
      <c r="BTE8"/>
      <c r="BTI8"/>
      <c r="BTM8"/>
      <c r="BTQ8"/>
      <c r="BTU8"/>
      <c r="BTY8"/>
      <c r="BUC8"/>
      <c r="BUG8"/>
      <c r="BUK8"/>
      <c r="BUO8"/>
      <c r="BUS8"/>
      <c r="BUW8"/>
      <c r="BVA8"/>
      <c r="BVE8"/>
      <c r="BVI8"/>
      <c r="BVM8"/>
      <c r="BVQ8"/>
      <c r="BVU8"/>
      <c r="BVY8"/>
      <c r="BWC8"/>
      <c r="BWG8"/>
      <c r="BWK8"/>
      <c r="BWO8"/>
      <c r="BWS8"/>
      <c r="BWW8"/>
      <c r="BXA8"/>
      <c r="BXE8"/>
      <c r="BXI8"/>
      <c r="BXM8"/>
      <c r="BXQ8"/>
      <c r="BXU8"/>
      <c r="BXY8"/>
      <c r="BYC8"/>
      <c r="BYG8"/>
      <c r="BYK8"/>
      <c r="BYO8"/>
      <c r="BYS8"/>
      <c r="BYW8"/>
      <c r="BZA8"/>
      <c r="BZE8"/>
      <c r="BZI8"/>
      <c r="BZM8"/>
      <c r="BZQ8"/>
      <c r="BZU8"/>
      <c r="BZY8"/>
      <c r="CAC8"/>
      <c r="CAG8"/>
      <c r="CAK8"/>
      <c r="CAO8"/>
      <c r="CAS8"/>
      <c r="CAW8"/>
      <c r="CBA8"/>
      <c r="CBE8"/>
      <c r="CBI8"/>
      <c r="CBM8"/>
      <c r="CBQ8"/>
      <c r="CBU8"/>
      <c r="CBY8"/>
      <c r="CCC8"/>
      <c r="CCG8"/>
      <c r="CCK8"/>
      <c r="CCO8"/>
      <c r="CCS8"/>
      <c r="CCW8"/>
      <c r="CDA8"/>
      <c r="CDE8"/>
      <c r="CDI8"/>
      <c r="CDM8"/>
      <c r="CDQ8"/>
      <c r="CDU8"/>
      <c r="CDY8"/>
      <c r="CEC8"/>
      <c r="CEG8"/>
      <c r="CEK8"/>
      <c r="CEO8"/>
      <c r="CES8"/>
      <c r="CEW8"/>
      <c r="CFA8"/>
      <c r="CFE8"/>
      <c r="CFI8"/>
      <c r="CFM8"/>
      <c r="CFQ8"/>
      <c r="CFU8"/>
      <c r="CFY8"/>
      <c r="CGC8"/>
      <c r="CGG8"/>
      <c r="CGK8"/>
      <c r="CGO8"/>
      <c r="CGS8"/>
      <c r="CGW8"/>
      <c r="CHA8"/>
      <c r="CHE8"/>
      <c r="CHI8"/>
      <c r="CHM8"/>
      <c r="CHQ8"/>
      <c r="CHU8"/>
      <c r="CHY8"/>
      <c r="CIC8"/>
      <c r="CIG8"/>
      <c r="CIK8"/>
      <c r="CIO8"/>
      <c r="CIS8"/>
      <c r="CIW8"/>
      <c r="CJA8"/>
      <c r="CJE8"/>
      <c r="CJI8"/>
      <c r="CJM8"/>
      <c r="CJQ8"/>
      <c r="CJU8"/>
      <c r="CJY8"/>
      <c r="CKC8"/>
      <c r="CKG8"/>
      <c r="CKK8"/>
      <c r="CKO8"/>
      <c r="CKS8"/>
      <c r="CKW8"/>
      <c r="CLA8"/>
      <c r="CLE8"/>
      <c r="CLI8"/>
      <c r="CLM8"/>
      <c r="CLQ8"/>
      <c r="CLU8"/>
      <c r="CLY8"/>
      <c r="CMC8"/>
      <c r="CMG8"/>
      <c r="CMK8"/>
      <c r="CMO8"/>
      <c r="CMS8"/>
      <c r="CMW8"/>
      <c r="CNA8"/>
      <c r="CNE8"/>
      <c r="CNI8"/>
      <c r="CNM8"/>
      <c r="CNQ8"/>
      <c r="CNU8"/>
      <c r="CNY8"/>
      <c r="COC8"/>
      <c r="COG8"/>
      <c r="COK8"/>
      <c r="COO8"/>
      <c r="COS8"/>
      <c r="COW8"/>
      <c r="CPA8"/>
      <c r="CPE8"/>
      <c r="CPI8"/>
      <c r="CPM8"/>
      <c r="CPQ8"/>
      <c r="CPU8"/>
      <c r="CPY8"/>
      <c r="CQC8"/>
      <c r="CQG8"/>
      <c r="CQK8"/>
      <c r="CQO8"/>
      <c r="CQS8"/>
      <c r="CQW8"/>
      <c r="CRA8"/>
      <c r="CRE8"/>
      <c r="CRI8"/>
      <c r="CRM8"/>
      <c r="CRQ8"/>
      <c r="CRU8"/>
      <c r="CRY8"/>
      <c r="CSC8"/>
      <c r="CSG8"/>
      <c r="CSK8"/>
      <c r="CSO8"/>
      <c r="CSS8"/>
      <c r="CSW8"/>
      <c r="CTA8"/>
      <c r="CTE8"/>
      <c r="CTI8"/>
      <c r="CTM8"/>
      <c r="CTQ8"/>
      <c r="CTU8"/>
      <c r="CTY8"/>
      <c r="CUC8"/>
      <c r="CUG8"/>
      <c r="CUK8"/>
      <c r="CUO8"/>
      <c r="CUS8"/>
      <c r="CUW8"/>
      <c r="CVA8"/>
      <c r="CVE8"/>
      <c r="CVI8"/>
      <c r="CVM8"/>
      <c r="CVQ8"/>
      <c r="CVU8"/>
      <c r="CVY8"/>
      <c r="CWC8"/>
      <c r="CWG8"/>
      <c r="CWK8"/>
      <c r="CWO8"/>
      <c r="CWS8"/>
      <c r="CWW8"/>
      <c r="CXA8"/>
      <c r="CXE8"/>
      <c r="CXI8"/>
      <c r="CXM8"/>
      <c r="CXQ8"/>
      <c r="CXU8"/>
      <c r="CXY8"/>
      <c r="CYC8"/>
      <c r="CYG8"/>
      <c r="CYK8"/>
      <c r="CYO8"/>
      <c r="CYS8"/>
      <c r="CYW8"/>
      <c r="CZA8"/>
      <c r="CZE8"/>
      <c r="CZI8"/>
      <c r="CZM8"/>
      <c r="CZQ8"/>
      <c r="CZU8"/>
      <c r="CZY8"/>
      <c r="DAC8"/>
      <c r="DAG8"/>
      <c r="DAK8"/>
      <c r="DAO8"/>
      <c r="DAS8"/>
      <c r="DAW8"/>
      <c r="DBA8"/>
      <c r="DBE8"/>
      <c r="DBI8"/>
      <c r="DBM8"/>
      <c r="DBQ8"/>
      <c r="DBU8"/>
      <c r="DBY8"/>
      <c r="DCC8"/>
      <c r="DCG8"/>
      <c r="DCK8"/>
      <c r="DCO8"/>
      <c r="DCS8"/>
      <c r="DCW8"/>
      <c r="DDA8"/>
      <c r="DDE8"/>
      <c r="DDI8"/>
      <c r="DDM8"/>
      <c r="DDQ8"/>
      <c r="DDU8"/>
      <c r="DDY8"/>
      <c r="DEC8"/>
      <c r="DEG8"/>
      <c r="DEK8"/>
      <c r="DEO8"/>
      <c r="DES8"/>
      <c r="DEW8"/>
      <c r="DFA8"/>
      <c r="DFE8"/>
      <c r="DFI8"/>
      <c r="DFM8"/>
      <c r="DFQ8"/>
      <c r="DFU8"/>
      <c r="DFY8"/>
      <c r="DGC8"/>
      <c r="DGG8"/>
      <c r="DGK8"/>
      <c r="DGO8"/>
      <c r="DGS8"/>
      <c r="DGW8"/>
      <c r="DHA8"/>
      <c r="DHE8"/>
      <c r="DHI8"/>
      <c r="DHM8"/>
      <c r="DHQ8"/>
      <c r="DHU8"/>
      <c r="DHY8"/>
      <c r="DIC8"/>
      <c r="DIG8"/>
      <c r="DIK8"/>
      <c r="DIO8"/>
      <c r="DIS8"/>
      <c r="DIW8"/>
      <c r="DJA8"/>
      <c r="DJE8"/>
      <c r="DJI8"/>
      <c r="DJM8"/>
      <c r="DJQ8"/>
      <c r="DJU8"/>
      <c r="DJY8"/>
      <c r="DKC8"/>
      <c r="DKG8"/>
      <c r="DKK8"/>
      <c r="DKO8"/>
      <c r="DKS8"/>
      <c r="DKW8"/>
      <c r="DLA8"/>
      <c r="DLE8"/>
      <c r="DLI8"/>
      <c r="DLM8"/>
      <c r="DLQ8"/>
      <c r="DLU8"/>
      <c r="DLY8"/>
      <c r="DMC8"/>
      <c r="DMG8"/>
      <c r="DMK8"/>
      <c r="DMO8"/>
      <c r="DMS8"/>
      <c r="DMW8"/>
      <c r="DNA8"/>
      <c r="DNE8"/>
      <c r="DNI8"/>
      <c r="DNM8"/>
      <c r="DNQ8"/>
      <c r="DNU8"/>
      <c r="DNY8"/>
      <c r="DOC8"/>
      <c r="DOG8"/>
      <c r="DOK8"/>
      <c r="DOO8"/>
      <c r="DOS8"/>
      <c r="DOW8"/>
      <c r="DPA8"/>
      <c r="DPE8"/>
      <c r="DPI8"/>
      <c r="DPM8"/>
      <c r="DPQ8"/>
      <c r="DPU8"/>
      <c r="DPY8"/>
      <c r="DQC8"/>
      <c r="DQG8"/>
      <c r="DQK8"/>
      <c r="DQO8"/>
      <c r="DQS8"/>
      <c r="DQW8"/>
      <c r="DRA8"/>
      <c r="DRE8"/>
      <c r="DRI8"/>
      <c r="DRM8"/>
      <c r="DRQ8"/>
      <c r="DRU8"/>
      <c r="DRY8"/>
      <c r="DSC8"/>
      <c r="DSG8"/>
      <c r="DSK8"/>
      <c r="DSO8"/>
      <c r="DSS8"/>
      <c r="DSW8"/>
      <c r="DTA8"/>
      <c r="DTE8"/>
      <c r="DTI8"/>
      <c r="DTM8"/>
      <c r="DTQ8"/>
      <c r="DTU8"/>
      <c r="DTY8"/>
      <c r="DUC8"/>
      <c r="DUG8"/>
      <c r="DUK8"/>
      <c r="DUO8"/>
      <c r="DUS8"/>
      <c r="DUW8"/>
      <c r="DVA8"/>
      <c r="DVE8"/>
      <c r="DVI8"/>
      <c r="DVM8"/>
      <c r="DVQ8"/>
      <c r="DVU8"/>
      <c r="DVY8"/>
      <c r="DWC8"/>
      <c r="DWG8"/>
      <c r="DWK8"/>
      <c r="DWO8"/>
      <c r="DWS8"/>
      <c r="DWW8"/>
      <c r="DXA8"/>
      <c r="DXE8"/>
      <c r="DXI8"/>
      <c r="DXM8"/>
      <c r="DXQ8"/>
      <c r="DXU8"/>
      <c r="DXY8"/>
      <c r="DYC8"/>
      <c r="DYG8"/>
      <c r="DYK8"/>
      <c r="DYO8"/>
      <c r="DYS8"/>
      <c r="DYW8"/>
      <c r="DZA8"/>
      <c r="DZE8"/>
      <c r="DZI8"/>
      <c r="DZM8"/>
      <c r="DZQ8"/>
      <c r="DZU8"/>
      <c r="DZY8"/>
      <c r="EAC8"/>
      <c r="EAG8"/>
      <c r="EAK8"/>
      <c r="EAO8"/>
      <c r="EAS8"/>
      <c r="EAW8"/>
      <c r="EBA8"/>
      <c r="EBE8"/>
      <c r="EBI8"/>
      <c r="EBM8"/>
      <c r="EBQ8"/>
      <c r="EBU8"/>
      <c r="EBY8"/>
      <c r="ECC8"/>
      <c r="ECG8"/>
      <c r="ECK8"/>
      <c r="ECO8"/>
      <c r="ECS8"/>
      <c r="ECW8"/>
      <c r="EDA8"/>
      <c r="EDE8"/>
      <c r="EDI8"/>
      <c r="EDM8"/>
      <c r="EDQ8"/>
      <c r="EDU8"/>
      <c r="EDY8"/>
      <c r="EEC8"/>
      <c r="EEG8"/>
      <c r="EEK8"/>
      <c r="EEO8"/>
      <c r="EES8"/>
      <c r="EEW8"/>
      <c r="EFA8"/>
      <c r="EFE8"/>
      <c r="EFI8"/>
      <c r="EFM8"/>
      <c r="EFQ8"/>
      <c r="EFU8"/>
      <c r="EFY8"/>
      <c r="EGC8"/>
      <c r="EGG8"/>
      <c r="EGK8"/>
      <c r="EGO8"/>
      <c r="EGS8"/>
      <c r="EGW8"/>
      <c r="EHA8"/>
      <c r="EHE8"/>
      <c r="EHI8"/>
      <c r="EHM8"/>
      <c r="EHQ8"/>
      <c r="EHU8"/>
      <c r="EHY8"/>
      <c r="EIC8"/>
      <c r="EIG8"/>
      <c r="EIK8"/>
      <c r="EIO8"/>
      <c r="EIS8"/>
      <c r="EIW8"/>
      <c r="EJA8"/>
      <c r="EJE8"/>
      <c r="EJI8"/>
      <c r="EJM8"/>
      <c r="EJQ8"/>
      <c r="EJU8"/>
      <c r="EJY8"/>
      <c r="EKC8"/>
      <c r="EKG8"/>
      <c r="EKK8"/>
      <c r="EKO8"/>
      <c r="EKS8"/>
      <c r="EKW8"/>
      <c r="ELA8"/>
      <c r="ELE8"/>
      <c r="ELI8"/>
      <c r="ELM8"/>
      <c r="ELQ8"/>
      <c r="ELU8"/>
      <c r="ELY8"/>
      <c r="EMC8"/>
      <c r="EMG8"/>
      <c r="EMK8"/>
      <c r="EMO8"/>
      <c r="EMS8"/>
      <c r="EMW8"/>
      <c r="ENA8"/>
      <c r="ENE8"/>
      <c r="ENI8"/>
      <c r="ENM8"/>
      <c r="ENQ8"/>
      <c r="ENU8"/>
      <c r="ENY8"/>
      <c r="EOC8"/>
      <c r="EOG8"/>
      <c r="EOK8"/>
      <c r="EOO8"/>
      <c r="EOS8"/>
      <c r="EOW8"/>
      <c r="EPA8"/>
      <c r="EPE8"/>
      <c r="EPI8"/>
      <c r="EPM8"/>
      <c r="EPQ8"/>
      <c r="EPU8"/>
      <c r="EPY8"/>
      <c r="EQC8"/>
      <c r="EQG8"/>
      <c r="EQK8"/>
      <c r="EQO8"/>
      <c r="EQS8"/>
      <c r="EQW8"/>
      <c r="ERA8"/>
      <c r="ERE8"/>
      <c r="ERI8"/>
      <c r="ERM8"/>
      <c r="ERQ8"/>
      <c r="ERU8"/>
      <c r="ERY8"/>
      <c r="ESC8"/>
      <c r="ESG8"/>
      <c r="ESK8"/>
      <c r="ESO8"/>
      <c r="ESS8"/>
      <c r="ESW8"/>
      <c r="ETA8"/>
      <c r="ETE8"/>
      <c r="ETI8"/>
      <c r="ETM8"/>
      <c r="ETQ8"/>
      <c r="ETU8"/>
      <c r="ETY8"/>
      <c r="EUC8"/>
      <c r="EUG8"/>
      <c r="EUK8"/>
      <c r="EUO8"/>
      <c r="EUS8"/>
      <c r="EUW8"/>
      <c r="EVA8"/>
      <c r="EVE8"/>
      <c r="EVI8"/>
      <c r="EVM8"/>
      <c r="EVQ8"/>
      <c r="EVU8"/>
      <c r="EVY8"/>
      <c r="EWC8"/>
      <c r="EWG8"/>
      <c r="EWK8"/>
      <c r="EWO8"/>
      <c r="EWS8"/>
      <c r="EWW8"/>
      <c r="EXA8"/>
      <c r="EXE8"/>
      <c r="EXI8"/>
      <c r="EXM8"/>
      <c r="EXQ8"/>
      <c r="EXU8"/>
      <c r="EXY8"/>
      <c r="EYC8"/>
      <c r="EYG8"/>
      <c r="EYK8"/>
      <c r="EYO8"/>
      <c r="EYS8"/>
      <c r="EYW8"/>
      <c r="EZA8"/>
      <c r="EZE8"/>
      <c r="EZI8"/>
      <c r="EZM8"/>
      <c r="EZQ8"/>
      <c r="EZU8"/>
      <c r="EZY8"/>
      <c r="FAC8"/>
      <c r="FAG8"/>
      <c r="FAK8"/>
      <c r="FAO8"/>
      <c r="FAS8"/>
      <c r="FAW8"/>
      <c r="FBA8"/>
      <c r="FBE8"/>
      <c r="FBI8"/>
      <c r="FBM8"/>
      <c r="FBQ8"/>
      <c r="FBU8"/>
      <c r="FBY8"/>
      <c r="FCC8"/>
      <c r="FCG8"/>
      <c r="FCK8"/>
      <c r="FCO8"/>
      <c r="FCS8"/>
      <c r="FCW8"/>
      <c r="FDA8"/>
      <c r="FDE8"/>
      <c r="FDI8"/>
      <c r="FDM8"/>
      <c r="FDQ8"/>
      <c r="FDU8"/>
      <c r="FDY8"/>
      <c r="FEC8"/>
      <c r="FEG8"/>
      <c r="FEK8"/>
      <c r="FEO8"/>
      <c r="FES8"/>
      <c r="FEW8"/>
      <c r="FFA8"/>
      <c r="FFE8"/>
      <c r="FFI8"/>
      <c r="FFM8"/>
      <c r="FFQ8"/>
      <c r="FFU8"/>
      <c r="FFY8"/>
      <c r="FGC8"/>
      <c r="FGG8"/>
      <c r="FGK8"/>
      <c r="FGO8"/>
      <c r="FGS8"/>
      <c r="FGW8"/>
      <c r="FHA8"/>
      <c r="FHE8"/>
      <c r="FHI8"/>
      <c r="FHM8"/>
      <c r="FHQ8"/>
      <c r="FHU8"/>
      <c r="FHY8"/>
      <c r="FIC8"/>
      <c r="FIG8"/>
      <c r="FIK8"/>
      <c r="FIO8"/>
      <c r="FIS8"/>
      <c r="FIW8"/>
      <c r="FJA8"/>
      <c r="FJE8"/>
      <c r="FJI8"/>
      <c r="FJM8"/>
      <c r="FJQ8"/>
      <c r="FJU8"/>
      <c r="FJY8"/>
      <c r="FKC8"/>
      <c r="FKG8"/>
      <c r="FKK8"/>
      <c r="FKO8"/>
      <c r="FKS8"/>
      <c r="FKW8"/>
      <c r="FLA8"/>
      <c r="FLE8"/>
      <c r="FLI8"/>
      <c r="FLM8"/>
      <c r="FLQ8"/>
      <c r="FLU8"/>
      <c r="FLY8"/>
      <c r="FMC8"/>
      <c r="FMG8"/>
      <c r="FMK8"/>
      <c r="FMO8"/>
      <c r="FMS8"/>
      <c r="FMW8"/>
      <c r="FNA8"/>
      <c r="FNE8"/>
      <c r="FNI8"/>
      <c r="FNM8"/>
      <c r="FNQ8"/>
      <c r="FNU8"/>
      <c r="FNY8"/>
      <c r="FOC8"/>
      <c r="FOG8"/>
      <c r="FOK8"/>
      <c r="FOO8"/>
      <c r="FOS8"/>
      <c r="FOW8"/>
      <c r="FPA8"/>
      <c r="FPE8"/>
      <c r="FPI8"/>
      <c r="FPM8"/>
      <c r="FPQ8"/>
      <c r="FPU8"/>
      <c r="FPY8"/>
      <c r="FQC8"/>
      <c r="FQG8"/>
      <c r="FQK8"/>
      <c r="FQO8"/>
      <c r="FQS8"/>
      <c r="FQW8"/>
      <c r="FRA8"/>
      <c r="FRE8"/>
      <c r="FRI8"/>
      <c r="FRM8"/>
      <c r="FRQ8"/>
      <c r="FRU8"/>
      <c r="FRY8"/>
      <c r="FSC8"/>
      <c r="FSG8"/>
      <c r="FSK8"/>
      <c r="FSO8"/>
      <c r="FSS8"/>
      <c r="FSW8"/>
      <c r="FTA8"/>
      <c r="FTE8"/>
      <c r="FTI8"/>
      <c r="FTM8"/>
      <c r="FTQ8"/>
      <c r="FTU8"/>
      <c r="FTY8"/>
      <c r="FUC8"/>
      <c r="FUG8"/>
      <c r="FUK8"/>
      <c r="FUO8"/>
      <c r="FUS8"/>
      <c r="FUW8"/>
      <c r="FVA8"/>
      <c r="FVE8"/>
      <c r="FVI8"/>
      <c r="FVM8"/>
      <c r="FVQ8"/>
      <c r="FVU8"/>
      <c r="FVY8"/>
      <c r="FWC8"/>
      <c r="FWG8"/>
      <c r="FWK8"/>
      <c r="FWO8"/>
      <c r="FWS8"/>
      <c r="FWW8"/>
      <c r="FXA8"/>
      <c r="FXE8"/>
      <c r="FXI8"/>
      <c r="FXM8"/>
      <c r="FXQ8"/>
      <c r="FXU8"/>
      <c r="FXY8"/>
      <c r="FYC8"/>
      <c r="FYG8"/>
      <c r="FYK8"/>
      <c r="FYO8"/>
      <c r="FYS8"/>
      <c r="FYW8"/>
      <c r="FZA8"/>
      <c r="FZE8"/>
      <c r="FZI8"/>
      <c r="FZM8"/>
      <c r="FZQ8"/>
      <c r="FZU8"/>
      <c r="FZY8"/>
      <c r="GAC8"/>
      <c r="GAG8"/>
      <c r="GAK8"/>
      <c r="GAO8"/>
      <c r="GAS8"/>
      <c r="GAW8"/>
      <c r="GBA8"/>
      <c r="GBE8"/>
      <c r="GBI8"/>
      <c r="GBM8"/>
      <c r="GBQ8"/>
      <c r="GBU8"/>
      <c r="GBY8"/>
      <c r="GCC8"/>
      <c r="GCG8"/>
      <c r="GCK8"/>
      <c r="GCO8"/>
      <c r="GCS8"/>
      <c r="GCW8"/>
      <c r="GDA8"/>
      <c r="GDE8"/>
      <c r="GDI8"/>
      <c r="GDM8"/>
      <c r="GDQ8"/>
      <c r="GDU8"/>
      <c r="GDY8"/>
      <c r="GEC8"/>
      <c r="GEG8"/>
      <c r="GEK8"/>
      <c r="GEO8"/>
      <c r="GES8"/>
      <c r="GEW8"/>
      <c r="GFA8"/>
      <c r="GFE8"/>
      <c r="GFI8"/>
      <c r="GFM8"/>
      <c r="GFQ8"/>
      <c r="GFU8"/>
      <c r="GFY8"/>
      <c r="GGC8"/>
      <c r="GGG8"/>
      <c r="GGK8"/>
      <c r="GGO8"/>
      <c r="GGS8"/>
      <c r="GGW8"/>
      <c r="GHA8"/>
      <c r="GHE8"/>
      <c r="GHI8"/>
      <c r="GHM8"/>
      <c r="GHQ8"/>
      <c r="GHU8"/>
      <c r="GHY8"/>
      <c r="GIC8"/>
      <c r="GIG8"/>
      <c r="GIK8"/>
      <c r="GIO8"/>
      <c r="GIS8"/>
      <c r="GIW8"/>
      <c r="GJA8"/>
      <c r="GJE8"/>
      <c r="GJI8"/>
      <c r="GJM8"/>
      <c r="GJQ8"/>
      <c r="GJU8"/>
      <c r="GJY8"/>
      <c r="GKC8"/>
      <c r="GKG8"/>
      <c r="GKK8"/>
      <c r="GKO8"/>
      <c r="GKS8"/>
      <c r="GKW8"/>
      <c r="GLA8"/>
      <c r="GLE8"/>
      <c r="GLI8"/>
      <c r="GLM8"/>
      <c r="GLQ8"/>
      <c r="GLU8"/>
      <c r="GLY8"/>
      <c r="GMC8"/>
      <c r="GMG8"/>
      <c r="GMK8"/>
      <c r="GMO8"/>
      <c r="GMS8"/>
      <c r="GMW8"/>
      <c r="GNA8"/>
      <c r="GNE8"/>
      <c r="GNI8"/>
      <c r="GNM8"/>
      <c r="GNQ8"/>
      <c r="GNU8"/>
      <c r="GNY8"/>
      <c r="GOC8"/>
      <c r="GOG8"/>
      <c r="GOK8"/>
      <c r="GOO8"/>
      <c r="GOS8"/>
      <c r="GOW8"/>
      <c r="GPA8"/>
      <c r="GPE8"/>
      <c r="GPI8"/>
      <c r="GPM8"/>
      <c r="GPQ8"/>
      <c r="GPU8"/>
      <c r="GPY8"/>
      <c r="GQC8"/>
      <c r="GQG8"/>
      <c r="GQK8"/>
      <c r="GQO8"/>
      <c r="GQS8"/>
      <c r="GQW8"/>
      <c r="GRA8"/>
      <c r="GRE8"/>
      <c r="GRI8"/>
      <c r="GRM8"/>
      <c r="GRQ8"/>
      <c r="GRU8"/>
      <c r="GRY8"/>
      <c r="GSC8"/>
      <c r="GSG8"/>
      <c r="GSK8"/>
      <c r="GSO8"/>
      <c r="GSS8"/>
      <c r="GSW8"/>
      <c r="GTA8"/>
      <c r="GTE8"/>
      <c r="GTI8"/>
      <c r="GTM8"/>
      <c r="GTQ8"/>
      <c r="GTU8"/>
      <c r="GTY8"/>
      <c r="GUC8"/>
      <c r="GUG8"/>
      <c r="GUK8"/>
      <c r="GUO8"/>
      <c r="GUS8"/>
      <c r="GUW8"/>
      <c r="GVA8"/>
      <c r="GVE8"/>
      <c r="GVI8"/>
      <c r="GVM8"/>
      <c r="GVQ8"/>
      <c r="GVU8"/>
      <c r="GVY8"/>
      <c r="GWC8"/>
      <c r="GWG8"/>
      <c r="GWK8"/>
      <c r="GWO8"/>
      <c r="GWS8"/>
      <c r="GWW8"/>
      <c r="GXA8"/>
      <c r="GXE8"/>
      <c r="GXI8"/>
      <c r="GXM8"/>
      <c r="GXQ8"/>
      <c r="GXU8"/>
      <c r="GXY8"/>
      <c r="GYC8"/>
      <c r="GYG8"/>
      <c r="GYK8"/>
      <c r="GYO8"/>
      <c r="GYS8"/>
      <c r="GYW8"/>
      <c r="GZA8"/>
      <c r="GZE8"/>
      <c r="GZI8"/>
      <c r="GZM8"/>
      <c r="GZQ8"/>
      <c r="GZU8"/>
      <c r="GZY8"/>
      <c r="HAC8"/>
      <c r="HAG8"/>
      <c r="HAK8"/>
      <c r="HAO8"/>
      <c r="HAS8"/>
      <c r="HAW8"/>
      <c r="HBA8"/>
      <c r="HBE8"/>
      <c r="HBI8"/>
      <c r="HBM8"/>
      <c r="HBQ8"/>
      <c r="HBU8"/>
      <c r="HBY8"/>
      <c r="HCC8"/>
      <c r="HCG8"/>
      <c r="HCK8"/>
      <c r="HCO8"/>
      <c r="HCS8"/>
      <c r="HCW8"/>
      <c r="HDA8"/>
      <c r="HDE8"/>
      <c r="HDI8"/>
      <c r="HDM8"/>
      <c r="HDQ8"/>
      <c r="HDU8"/>
      <c r="HDY8"/>
      <c r="HEC8"/>
      <c r="HEG8"/>
      <c r="HEK8"/>
      <c r="HEO8"/>
      <c r="HES8"/>
      <c r="HEW8"/>
      <c r="HFA8"/>
      <c r="HFE8"/>
      <c r="HFI8"/>
      <c r="HFM8"/>
      <c r="HFQ8"/>
      <c r="HFU8"/>
      <c r="HFY8"/>
      <c r="HGC8"/>
      <c r="HGG8"/>
      <c r="HGK8"/>
      <c r="HGO8"/>
      <c r="HGS8"/>
      <c r="HGW8"/>
      <c r="HHA8"/>
      <c r="HHE8"/>
      <c r="HHI8"/>
      <c r="HHM8"/>
      <c r="HHQ8"/>
      <c r="HHU8"/>
      <c r="HHY8"/>
      <c r="HIC8"/>
      <c r="HIG8"/>
      <c r="HIK8"/>
      <c r="HIO8"/>
      <c r="HIS8"/>
      <c r="HIW8"/>
      <c r="HJA8"/>
      <c r="HJE8"/>
      <c r="HJI8"/>
      <c r="HJM8"/>
      <c r="HJQ8"/>
      <c r="HJU8"/>
      <c r="HJY8"/>
      <c r="HKC8"/>
      <c r="HKG8"/>
      <c r="HKK8"/>
      <c r="HKO8"/>
      <c r="HKS8"/>
      <c r="HKW8"/>
      <c r="HLA8"/>
      <c r="HLE8"/>
      <c r="HLI8"/>
      <c r="HLM8"/>
      <c r="HLQ8"/>
      <c r="HLU8"/>
      <c r="HLY8"/>
      <c r="HMC8"/>
      <c r="HMG8"/>
      <c r="HMK8"/>
      <c r="HMO8"/>
      <c r="HMS8"/>
      <c r="HMW8"/>
      <c r="HNA8"/>
      <c r="HNE8"/>
      <c r="HNI8"/>
      <c r="HNM8"/>
      <c r="HNQ8"/>
      <c r="HNU8"/>
      <c r="HNY8"/>
      <c r="HOC8"/>
      <c r="HOG8"/>
      <c r="HOK8"/>
      <c r="HOO8"/>
      <c r="HOS8"/>
      <c r="HOW8"/>
      <c r="HPA8"/>
      <c r="HPE8"/>
      <c r="HPI8"/>
      <c r="HPM8"/>
      <c r="HPQ8"/>
      <c r="HPU8"/>
      <c r="HPY8"/>
      <c r="HQC8"/>
      <c r="HQG8"/>
      <c r="HQK8"/>
      <c r="HQO8"/>
      <c r="HQS8"/>
      <c r="HQW8"/>
      <c r="HRA8"/>
      <c r="HRE8"/>
      <c r="HRI8"/>
      <c r="HRM8"/>
      <c r="HRQ8"/>
      <c r="HRU8"/>
      <c r="HRY8"/>
      <c r="HSC8"/>
      <c r="HSG8"/>
      <c r="HSK8"/>
      <c r="HSO8"/>
      <c r="HSS8"/>
      <c r="HSW8"/>
      <c r="HTA8"/>
      <c r="HTE8"/>
      <c r="HTI8"/>
      <c r="HTM8"/>
      <c r="HTQ8"/>
      <c r="HTU8"/>
      <c r="HTY8"/>
      <c r="HUC8"/>
      <c r="HUG8"/>
      <c r="HUK8"/>
      <c r="HUO8"/>
      <c r="HUS8"/>
      <c r="HUW8"/>
      <c r="HVA8"/>
      <c r="HVE8"/>
      <c r="HVI8"/>
      <c r="HVM8"/>
      <c r="HVQ8"/>
      <c r="HVU8"/>
      <c r="HVY8"/>
      <c r="HWC8"/>
      <c r="HWG8"/>
      <c r="HWK8"/>
      <c r="HWO8"/>
      <c r="HWS8"/>
      <c r="HWW8"/>
      <c r="HXA8"/>
      <c r="HXE8"/>
      <c r="HXI8"/>
      <c r="HXM8"/>
      <c r="HXQ8"/>
      <c r="HXU8"/>
      <c r="HXY8"/>
      <c r="HYC8"/>
      <c r="HYG8"/>
      <c r="HYK8"/>
      <c r="HYO8"/>
      <c r="HYS8"/>
      <c r="HYW8"/>
      <c r="HZA8"/>
      <c r="HZE8"/>
      <c r="HZI8"/>
      <c r="HZM8"/>
      <c r="HZQ8"/>
      <c r="HZU8"/>
      <c r="HZY8"/>
      <c r="IAC8"/>
      <c r="IAG8"/>
      <c r="IAK8"/>
      <c r="IAO8"/>
      <c r="IAS8"/>
      <c r="IAW8"/>
      <c r="IBA8"/>
      <c r="IBE8"/>
      <c r="IBI8"/>
      <c r="IBM8"/>
      <c r="IBQ8"/>
      <c r="IBU8"/>
      <c r="IBY8"/>
      <c r="ICC8"/>
      <c r="ICG8"/>
      <c r="ICK8"/>
      <c r="ICO8"/>
      <c r="ICS8"/>
      <c r="ICW8"/>
      <c r="IDA8"/>
      <c r="IDE8"/>
      <c r="IDI8"/>
      <c r="IDM8"/>
      <c r="IDQ8"/>
      <c r="IDU8"/>
      <c r="IDY8"/>
      <c r="IEC8"/>
      <c r="IEG8"/>
      <c r="IEK8"/>
      <c r="IEO8"/>
      <c r="IES8"/>
      <c r="IEW8"/>
      <c r="IFA8"/>
      <c r="IFE8"/>
      <c r="IFI8"/>
      <c r="IFM8"/>
      <c r="IFQ8"/>
      <c r="IFU8"/>
      <c r="IFY8"/>
      <c r="IGC8"/>
      <c r="IGG8"/>
      <c r="IGK8"/>
      <c r="IGO8"/>
      <c r="IGS8"/>
      <c r="IGW8"/>
      <c r="IHA8"/>
      <c r="IHE8"/>
      <c r="IHI8"/>
      <c r="IHM8"/>
      <c r="IHQ8"/>
      <c r="IHU8"/>
      <c r="IHY8"/>
      <c r="IIC8"/>
      <c r="IIG8"/>
      <c r="IIK8"/>
      <c r="IIO8"/>
      <c r="IIS8"/>
      <c r="IIW8"/>
      <c r="IJA8"/>
      <c r="IJE8"/>
      <c r="IJI8"/>
      <c r="IJM8"/>
      <c r="IJQ8"/>
      <c r="IJU8"/>
      <c r="IJY8"/>
      <c r="IKC8"/>
      <c r="IKG8"/>
      <c r="IKK8"/>
      <c r="IKO8"/>
      <c r="IKS8"/>
      <c r="IKW8"/>
      <c r="ILA8"/>
      <c r="ILE8"/>
      <c r="ILI8"/>
      <c r="ILM8"/>
      <c r="ILQ8"/>
      <c r="ILU8"/>
      <c r="ILY8"/>
      <c r="IMC8"/>
      <c r="IMG8"/>
      <c r="IMK8"/>
      <c r="IMO8"/>
      <c r="IMS8"/>
      <c r="IMW8"/>
      <c r="INA8"/>
      <c r="INE8"/>
      <c r="INI8"/>
      <c r="INM8"/>
      <c r="INQ8"/>
      <c r="INU8"/>
      <c r="INY8"/>
      <c r="IOC8"/>
      <c r="IOG8"/>
      <c r="IOK8"/>
      <c r="IOO8"/>
      <c r="IOS8"/>
      <c r="IOW8"/>
      <c r="IPA8"/>
      <c r="IPE8"/>
      <c r="IPI8"/>
      <c r="IPM8"/>
      <c r="IPQ8"/>
      <c r="IPU8"/>
      <c r="IPY8"/>
      <c r="IQC8"/>
      <c r="IQG8"/>
      <c r="IQK8"/>
      <c r="IQO8"/>
      <c r="IQS8"/>
      <c r="IQW8"/>
      <c r="IRA8"/>
      <c r="IRE8"/>
      <c r="IRI8"/>
      <c r="IRM8"/>
      <c r="IRQ8"/>
      <c r="IRU8"/>
      <c r="IRY8"/>
      <c r="ISC8"/>
      <c r="ISG8"/>
      <c r="ISK8"/>
      <c r="ISO8"/>
      <c r="ISS8"/>
      <c r="ISW8"/>
      <c r="ITA8"/>
      <c r="ITE8"/>
      <c r="ITI8"/>
      <c r="ITM8"/>
      <c r="ITQ8"/>
      <c r="ITU8"/>
      <c r="ITY8"/>
      <c r="IUC8"/>
      <c r="IUG8"/>
      <c r="IUK8"/>
      <c r="IUO8"/>
      <c r="IUS8"/>
      <c r="IUW8"/>
      <c r="IVA8"/>
      <c r="IVE8"/>
      <c r="IVI8"/>
      <c r="IVM8"/>
      <c r="IVQ8"/>
      <c r="IVU8"/>
      <c r="IVY8"/>
      <c r="IWC8"/>
      <c r="IWG8"/>
      <c r="IWK8"/>
      <c r="IWO8"/>
      <c r="IWS8"/>
      <c r="IWW8"/>
      <c r="IXA8"/>
      <c r="IXE8"/>
      <c r="IXI8"/>
      <c r="IXM8"/>
      <c r="IXQ8"/>
      <c r="IXU8"/>
      <c r="IXY8"/>
      <c r="IYC8"/>
      <c r="IYG8"/>
      <c r="IYK8"/>
      <c r="IYO8"/>
      <c r="IYS8"/>
      <c r="IYW8"/>
      <c r="IZA8"/>
      <c r="IZE8"/>
      <c r="IZI8"/>
      <c r="IZM8"/>
      <c r="IZQ8"/>
      <c r="IZU8"/>
      <c r="IZY8"/>
      <c r="JAC8"/>
      <c r="JAG8"/>
      <c r="JAK8"/>
      <c r="JAO8"/>
      <c r="JAS8"/>
      <c r="JAW8"/>
      <c r="JBA8"/>
      <c r="JBE8"/>
      <c r="JBI8"/>
      <c r="JBM8"/>
      <c r="JBQ8"/>
      <c r="JBU8"/>
      <c r="JBY8"/>
      <c r="JCC8"/>
      <c r="JCG8"/>
      <c r="JCK8"/>
      <c r="JCO8"/>
      <c r="JCS8"/>
      <c r="JCW8"/>
      <c r="JDA8"/>
      <c r="JDE8"/>
      <c r="JDI8"/>
      <c r="JDM8"/>
      <c r="JDQ8"/>
      <c r="JDU8"/>
      <c r="JDY8"/>
      <c r="JEC8"/>
      <c r="JEG8"/>
      <c r="JEK8"/>
      <c r="JEO8"/>
      <c r="JES8"/>
      <c r="JEW8"/>
      <c r="JFA8"/>
      <c r="JFE8"/>
      <c r="JFI8"/>
      <c r="JFM8"/>
      <c r="JFQ8"/>
      <c r="JFU8"/>
      <c r="JFY8"/>
      <c r="JGC8"/>
      <c r="JGG8"/>
      <c r="JGK8"/>
      <c r="JGO8"/>
      <c r="JGS8"/>
      <c r="JGW8"/>
      <c r="JHA8"/>
      <c r="JHE8"/>
      <c r="JHI8"/>
      <c r="JHM8"/>
      <c r="JHQ8"/>
      <c r="JHU8"/>
      <c r="JHY8"/>
      <c r="JIC8"/>
      <c r="JIG8"/>
      <c r="JIK8"/>
      <c r="JIO8"/>
      <c r="JIS8"/>
      <c r="JIW8"/>
      <c r="JJA8"/>
      <c r="JJE8"/>
      <c r="JJI8"/>
      <c r="JJM8"/>
      <c r="JJQ8"/>
      <c r="JJU8"/>
      <c r="JJY8"/>
      <c r="JKC8"/>
      <c r="JKG8"/>
      <c r="JKK8"/>
      <c r="JKO8"/>
      <c r="JKS8"/>
      <c r="JKW8"/>
      <c r="JLA8"/>
      <c r="JLE8"/>
      <c r="JLI8"/>
      <c r="JLM8"/>
      <c r="JLQ8"/>
      <c r="JLU8"/>
      <c r="JLY8"/>
      <c r="JMC8"/>
      <c r="JMG8"/>
      <c r="JMK8"/>
      <c r="JMO8"/>
      <c r="JMS8"/>
      <c r="JMW8"/>
      <c r="JNA8"/>
      <c r="JNE8"/>
      <c r="JNI8"/>
      <c r="JNM8"/>
      <c r="JNQ8"/>
      <c r="JNU8"/>
      <c r="JNY8"/>
      <c r="JOC8"/>
      <c r="JOG8"/>
      <c r="JOK8"/>
      <c r="JOO8"/>
      <c r="JOS8"/>
      <c r="JOW8"/>
      <c r="JPA8"/>
      <c r="JPE8"/>
      <c r="JPI8"/>
      <c r="JPM8"/>
      <c r="JPQ8"/>
      <c r="JPU8"/>
      <c r="JPY8"/>
      <c r="JQC8"/>
      <c r="JQG8"/>
      <c r="JQK8"/>
      <c r="JQO8"/>
      <c r="JQS8"/>
      <c r="JQW8"/>
      <c r="JRA8"/>
      <c r="JRE8"/>
      <c r="JRI8"/>
      <c r="JRM8"/>
      <c r="JRQ8"/>
      <c r="JRU8"/>
      <c r="JRY8"/>
      <c r="JSC8"/>
      <c r="JSG8"/>
      <c r="JSK8"/>
      <c r="JSO8"/>
      <c r="JSS8"/>
      <c r="JSW8"/>
      <c r="JTA8"/>
      <c r="JTE8"/>
      <c r="JTI8"/>
      <c r="JTM8"/>
      <c r="JTQ8"/>
      <c r="JTU8"/>
      <c r="JTY8"/>
      <c r="JUC8"/>
      <c r="JUG8"/>
      <c r="JUK8"/>
      <c r="JUO8"/>
      <c r="JUS8"/>
      <c r="JUW8"/>
      <c r="JVA8"/>
      <c r="JVE8"/>
      <c r="JVI8"/>
      <c r="JVM8"/>
      <c r="JVQ8"/>
      <c r="JVU8"/>
      <c r="JVY8"/>
      <c r="JWC8"/>
      <c r="JWG8"/>
      <c r="JWK8"/>
      <c r="JWO8"/>
      <c r="JWS8"/>
      <c r="JWW8"/>
      <c r="JXA8"/>
      <c r="JXE8"/>
      <c r="JXI8"/>
      <c r="JXM8"/>
      <c r="JXQ8"/>
      <c r="JXU8"/>
      <c r="JXY8"/>
      <c r="JYC8"/>
      <c r="JYG8"/>
      <c r="JYK8"/>
      <c r="JYO8"/>
      <c r="JYS8"/>
      <c r="JYW8"/>
      <c r="JZA8"/>
      <c r="JZE8"/>
      <c r="JZI8"/>
      <c r="JZM8"/>
      <c r="JZQ8"/>
      <c r="JZU8"/>
      <c r="JZY8"/>
      <c r="KAC8"/>
      <c r="KAG8"/>
      <c r="KAK8"/>
      <c r="KAO8"/>
      <c r="KAS8"/>
      <c r="KAW8"/>
      <c r="KBA8"/>
      <c r="KBE8"/>
      <c r="KBI8"/>
      <c r="KBM8"/>
      <c r="KBQ8"/>
      <c r="KBU8"/>
      <c r="KBY8"/>
      <c r="KCC8"/>
      <c r="KCG8"/>
      <c r="KCK8"/>
      <c r="KCO8"/>
      <c r="KCS8"/>
      <c r="KCW8"/>
      <c r="KDA8"/>
      <c r="KDE8"/>
      <c r="KDI8"/>
      <c r="KDM8"/>
      <c r="KDQ8"/>
      <c r="KDU8"/>
      <c r="KDY8"/>
      <c r="KEC8"/>
      <c r="KEG8"/>
      <c r="KEK8"/>
      <c r="KEO8"/>
      <c r="KES8"/>
      <c r="KEW8"/>
      <c r="KFA8"/>
      <c r="KFE8"/>
      <c r="KFI8"/>
      <c r="KFM8"/>
      <c r="KFQ8"/>
      <c r="KFU8"/>
      <c r="KFY8"/>
      <c r="KGC8"/>
      <c r="KGG8"/>
      <c r="KGK8"/>
      <c r="KGO8"/>
      <c r="KGS8"/>
      <c r="KGW8"/>
      <c r="KHA8"/>
      <c r="KHE8"/>
      <c r="KHI8"/>
      <c r="KHM8"/>
      <c r="KHQ8"/>
      <c r="KHU8"/>
      <c r="KHY8"/>
      <c r="KIC8"/>
      <c r="KIG8"/>
      <c r="KIK8"/>
      <c r="KIO8"/>
      <c r="KIS8"/>
      <c r="KIW8"/>
      <c r="KJA8"/>
      <c r="KJE8"/>
      <c r="KJI8"/>
      <c r="KJM8"/>
      <c r="KJQ8"/>
      <c r="KJU8"/>
      <c r="KJY8"/>
      <c r="KKC8"/>
      <c r="KKG8"/>
      <c r="KKK8"/>
      <c r="KKO8"/>
      <c r="KKS8"/>
      <c r="KKW8"/>
      <c r="KLA8"/>
      <c r="KLE8"/>
      <c r="KLI8"/>
      <c r="KLM8"/>
      <c r="KLQ8"/>
      <c r="KLU8"/>
      <c r="KLY8"/>
      <c r="KMC8"/>
      <c r="KMG8"/>
      <c r="KMK8"/>
      <c r="KMO8"/>
      <c r="KMS8"/>
      <c r="KMW8"/>
      <c r="KNA8"/>
      <c r="KNE8"/>
      <c r="KNI8"/>
      <c r="KNM8"/>
      <c r="KNQ8"/>
      <c r="KNU8"/>
      <c r="KNY8"/>
      <c r="KOC8"/>
      <c r="KOG8"/>
      <c r="KOK8"/>
      <c r="KOO8"/>
      <c r="KOS8"/>
      <c r="KOW8"/>
      <c r="KPA8"/>
      <c r="KPE8"/>
      <c r="KPI8"/>
      <c r="KPM8"/>
      <c r="KPQ8"/>
      <c r="KPU8"/>
      <c r="KPY8"/>
      <c r="KQC8"/>
      <c r="KQG8"/>
      <c r="KQK8"/>
      <c r="KQO8"/>
      <c r="KQS8"/>
      <c r="KQW8"/>
      <c r="KRA8"/>
      <c r="KRE8"/>
      <c r="KRI8"/>
      <c r="KRM8"/>
      <c r="KRQ8"/>
      <c r="KRU8"/>
      <c r="KRY8"/>
      <c r="KSC8"/>
      <c r="KSG8"/>
      <c r="KSK8"/>
      <c r="KSO8"/>
      <c r="KSS8"/>
      <c r="KSW8"/>
      <c r="KTA8"/>
      <c r="KTE8"/>
      <c r="KTI8"/>
      <c r="KTM8"/>
      <c r="KTQ8"/>
      <c r="KTU8"/>
      <c r="KTY8"/>
      <c r="KUC8"/>
      <c r="KUG8"/>
      <c r="KUK8"/>
      <c r="KUO8"/>
      <c r="KUS8"/>
      <c r="KUW8"/>
      <c r="KVA8"/>
      <c r="KVE8"/>
      <c r="KVI8"/>
      <c r="KVM8"/>
      <c r="KVQ8"/>
      <c r="KVU8"/>
      <c r="KVY8"/>
      <c r="KWC8"/>
      <c r="KWG8"/>
      <c r="KWK8"/>
      <c r="KWO8"/>
      <c r="KWS8"/>
      <c r="KWW8"/>
      <c r="KXA8"/>
      <c r="KXE8"/>
      <c r="KXI8"/>
      <c r="KXM8"/>
      <c r="KXQ8"/>
      <c r="KXU8"/>
      <c r="KXY8"/>
      <c r="KYC8"/>
      <c r="KYG8"/>
      <c r="KYK8"/>
      <c r="KYO8"/>
      <c r="KYS8"/>
      <c r="KYW8"/>
      <c r="KZA8"/>
      <c r="KZE8"/>
      <c r="KZI8"/>
      <c r="KZM8"/>
      <c r="KZQ8"/>
      <c r="KZU8"/>
      <c r="KZY8"/>
      <c r="LAC8"/>
      <c r="LAG8"/>
      <c r="LAK8"/>
      <c r="LAO8"/>
      <c r="LAS8"/>
      <c r="LAW8"/>
      <c r="LBA8"/>
      <c r="LBE8"/>
      <c r="LBI8"/>
      <c r="LBM8"/>
      <c r="LBQ8"/>
      <c r="LBU8"/>
      <c r="LBY8"/>
      <c r="LCC8"/>
      <c r="LCG8"/>
      <c r="LCK8"/>
      <c r="LCO8"/>
      <c r="LCS8"/>
      <c r="LCW8"/>
      <c r="LDA8"/>
      <c r="LDE8"/>
      <c r="LDI8"/>
      <c r="LDM8"/>
      <c r="LDQ8"/>
      <c r="LDU8"/>
      <c r="LDY8"/>
      <c r="LEC8"/>
      <c r="LEG8"/>
      <c r="LEK8"/>
      <c r="LEO8"/>
      <c r="LES8"/>
      <c r="LEW8"/>
      <c r="LFA8"/>
      <c r="LFE8"/>
      <c r="LFI8"/>
      <c r="LFM8"/>
      <c r="LFQ8"/>
      <c r="LFU8"/>
      <c r="LFY8"/>
      <c r="LGC8"/>
      <c r="LGG8"/>
      <c r="LGK8"/>
      <c r="LGO8"/>
      <c r="LGS8"/>
      <c r="LGW8"/>
      <c r="LHA8"/>
      <c r="LHE8"/>
      <c r="LHI8"/>
      <c r="LHM8"/>
      <c r="LHQ8"/>
      <c r="LHU8"/>
      <c r="LHY8"/>
      <c r="LIC8"/>
      <c r="LIG8"/>
      <c r="LIK8"/>
      <c r="LIO8"/>
      <c r="LIS8"/>
      <c r="LIW8"/>
      <c r="LJA8"/>
      <c r="LJE8"/>
      <c r="LJI8"/>
      <c r="LJM8"/>
      <c r="LJQ8"/>
      <c r="LJU8"/>
      <c r="LJY8"/>
      <c r="LKC8"/>
      <c r="LKG8"/>
      <c r="LKK8"/>
      <c r="LKO8"/>
      <c r="LKS8"/>
      <c r="LKW8"/>
      <c r="LLA8"/>
      <c r="LLE8"/>
      <c r="LLI8"/>
      <c r="LLM8"/>
      <c r="LLQ8"/>
      <c r="LLU8"/>
      <c r="LLY8"/>
      <c r="LMC8"/>
      <c r="LMG8"/>
      <c r="LMK8"/>
      <c r="LMO8"/>
      <c r="LMS8"/>
      <c r="LMW8"/>
      <c r="LNA8"/>
      <c r="LNE8"/>
      <c r="LNI8"/>
      <c r="LNM8"/>
      <c r="LNQ8"/>
      <c r="LNU8"/>
      <c r="LNY8"/>
      <c r="LOC8"/>
      <c r="LOG8"/>
      <c r="LOK8"/>
      <c r="LOO8"/>
      <c r="LOS8"/>
      <c r="LOW8"/>
      <c r="LPA8"/>
      <c r="LPE8"/>
      <c r="LPI8"/>
      <c r="LPM8"/>
      <c r="LPQ8"/>
      <c r="LPU8"/>
      <c r="LPY8"/>
      <c r="LQC8"/>
      <c r="LQG8"/>
      <c r="LQK8"/>
      <c r="LQO8"/>
      <c r="LQS8"/>
      <c r="LQW8"/>
      <c r="LRA8"/>
      <c r="LRE8"/>
      <c r="LRI8"/>
      <c r="LRM8"/>
      <c r="LRQ8"/>
      <c r="LRU8"/>
      <c r="LRY8"/>
      <c r="LSC8"/>
      <c r="LSG8"/>
      <c r="LSK8"/>
      <c r="LSO8"/>
      <c r="LSS8"/>
      <c r="LSW8"/>
      <c r="LTA8"/>
      <c r="LTE8"/>
      <c r="LTI8"/>
      <c r="LTM8"/>
      <c r="LTQ8"/>
      <c r="LTU8"/>
      <c r="LTY8"/>
      <c r="LUC8"/>
      <c r="LUG8"/>
      <c r="LUK8"/>
      <c r="LUO8"/>
      <c r="LUS8"/>
      <c r="LUW8"/>
      <c r="LVA8"/>
      <c r="LVE8"/>
      <c r="LVI8"/>
      <c r="LVM8"/>
      <c r="LVQ8"/>
      <c r="LVU8"/>
      <c r="LVY8"/>
      <c r="LWC8"/>
      <c r="LWG8"/>
      <c r="LWK8"/>
      <c r="LWO8"/>
      <c r="LWS8"/>
      <c r="LWW8"/>
      <c r="LXA8"/>
      <c r="LXE8"/>
      <c r="LXI8"/>
      <c r="LXM8"/>
      <c r="LXQ8"/>
      <c r="LXU8"/>
      <c r="LXY8"/>
      <c r="LYC8"/>
      <c r="LYG8"/>
      <c r="LYK8"/>
      <c r="LYO8"/>
      <c r="LYS8"/>
      <c r="LYW8"/>
      <c r="LZA8"/>
      <c r="LZE8"/>
      <c r="LZI8"/>
      <c r="LZM8"/>
      <c r="LZQ8"/>
      <c r="LZU8"/>
      <c r="LZY8"/>
      <c r="MAC8"/>
      <c r="MAG8"/>
      <c r="MAK8"/>
      <c r="MAO8"/>
      <c r="MAS8"/>
      <c r="MAW8"/>
      <c r="MBA8"/>
      <c r="MBE8"/>
      <c r="MBI8"/>
      <c r="MBM8"/>
      <c r="MBQ8"/>
      <c r="MBU8"/>
      <c r="MBY8"/>
      <c r="MCC8"/>
      <c r="MCG8"/>
      <c r="MCK8"/>
      <c r="MCO8"/>
      <c r="MCS8"/>
      <c r="MCW8"/>
      <c r="MDA8"/>
      <c r="MDE8"/>
      <c r="MDI8"/>
      <c r="MDM8"/>
      <c r="MDQ8"/>
      <c r="MDU8"/>
      <c r="MDY8"/>
      <c r="MEC8"/>
      <c r="MEG8"/>
      <c r="MEK8"/>
      <c r="MEO8"/>
      <c r="MES8"/>
      <c r="MEW8"/>
      <c r="MFA8"/>
      <c r="MFE8"/>
      <c r="MFI8"/>
      <c r="MFM8"/>
      <c r="MFQ8"/>
      <c r="MFU8"/>
      <c r="MFY8"/>
      <c r="MGC8"/>
      <c r="MGG8"/>
      <c r="MGK8"/>
      <c r="MGO8"/>
      <c r="MGS8"/>
      <c r="MGW8"/>
      <c r="MHA8"/>
      <c r="MHE8"/>
      <c r="MHI8"/>
      <c r="MHM8"/>
      <c r="MHQ8"/>
      <c r="MHU8"/>
      <c r="MHY8"/>
      <c r="MIC8"/>
      <c r="MIG8"/>
      <c r="MIK8"/>
      <c r="MIO8"/>
      <c r="MIS8"/>
      <c r="MIW8"/>
      <c r="MJA8"/>
      <c r="MJE8"/>
      <c r="MJI8"/>
      <c r="MJM8"/>
      <c r="MJQ8"/>
      <c r="MJU8"/>
      <c r="MJY8"/>
      <c r="MKC8"/>
      <c r="MKG8"/>
      <c r="MKK8"/>
      <c r="MKO8"/>
      <c r="MKS8"/>
      <c r="MKW8"/>
      <c r="MLA8"/>
      <c r="MLE8"/>
      <c r="MLI8"/>
      <c r="MLM8"/>
      <c r="MLQ8"/>
      <c r="MLU8"/>
      <c r="MLY8"/>
      <c r="MMC8"/>
      <c r="MMG8"/>
      <c r="MMK8"/>
      <c r="MMO8"/>
      <c r="MMS8"/>
      <c r="MMW8"/>
      <c r="MNA8"/>
      <c r="MNE8"/>
      <c r="MNI8"/>
      <c r="MNM8"/>
      <c r="MNQ8"/>
      <c r="MNU8"/>
      <c r="MNY8"/>
      <c r="MOC8"/>
      <c r="MOG8"/>
      <c r="MOK8"/>
      <c r="MOO8"/>
      <c r="MOS8"/>
      <c r="MOW8"/>
      <c r="MPA8"/>
      <c r="MPE8"/>
      <c r="MPI8"/>
      <c r="MPM8"/>
      <c r="MPQ8"/>
      <c r="MPU8"/>
      <c r="MPY8"/>
      <c r="MQC8"/>
      <c r="MQG8"/>
      <c r="MQK8"/>
      <c r="MQO8"/>
      <c r="MQS8"/>
      <c r="MQW8"/>
      <c r="MRA8"/>
      <c r="MRE8"/>
      <c r="MRI8"/>
      <c r="MRM8"/>
      <c r="MRQ8"/>
      <c r="MRU8"/>
      <c r="MRY8"/>
      <c r="MSC8"/>
      <c r="MSG8"/>
      <c r="MSK8"/>
      <c r="MSO8"/>
      <c r="MSS8"/>
      <c r="MSW8"/>
      <c r="MTA8"/>
      <c r="MTE8"/>
      <c r="MTI8"/>
      <c r="MTM8"/>
      <c r="MTQ8"/>
      <c r="MTU8"/>
      <c r="MTY8"/>
      <c r="MUC8"/>
      <c r="MUG8"/>
      <c r="MUK8"/>
      <c r="MUO8"/>
      <c r="MUS8"/>
      <c r="MUW8"/>
      <c r="MVA8"/>
      <c r="MVE8"/>
      <c r="MVI8"/>
      <c r="MVM8"/>
      <c r="MVQ8"/>
      <c r="MVU8"/>
      <c r="MVY8"/>
      <c r="MWC8"/>
      <c r="MWG8"/>
      <c r="MWK8"/>
      <c r="MWO8"/>
      <c r="MWS8"/>
      <c r="MWW8"/>
      <c r="MXA8"/>
      <c r="MXE8"/>
      <c r="MXI8"/>
      <c r="MXM8"/>
      <c r="MXQ8"/>
      <c r="MXU8"/>
      <c r="MXY8"/>
      <c r="MYC8"/>
      <c r="MYG8"/>
      <c r="MYK8"/>
      <c r="MYO8"/>
      <c r="MYS8"/>
      <c r="MYW8"/>
      <c r="MZA8"/>
      <c r="MZE8"/>
      <c r="MZI8"/>
      <c r="MZM8"/>
      <c r="MZQ8"/>
      <c r="MZU8"/>
      <c r="MZY8"/>
      <c r="NAC8"/>
      <c r="NAG8"/>
      <c r="NAK8"/>
      <c r="NAO8"/>
      <c r="NAS8"/>
      <c r="NAW8"/>
      <c r="NBA8"/>
      <c r="NBE8"/>
      <c r="NBI8"/>
      <c r="NBM8"/>
      <c r="NBQ8"/>
      <c r="NBU8"/>
      <c r="NBY8"/>
      <c r="NCC8"/>
      <c r="NCG8"/>
      <c r="NCK8"/>
      <c r="NCO8"/>
      <c r="NCS8"/>
      <c r="NCW8"/>
      <c r="NDA8"/>
      <c r="NDE8"/>
      <c r="NDI8"/>
      <c r="NDM8"/>
      <c r="NDQ8"/>
      <c r="NDU8"/>
      <c r="NDY8"/>
      <c r="NEC8"/>
      <c r="NEG8"/>
      <c r="NEK8"/>
      <c r="NEO8"/>
      <c r="NES8"/>
      <c r="NEW8"/>
      <c r="NFA8"/>
      <c r="NFE8"/>
      <c r="NFI8"/>
      <c r="NFM8"/>
      <c r="NFQ8"/>
      <c r="NFU8"/>
      <c r="NFY8"/>
      <c r="NGC8"/>
      <c r="NGG8"/>
      <c r="NGK8"/>
      <c r="NGO8"/>
      <c r="NGS8"/>
      <c r="NGW8"/>
      <c r="NHA8"/>
      <c r="NHE8"/>
      <c r="NHI8"/>
      <c r="NHM8"/>
      <c r="NHQ8"/>
      <c r="NHU8"/>
      <c r="NHY8"/>
      <c r="NIC8"/>
      <c r="NIG8"/>
      <c r="NIK8"/>
      <c r="NIO8"/>
      <c r="NIS8"/>
      <c r="NIW8"/>
      <c r="NJA8"/>
      <c r="NJE8"/>
      <c r="NJI8"/>
      <c r="NJM8"/>
      <c r="NJQ8"/>
      <c r="NJU8"/>
      <c r="NJY8"/>
      <c r="NKC8"/>
      <c r="NKG8"/>
      <c r="NKK8"/>
      <c r="NKO8"/>
      <c r="NKS8"/>
      <c r="NKW8"/>
      <c r="NLA8"/>
      <c r="NLE8"/>
      <c r="NLI8"/>
      <c r="NLM8"/>
      <c r="NLQ8"/>
      <c r="NLU8"/>
      <c r="NLY8"/>
      <c r="NMC8"/>
      <c r="NMG8"/>
      <c r="NMK8"/>
      <c r="NMO8"/>
      <c r="NMS8"/>
      <c r="NMW8"/>
      <c r="NNA8"/>
      <c r="NNE8"/>
      <c r="NNI8"/>
      <c r="NNM8"/>
      <c r="NNQ8"/>
      <c r="NNU8"/>
      <c r="NNY8"/>
      <c r="NOC8"/>
      <c r="NOG8"/>
      <c r="NOK8"/>
      <c r="NOO8"/>
      <c r="NOS8"/>
      <c r="NOW8"/>
      <c r="NPA8"/>
      <c r="NPE8"/>
      <c r="NPI8"/>
      <c r="NPM8"/>
      <c r="NPQ8"/>
      <c r="NPU8"/>
      <c r="NPY8"/>
      <c r="NQC8"/>
      <c r="NQG8"/>
      <c r="NQK8"/>
      <c r="NQO8"/>
      <c r="NQS8"/>
      <c r="NQW8"/>
      <c r="NRA8"/>
      <c r="NRE8"/>
      <c r="NRI8"/>
      <c r="NRM8"/>
      <c r="NRQ8"/>
      <c r="NRU8"/>
      <c r="NRY8"/>
      <c r="NSC8"/>
      <c r="NSG8"/>
      <c r="NSK8"/>
      <c r="NSO8"/>
      <c r="NSS8"/>
      <c r="NSW8"/>
      <c r="NTA8"/>
      <c r="NTE8"/>
      <c r="NTI8"/>
      <c r="NTM8"/>
      <c r="NTQ8"/>
      <c r="NTU8"/>
      <c r="NTY8"/>
      <c r="NUC8"/>
      <c r="NUG8"/>
      <c r="NUK8"/>
      <c r="NUO8"/>
      <c r="NUS8"/>
      <c r="NUW8"/>
      <c r="NVA8"/>
      <c r="NVE8"/>
      <c r="NVI8"/>
      <c r="NVM8"/>
      <c r="NVQ8"/>
      <c r="NVU8"/>
      <c r="NVY8"/>
      <c r="NWC8"/>
      <c r="NWG8"/>
      <c r="NWK8"/>
      <c r="NWO8"/>
      <c r="NWS8"/>
      <c r="NWW8"/>
      <c r="NXA8"/>
      <c r="NXE8"/>
      <c r="NXI8"/>
      <c r="NXM8"/>
      <c r="NXQ8"/>
      <c r="NXU8"/>
      <c r="NXY8"/>
      <c r="NYC8"/>
      <c r="NYG8"/>
      <c r="NYK8"/>
      <c r="NYO8"/>
      <c r="NYS8"/>
      <c r="NYW8"/>
      <c r="NZA8"/>
      <c r="NZE8"/>
      <c r="NZI8"/>
      <c r="NZM8"/>
      <c r="NZQ8"/>
      <c r="NZU8"/>
      <c r="NZY8"/>
      <c r="OAC8"/>
      <c r="OAG8"/>
      <c r="OAK8"/>
      <c r="OAO8"/>
      <c r="OAS8"/>
      <c r="OAW8"/>
      <c r="OBA8"/>
      <c r="OBE8"/>
      <c r="OBI8"/>
      <c r="OBM8"/>
      <c r="OBQ8"/>
      <c r="OBU8"/>
      <c r="OBY8"/>
      <c r="OCC8"/>
      <c r="OCG8"/>
      <c r="OCK8"/>
      <c r="OCO8"/>
      <c r="OCS8"/>
      <c r="OCW8"/>
      <c r="ODA8"/>
      <c r="ODE8"/>
      <c r="ODI8"/>
      <c r="ODM8"/>
      <c r="ODQ8"/>
      <c r="ODU8"/>
      <c r="ODY8"/>
      <c r="OEC8"/>
      <c r="OEG8"/>
      <c r="OEK8"/>
      <c r="OEO8"/>
      <c r="OES8"/>
      <c r="OEW8"/>
      <c r="OFA8"/>
      <c r="OFE8"/>
      <c r="OFI8"/>
      <c r="OFM8"/>
      <c r="OFQ8"/>
      <c r="OFU8"/>
      <c r="OFY8"/>
      <c r="OGC8"/>
      <c r="OGG8"/>
      <c r="OGK8"/>
      <c r="OGO8"/>
      <c r="OGS8"/>
      <c r="OGW8"/>
      <c r="OHA8"/>
      <c r="OHE8"/>
      <c r="OHI8"/>
      <c r="OHM8"/>
      <c r="OHQ8"/>
      <c r="OHU8"/>
      <c r="OHY8"/>
      <c r="OIC8"/>
      <c r="OIG8"/>
      <c r="OIK8"/>
      <c r="OIO8"/>
      <c r="OIS8"/>
      <c r="OIW8"/>
      <c r="OJA8"/>
      <c r="OJE8"/>
      <c r="OJI8"/>
      <c r="OJM8"/>
      <c r="OJQ8"/>
      <c r="OJU8"/>
      <c r="OJY8"/>
      <c r="OKC8"/>
      <c r="OKG8"/>
      <c r="OKK8"/>
      <c r="OKO8"/>
      <c r="OKS8"/>
      <c r="OKW8"/>
      <c r="OLA8"/>
      <c r="OLE8"/>
      <c r="OLI8"/>
      <c r="OLM8"/>
      <c r="OLQ8"/>
      <c r="OLU8"/>
      <c r="OLY8"/>
      <c r="OMC8"/>
      <c r="OMG8"/>
      <c r="OMK8"/>
      <c r="OMO8"/>
      <c r="OMS8"/>
      <c r="OMW8"/>
      <c r="ONA8"/>
      <c r="ONE8"/>
      <c r="ONI8"/>
      <c r="ONM8"/>
      <c r="ONQ8"/>
      <c r="ONU8"/>
      <c r="ONY8"/>
      <c r="OOC8"/>
      <c r="OOG8"/>
      <c r="OOK8"/>
      <c r="OOO8"/>
      <c r="OOS8"/>
      <c r="OOW8"/>
      <c r="OPA8"/>
      <c r="OPE8"/>
      <c r="OPI8"/>
      <c r="OPM8"/>
      <c r="OPQ8"/>
      <c r="OPU8"/>
      <c r="OPY8"/>
      <c r="OQC8"/>
      <c r="OQG8"/>
      <c r="OQK8"/>
      <c r="OQO8"/>
      <c r="OQS8"/>
      <c r="OQW8"/>
      <c r="ORA8"/>
      <c r="ORE8"/>
      <c r="ORI8"/>
      <c r="ORM8"/>
      <c r="ORQ8"/>
      <c r="ORU8"/>
      <c r="ORY8"/>
      <c r="OSC8"/>
      <c r="OSG8"/>
      <c r="OSK8"/>
      <c r="OSO8"/>
      <c r="OSS8"/>
      <c r="OSW8"/>
      <c r="OTA8"/>
      <c r="OTE8"/>
      <c r="OTI8"/>
      <c r="OTM8"/>
      <c r="OTQ8"/>
      <c r="OTU8"/>
      <c r="OTY8"/>
      <c r="OUC8"/>
      <c r="OUG8"/>
      <c r="OUK8"/>
      <c r="OUO8"/>
      <c r="OUS8"/>
      <c r="OUW8"/>
      <c r="OVA8"/>
      <c r="OVE8"/>
      <c r="OVI8"/>
      <c r="OVM8"/>
      <c r="OVQ8"/>
      <c r="OVU8"/>
      <c r="OVY8"/>
      <c r="OWC8"/>
      <c r="OWG8"/>
      <c r="OWK8"/>
      <c r="OWO8"/>
      <c r="OWS8"/>
      <c r="OWW8"/>
      <c r="OXA8"/>
      <c r="OXE8"/>
      <c r="OXI8"/>
      <c r="OXM8"/>
      <c r="OXQ8"/>
      <c r="OXU8"/>
      <c r="OXY8"/>
      <c r="OYC8"/>
      <c r="OYG8"/>
      <c r="OYK8"/>
      <c r="OYO8"/>
      <c r="OYS8"/>
      <c r="OYW8"/>
      <c r="OZA8"/>
      <c r="OZE8"/>
      <c r="OZI8"/>
      <c r="OZM8"/>
      <c r="OZQ8"/>
      <c r="OZU8"/>
      <c r="OZY8"/>
      <c r="PAC8"/>
      <c r="PAG8"/>
      <c r="PAK8"/>
      <c r="PAO8"/>
      <c r="PAS8"/>
      <c r="PAW8"/>
      <c r="PBA8"/>
      <c r="PBE8"/>
      <c r="PBI8"/>
      <c r="PBM8"/>
      <c r="PBQ8"/>
      <c r="PBU8"/>
      <c r="PBY8"/>
      <c r="PCC8"/>
      <c r="PCG8"/>
      <c r="PCK8"/>
      <c r="PCO8"/>
      <c r="PCS8"/>
      <c r="PCW8"/>
      <c r="PDA8"/>
      <c r="PDE8"/>
      <c r="PDI8"/>
      <c r="PDM8"/>
      <c r="PDQ8"/>
      <c r="PDU8"/>
      <c r="PDY8"/>
      <c r="PEC8"/>
      <c r="PEG8"/>
      <c r="PEK8"/>
      <c r="PEO8"/>
      <c r="PES8"/>
      <c r="PEW8"/>
      <c r="PFA8"/>
      <c r="PFE8"/>
      <c r="PFI8"/>
      <c r="PFM8"/>
      <c r="PFQ8"/>
      <c r="PFU8"/>
      <c r="PFY8"/>
      <c r="PGC8"/>
      <c r="PGG8"/>
      <c r="PGK8"/>
      <c r="PGO8"/>
      <c r="PGS8"/>
      <c r="PGW8"/>
      <c r="PHA8"/>
      <c r="PHE8"/>
      <c r="PHI8"/>
      <c r="PHM8"/>
      <c r="PHQ8"/>
      <c r="PHU8"/>
      <c r="PHY8"/>
      <c r="PIC8"/>
      <c r="PIG8"/>
      <c r="PIK8"/>
      <c r="PIO8"/>
      <c r="PIS8"/>
      <c r="PIW8"/>
      <c r="PJA8"/>
      <c r="PJE8"/>
      <c r="PJI8"/>
      <c r="PJM8"/>
      <c r="PJQ8"/>
      <c r="PJU8"/>
      <c r="PJY8"/>
      <c r="PKC8"/>
      <c r="PKG8"/>
      <c r="PKK8"/>
      <c r="PKO8"/>
      <c r="PKS8"/>
      <c r="PKW8"/>
      <c r="PLA8"/>
      <c r="PLE8"/>
      <c r="PLI8"/>
      <c r="PLM8"/>
      <c r="PLQ8"/>
      <c r="PLU8"/>
      <c r="PLY8"/>
      <c r="PMC8"/>
      <c r="PMG8"/>
      <c r="PMK8"/>
      <c r="PMO8"/>
      <c r="PMS8"/>
      <c r="PMW8"/>
      <c r="PNA8"/>
      <c r="PNE8"/>
      <c r="PNI8"/>
      <c r="PNM8"/>
      <c r="PNQ8"/>
      <c r="PNU8"/>
      <c r="PNY8"/>
      <c r="POC8"/>
      <c r="POG8"/>
      <c r="POK8"/>
      <c r="POO8"/>
      <c r="POS8"/>
      <c r="POW8"/>
      <c r="PPA8"/>
      <c r="PPE8"/>
      <c r="PPI8"/>
      <c r="PPM8"/>
      <c r="PPQ8"/>
      <c r="PPU8"/>
      <c r="PPY8"/>
      <c r="PQC8"/>
      <c r="PQG8"/>
      <c r="PQK8"/>
      <c r="PQO8"/>
      <c r="PQS8"/>
      <c r="PQW8"/>
      <c r="PRA8"/>
      <c r="PRE8"/>
      <c r="PRI8"/>
      <c r="PRM8"/>
      <c r="PRQ8"/>
      <c r="PRU8"/>
      <c r="PRY8"/>
      <c r="PSC8"/>
      <c r="PSG8"/>
      <c r="PSK8"/>
      <c r="PSO8"/>
      <c r="PSS8"/>
      <c r="PSW8"/>
      <c r="PTA8"/>
      <c r="PTE8"/>
      <c r="PTI8"/>
      <c r="PTM8"/>
      <c r="PTQ8"/>
      <c r="PTU8"/>
      <c r="PTY8"/>
      <c r="PUC8"/>
      <c r="PUG8"/>
      <c r="PUK8"/>
      <c r="PUO8"/>
      <c r="PUS8"/>
      <c r="PUW8"/>
      <c r="PVA8"/>
      <c r="PVE8"/>
      <c r="PVI8"/>
      <c r="PVM8"/>
      <c r="PVQ8"/>
      <c r="PVU8"/>
      <c r="PVY8"/>
      <c r="PWC8"/>
      <c r="PWG8"/>
      <c r="PWK8"/>
      <c r="PWO8"/>
      <c r="PWS8"/>
      <c r="PWW8"/>
      <c r="PXA8"/>
      <c r="PXE8"/>
      <c r="PXI8"/>
      <c r="PXM8"/>
      <c r="PXQ8"/>
      <c r="PXU8"/>
      <c r="PXY8"/>
      <c r="PYC8"/>
      <c r="PYG8"/>
      <c r="PYK8"/>
      <c r="PYO8"/>
      <c r="PYS8"/>
      <c r="PYW8"/>
      <c r="PZA8"/>
      <c r="PZE8"/>
      <c r="PZI8"/>
      <c r="PZM8"/>
      <c r="PZQ8"/>
      <c r="PZU8"/>
      <c r="PZY8"/>
      <c r="QAC8"/>
      <c r="QAG8"/>
      <c r="QAK8"/>
      <c r="QAO8"/>
      <c r="QAS8"/>
      <c r="QAW8"/>
      <c r="QBA8"/>
      <c r="QBE8"/>
      <c r="QBI8"/>
      <c r="QBM8"/>
      <c r="QBQ8"/>
      <c r="QBU8"/>
      <c r="QBY8"/>
      <c r="QCC8"/>
      <c r="QCG8"/>
      <c r="QCK8"/>
      <c r="QCO8"/>
      <c r="QCS8"/>
      <c r="QCW8"/>
      <c r="QDA8"/>
      <c r="QDE8"/>
      <c r="QDI8"/>
      <c r="QDM8"/>
      <c r="QDQ8"/>
      <c r="QDU8"/>
      <c r="QDY8"/>
      <c r="QEC8"/>
      <c r="QEG8"/>
      <c r="QEK8"/>
      <c r="QEO8"/>
      <c r="QES8"/>
      <c r="QEW8"/>
      <c r="QFA8"/>
      <c r="QFE8"/>
      <c r="QFI8"/>
      <c r="QFM8"/>
      <c r="QFQ8"/>
      <c r="QFU8"/>
      <c r="QFY8"/>
      <c r="QGC8"/>
      <c r="QGG8"/>
      <c r="QGK8"/>
      <c r="QGO8"/>
      <c r="QGS8"/>
      <c r="QGW8"/>
      <c r="QHA8"/>
      <c r="QHE8"/>
      <c r="QHI8"/>
      <c r="QHM8"/>
      <c r="QHQ8"/>
      <c r="QHU8"/>
      <c r="QHY8"/>
      <c r="QIC8"/>
      <c r="QIG8"/>
      <c r="QIK8"/>
      <c r="QIO8"/>
      <c r="QIS8"/>
      <c r="QIW8"/>
      <c r="QJA8"/>
      <c r="QJE8"/>
      <c r="QJI8"/>
      <c r="QJM8"/>
      <c r="QJQ8"/>
      <c r="QJU8"/>
      <c r="QJY8"/>
      <c r="QKC8"/>
      <c r="QKG8"/>
      <c r="QKK8"/>
      <c r="QKO8"/>
      <c r="QKS8"/>
      <c r="QKW8"/>
      <c r="QLA8"/>
      <c r="QLE8"/>
      <c r="QLI8"/>
      <c r="QLM8"/>
      <c r="QLQ8"/>
      <c r="QLU8"/>
      <c r="QLY8"/>
      <c r="QMC8"/>
      <c r="QMG8"/>
      <c r="QMK8"/>
      <c r="QMO8"/>
      <c r="QMS8"/>
      <c r="QMW8"/>
      <c r="QNA8"/>
      <c r="QNE8"/>
      <c r="QNI8"/>
      <c r="QNM8"/>
      <c r="QNQ8"/>
      <c r="QNU8"/>
      <c r="QNY8"/>
      <c r="QOC8"/>
      <c r="QOG8"/>
      <c r="QOK8"/>
      <c r="QOO8"/>
      <c r="QOS8"/>
      <c r="QOW8"/>
      <c r="QPA8"/>
      <c r="QPE8"/>
      <c r="QPI8"/>
      <c r="QPM8"/>
      <c r="QPQ8"/>
      <c r="QPU8"/>
      <c r="QPY8"/>
      <c r="QQC8"/>
      <c r="QQG8"/>
      <c r="QQK8"/>
      <c r="QQO8"/>
      <c r="QQS8"/>
      <c r="QQW8"/>
      <c r="QRA8"/>
      <c r="QRE8"/>
      <c r="QRI8"/>
      <c r="QRM8"/>
      <c r="QRQ8"/>
      <c r="QRU8"/>
      <c r="QRY8"/>
      <c r="QSC8"/>
      <c r="QSG8"/>
      <c r="QSK8"/>
      <c r="QSO8"/>
      <c r="QSS8"/>
      <c r="QSW8"/>
      <c r="QTA8"/>
      <c r="QTE8"/>
      <c r="QTI8"/>
      <c r="QTM8"/>
      <c r="QTQ8"/>
      <c r="QTU8"/>
      <c r="QTY8"/>
      <c r="QUC8"/>
      <c r="QUG8"/>
      <c r="QUK8"/>
      <c r="QUO8"/>
      <c r="QUS8"/>
      <c r="QUW8"/>
      <c r="QVA8"/>
      <c r="QVE8"/>
      <c r="QVI8"/>
      <c r="QVM8"/>
      <c r="QVQ8"/>
      <c r="QVU8"/>
      <c r="QVY8"/>
      <c r="QWC8"/>
      <c r="QWG8"/>
      <c r="QWK8"/>
      <c r="QWO8"/>
      <c r="QWS8"/>
      <c r="QWW8"/>
      <c r="QXA8"/>
      <c r="QXE8"/>
      <c r="QXI8"/>
      <c r="QXM8"/>
      <c r="QXQ8"/>
      <c r="QXU8"/>
      <c r="QXY8"/>
      <c r="QYC8"/>
      <c r="QYG8"/>
      <c r="QYK8"/>
      <c r="QYO8"/>
      <c r="QYS8"/>
      <c r="QYW8"/>
      <c r="QZA8"/>
      <c r="QZE8"/>
      <c r="QZI8"/>
      <c r="QZM8"/>
      <c r="QZQ8"/>
      <c r="QZU8"/>
      <c r="QZY8"/>
      <c r="RAC8"/>
      <c r="RAG8"/>
      <c r="RAK8"/>
      <c r="RAO8"/>
      <c r="RAS8"/>
      <c r="RAW8"/>
      <c r="RBA8"/>
      <c r="RBE8"/>
      <c r="RBI8"/>
      <c r="RBM8"/>
      <c r="RBQ8"/>
      <c r="RBU8"/>
      <c r="RBY8"/>
      <c r="RCC8"/>
      <c r="RCG8"/>
      <c r="RCK8"/>
      <c r="RCO8"/>
      <c r="RCS8"/>
      <c r="RCW8"/>
      <c r="RDA8"/>
      <c r="RDE8"/>
      <c r="RDI8"/>
      <c r="RDM8"/>
      <c r="RDQ8"/>
      <c r="RDU8"/>
      <c r="RDY8"/>
      <c r="REC8"/>
      <c r="REG8"/>
      <c r="REK8"/>
      <c r="REO8"/>
      <c r="RES8"/>
      <c r="REW8"/>
      <c r="RFA8"/>
      <c r="RFE8"/>
      <c r="RFI8"/>
      <c r="RFM8"/>
      <c r="RFQ8"/>
      <c r="RFU8"/>
      <c r="RFY8"/>
      <c r="RGC8"/>
      <c r="RGG8"/>
      <c r="RGK8"/>
      <c r="RGO8"/>
      <c r="RGS8"/>
      <c r="RGW8"/>
      <c r="RHA8"/>
      <c r="RHE8"/>
      <c r="RHI8"/>
      <c r="RHM8"/>
      <c r="RHQ8"/>
      <c r="RHU8"/>
      <c r="RHY8"/>
      <c r="RIC8"/>
      <c r="RIG8"/>
      <c r="RIK8"/>
      <c r="RIO8"/>
      <c r="RIS8"/>
      <c r="RIW8"/>
      <c r="RJA8"/>
      <c r="RJE8"/>
      <c r="RJI8"/>
      <c r="RJM8"/>
      <c r="RJQ8"/>
      <c r="RJU8"/>
      <c r="RJY8"/>
      <c r="RKC8"/>
      <c r="RKG8"/>
      <c r="RKK8"/>
      <c r="RKO8"/>
      <c r="RKS8"/>
      <c r="RKW8"/>
      <c r="RLA8"/>
      <c r="RLE8"/>
      <c r="RLI8"/>
      <c r="RLM8"/>
      <c r="RLQ8"/>
      <c r="RLU8"/>
      <c r="RLY8"/>
      <c r="RMC8"/>
      <c r="RMG8"/>
      <c r="RMK8"/>
      <c r="RMO8"/>
      <c r="RMS8"/>
      <c r="RMW8"/>
      <c r="RNA8"/>
      <c r="RNE8"/>
      <c r="RNI8"/>
      <c r="RNM8"/>
      <c r="RNQ8"/>
      <c r="RNU8"/>
      <c r="RNY8"/>
      <c r="ROC8"/>
      <c r="ROG8"/>
      <c r="ROK8"/>
      <c r="ROO8"/>
      <c r="ROS8"/>
      <c r="ROW8"/>
      <c r="RPA8"/>
      <c r="RPE8"/>
      <c r="RPI8"/>
      <c r="RPM8"/>
      <c r="RPQ8"/>
      <c r="RPU8"/>
      <c r="RPY8"/>
      <c r="RQC8"/>
      <c r="RQG8"/>
      <c r="RQK8"/>
      <c r="RQO8"/>
      <c r="RQS8"/>
      <c r="RQW8"/>
      <c r="RRA8"/>
      <c r="RRE8"/>
      <c r="RRI8"/>
      <c r="RRM8"/>
      <c r="RRQ8"/>
      <c r="RRU8"/>
      <c r="RRY8"/>
      <c r="RSC8"/>
      <c r="RSG8"/>
      <c r="RSK8"/>
      <c r="RSO8"/>
      <c r="RSS8"/>
      <c r="RSW8"/>
      <c r="RTA8"/>
      <c r="RTE8"/>
      <c r="RTI8"/>
      <c r="RTM8"/>
      <c r="RTQ8"/>
      <c r="RTU8"/>
      <c r="RTY8"/>
      <c r="RUC8"/>
      <c r="RUG8"/>
      <c r="RUK8"/>
      <c r="RUO8"/>
      <c r="RUS8"/>
      <c r="RUW8"/>
      <c r="RVA8"/>
      <c r="RVE8"/>
      <c r="RVI8"/>
      <c r="RVM8"/>
      <c r="RVQ8"/>
      <c r="RVU8"/>
      <c r="RVY8"/>
      <c r="RWC8"/>
      <c r="RWG8"/>
      <c r="RWK8"/>
      <c r="RWO8"/>
      <c r="RWS8"/>
      <c r="RWW8"/>
      <c r="RXA8"/>
      <c r="RXE8"/>
      <c r="RXI8"/>
      <c r="RXM8"/>
      <c r="RXQ8"/>
      <c r="RXU8"/>
      <c r="RXY8"/>
      <c r="RYC8"/>
      <c r="RYG8"/>
      <c r="RYK8"/>
      <c r="RYO8"/>
      <c r="RYS8"/>
      <c r="RYW8"/>
      <c r="RZA8"/>
      <c r="RZE8"/>
      <c r="RZI8"/>
      <c r="RZM8"/>
      <c r="RZQ8"/>
      <c r="RZU8"/>
      <c r="RZY8"/>
      <c r="SAC8"/>
      <c r="SAG8"/>
      <c r="SAK8"/>
      <c r="SAO8"/>
      <c r="SAS8"/>
      <c r="SAW8"/>
      <c r="SBA8"/>
      <c r="SBE8"/>
      <c r="SBI8"/>
      <c r="SBM8"/>
      <c r="SBQ8"/>
      <c r="SBU8"/>
      <c r="SBY8"/>
      <c r="SCC8"/>
      <c r="SCG8"/>
      <c r="SCK8"/>
      <c r="SCO8"/>
      <c r="SCS8"/>
      <c r="SCW8"/>
      <c r="SDA8"/>
      <c r="SDE8"/>
      <c r="SDI8"/>
      <c r="SDM8"/>
      <c r="SDQ8"/>
      <c r="SDU8"/>
      <c r="SDY8"/>
      <c r="SEC8"/>
      <c r="SEG8"/>
      <c r="SEK8"/>
      <c r="SEO8"/>
      <c r="SES8"/>
      <c r="SEW8"/>
      <c r="SFA8"/>
      <c r="SFE8"/>
      <c r="SFI8"/>
      <c r="SFM8"/>
      <c r="SFQ8"/>
      <c r="SFU8"/>
      <c r="SFY8"/>
      <c r="SGC8"/>
      <c r="SGG8"/>
      <c r="SGK8"/>
      <c r="SGO8"/>
      <c r="SGS8"/>
      <c r="SGW8"/>
      <c r="SHA8"/>
      <c r="SHE8"/>
      <c r="SHI8"/>
      <c r="SHM8"/>
      <c r="SHQ8"/>
      <c r="SHU8"/>
      <c r="SHY8"/>
      <c r="SIC8"/>
      <c r="SIG8"/>
      <c r="SIK8"/>
      <c r="SIO8"/>
      <c r="SIS8"/>
      <c r="SIW8"/>
      <c r="SJA8"/>
      <c r="SJE8"/>
      <c r="SJI8"/>
      <c r="SJM8"/>
      <c r="SJQ8"/>
      <c r="SJU8"/>
      <c r="SJY8"/>
      <c r="SKC8"/>
      <c r="SKG8"/>
      <c r="SKK8"/>
      <c r="SKO8"/>
      <c r="SKS8"/>
      <c r="SKW8"/>
      <c r="SLA8"/>
      <c r="SLE8"/>
      <c r="SLI8"/>
      <c r="SLM8"/>
      <c r="SLQ8"/>
      <c r="SLU8"/>
      <c r="SLY8"/>
      <c r="SMC8"/>
      <c r="SMG8"/>
      <c r="SMK8"/>
      <c r="SMO8"/>
      <c r="SMS8"/>
      <c r="SMW8"/>
      <c r="SNA8"/>
      <c r="SNE8"/>
      <c r="SNI8"/>
      <c r="SNM8"/>
      <c r="SNQ8"/>
      <c r="SNU8"/>
      <c r="SNY8"/>
      <c r="SOC8"/>
      <c r="SOG8"/>
      <c r="SOK8"/>
      <c r="SOO8"/>
      <c r="SOS8"/>
      <c r="SOW8"/>
      <c r="SPA8"/>
      <c r="SPE8"/>
      <c r="SPI8"/>
      <c r="SPM8"/>
      <c r="SPQ8"/>
      <c r="SPU8"/>
      <c r="SPY8"/>
      <c r="SQC8"/>
      <c r="SQG8"/>
      <c r="SQK8"/>
      <c r="SQO8"/>
      <c r="SQS8"/>
      <c r="SQW8"/>
      <c r="SRA8"/>
      <c r="SRE8"/>
      <c r="SRI8"/>
      <c r="SRM8"/>
      <c r="SRQ8"/>
      <c r="SRU8"/>
      <c r="SRY8"/>
      <c r="SSC8"/>
      <c r="SSG8"/>
      <c r="SSK8"/>
      <c r="SSO8"/>
      <c r="SSS8"/>
      <c r="SSW8"/>
      <c r="STA8"/>
      <c r="STE8"/>
      <c r="STI8"/>
      <c r="STM8"/>
      <c r="STQ8"/>
      <c r="STU8"/>
      <c r="STY8"/>
      <c r="SUC8"/>
      <c r="SUG8"/>
      <c r="SUK8"/>
      <c r="SUO8"/>
      <c r="SUS8"/>
      <c r="SUW8"/>
      <c r="SVA8"/>
      <c r="SVE8"/>
      <c r="SVI8"/>
      <c r="SVM8"/>
      <c r="SVQ8"/>
      <c r="SVU8"/>
      <c r="SVY8"/>
      <c r="SWC8"/>
      <c r="SWG8"/>
      <c r="SWK8"/>
      <c r="SWO8"/>
      <c r="SWS8"/>
      <c r="SWW8"/>
      <c r="SXA8"/>
      <c r="SXE8"/>
      <c r="SXI8"/>
      <c r="SXM8"/>
      <c r="SXQ8"/>
      <c r="SXU8"/>
      <c r="SXY8"/>
      <c r="SYC8"/>
      <c r="SYG8"/>
      <c r="SYK8"/>
      <c r="SYO8"/>
      <c r="SYS8"/>
      <c r="SYW8"/>
      <c r="SZA8"/>
      <c r="SZE8"/>
      <c r="SZI8"/>
      <c r="SZM8"/>
      <c r="SZQ8"/>
      <c r="SZU8"/>
      <c r="SZY8"/>
      <c r="TAC8"/>
      <c r="TAG8"/>
      <c r="TAK8"/>
      <c r="TAO8"/>
      <c r="TAS8"/>
      <c r="TAW8"/>
      <c r="TBA8"/>
      <c r="TBE8"/>
      <c r="TBI8"/>
      <c r="TBM8"/>
      <c r="TBQ8"/>
      <c r="TBU8"/>
      <c r="TBY8"/>
      <c r="TCC8"/>
      <c r="TCG8"/>
      <c r="TCK8"/>
      <c r="TCO8"/>
      <c r="TCS8"/>
      <c r="TCW8"/>
      <c r="TDA8"/>
      <c r="TDE8"/>
      <c r="TDI8"/>
      <c r="TDM8"/>
      <c r="TDQ8"/>
      <c r="TDU8"/>
      <c r="TDY8"/>
      <c r="TEC8"/>
      <c r="TEG8"/>
      <c r="TEK8"/>
      <c r="TEO8"/>
      <c r="TES8"/>
      <c r="TEW8"/>
      <c r="TFA8"/>
      <c r="TFE8"/>
      <c r="TFI8"/>
      <c r="TFM8"/>
      <c r="TFQ8"/>
      <c r="TFU8"/>
      <c r="TFY8"/>
      <c r="TGC8"/>
      <c r="TGG8"/>
      <c r="TGK8"/>
      <c r="TGO8"/>
      <c r="TGS8"/>
      <c r="TGW8"/>
      <c r="THA8"/>
      <c r="THE8"/>
      <c r="THI8"/>
      <c r="THM8"/>
      <c r="THQ8"/>
      <c r="THU8"/>
      <c r="THY8"/>
      <c r="TIC8"/>
      <c r="TIG8"/>
      <c r="TIK8"/>
      <c r="TIO8"/>
      <c r="TIS8"/>
      <c r="TIW8"/>
      <c r="TJA8"/>
      <c r="TJE8"/>
      <c r="TJI8"/>
      <c r="TJM8"/>
      <c r="TJQ8"/>
      <c r="TJU8"/>
      <c r="TJY8"/>
      <c r="TKC8"/>
      <c r="TKG8"/>
      <c r="TKK8"/>
      <c r="TKO8"/>
      <c r="TKS8"/>
      <c r="TKW8"/>
      <c r="TLA8"/>
      <c r="TLE8"/>
      <c r="TLI8"/>
      <c r="TLM8"/>
      <c r="TLQ8"/>
      <c r="TLU8"/>
      <c r="TLY8"/>
      <c r="TMC8"/>
      <c r="TMG8"/>
      <c r="TMK8"/>
      <c r="TMO8"/>
      <c r="TMS8"/>
      <c r="TMW8"/>
      <c r="TNA8"/>
      <c r="TNE8"/>
      <c r="TNI8"/>
      <c r="TNM8"/>
      <c r="TNQ8"/>
      <c r="TNU8"/>
      <c r="TNY8"/>
      <c r="TOC8"/>
      <c r="TOG8"/>
      <c r="TOK8"/>
      <c r="TOO8"/>
      <c r="TOS8"/>
      <c r="TOW8"/>
      <c r="TPA8"/>
      <c r="TPE8"/>
      <c r="TPI8"/>
      <c r="TPM8"/>
      <c r="TPQ8"/>
      <c r="TPU8"/>
      <c r="TPY8"/>
      <c r="TQC8"/>
      <c r="TQG8"/>
      <c r="TQK8"/>
      <c r="TQO8"/>
      <c r="TQS8"/>
      <c r="TQW8"/>
      <c r="TRA8"/>
      <c r="TRE8"/>
      <c r="TRI8"/>
      <c r="TRM8"/>
      <c r="TRQ8"/>
      <c r="TRU8"/>
      <c r="TRY8"/>
      <c r="TSC8"/>
      <c r="TSG8"/>
      <c r="TSK8"/>
      <c r="TSO8"/>
      <c r="TSS8"/>
      <c r="TSW8"/>
      <c r="TTA8"/>
      <c r="TTE8"/>
      <c r="TTI8"/>
      <c r="TTM8"/>
      <c r="TTQ8"/>
      <c r="TTU8"/>
      <c r="TTY8"/>
      <c r="TUC8"/>
      <c r="TUG8"/>
      <c r="TUK8"/>
      <c r="TUO8"/>
      <c r="TUS8"/>
      <c r="TUW8"/>
      <c r="TVA8"/>
      <c r="TVE8"/>
      <c r="TVI8"/>
      <c r="TVM8"/>
      <c r="TVQ8"/>
      <c r="TVU8"/>
      <c r="TVY8"/>
      <c r="TWC8"/>
      <c r="TWG8"/>
      <c r="TWK8"/>
      <c r="TWO8"/>
      <c r="TWS8"/>
      <c r="TWW8"/>
      <c r="TXA8"/>
      <c r="TXE8"/>
      <c r="TXI8"/>
      <c r="TXM8"/>
      <c r="TXQ8"/>
      <c r="TXU8"/>
      <c r="TXY8"/>
      <c r="TYC8"/>
      <c r="TYG8"/>
      <c r="TYK8"/>
      <c r="TYO8"/>
      <c r="TYS8"/>
      <c r="TYW8"/>
      <c r="TZA8"/>
      <c r="TZE8"/>
      <c r="TZI8"/>
      <c r="TZM8"/>
      <c r="TZQ8"/>
      <c r="TZU8"/>
      <c r="TZY8"/>
      <c r="UAC8"/>
      <c r="UAG8"/>
      <c r="UAK8"/>
      <c r="UAO8"/>
      <c r="UAS8"/>
      <c r="UAW8"/>
      <c r="UBA8"/>
      <c r="UBE8"/>
      <c r="UBI8"/>
      <c r="UBM8"/>
      <c r="UBQ8"/>
      <c r="UBU8"/>
      <c r="UBY8"/>
      <c r="UCC8"/>
      <c r="UCG8"/>
      <c r="UCK8"/>
      <c r="UCO8"/>
      <c r="UCS8"/>
      <c r="UCW8"/>
      <c r="UDA8"/>
      <c r="UDE8"/>
      <c r="UDI8"/>
      <c r="UDM8"/>
      <c r="UDQ8"/>
      <c r="UDU8"/>
      <c r="UDY8"/>
      <c r="UEC8"/>
      <c r="UEG8"/>
      <c r="UEK8"/>
      <c r="UEO8"/>
      <c r="UES8"/>
      <c r="UEW8"/>
      <c r="UFA8"/>
      <c r="UFE8"/>
      <c r="UFI8"/>
      <c r="UFM8"/>
      <c r="UFQ8"/>
      <c r="UFU8"/>
      <c r="UFY8"/>
      <c r="UGC8"/>
      <c r="UGG8"/>
      <c r="UGK8"/>
      <c r="UGO8"/>
      <c r="UGS8"/>
      <c r="UGW8"/>
      <c r="UHA8"/>
      <c r="UHE8"/>
      <c r="UHI8"/>
      <c r="UHM8"/>
      <c r="UHQ8"/>
      <c r="UHU8"/>
      <c r="UHY8"/>
      <c r="UIC8"/>
      <c r="UIG8"/>
      <c r="UIK8"/>
      <c r="UIO8"/>
      <c r="UIS8"/>
      <c r="UIW8"/>
      <c r="UJA8"/>
      <c r="UJE8"/>
      <c r="UJI8"/>
      <c r="UJM8"/>
      <c r="UJQ8"/>
      <c r="UJU8"/>
      <c r="UJY8"/>
      <c r="UKC8"/>
      <c r="UKG8"/>
      <c r="UKK8"/>
      <c r="UKO8"/>
      <c r="UKS8"/>
      <c r="UKW8"/>
      <c r="ULA8"/>
      <c r="ULE8"/>
      <c r="ULI8"/>
      <c r="ULM8"/>
      <c r="ULQ8"/>
      <c r="ULU8"/>
      <c r="ULY8"/>
      <c r="UMC8"/>
      <c r="UMG8"/>
      <c r="UMK8"/>
      <c r="UMO8"/>
      <c r="UMS8"/>
      <c r="UMW8"/>
      <c r="UNA8"/>
      <c r="UNE8"/>
      <c r="UNI8"/>
      <c r="UNM8"/>
      <c r="UNQ8"/>
      <c r="UNU8"/>
      <c r="UNY8"/>
      <c r="UOC8"/>
      <c r="UOG8"/>
      <c r="UOK8"/>
      <c r="UOO8"/>
      <c r="UOS8"/>
      <c r="UOW8"/>
      <c r="UPA8"/>
      <c r="UPE8"/>
      <c r="UPI8"/>
      <c r="UPM8"/>
      <c r="UPQ8"/>
      <c r="UPU8"/>
      <c r="UPY8"/>
      <c r="UQC8"/>
      <c r="UQG8"/>
      <c r="UQK8"/>
      <c r="UQO8"/>
      <c r="UQS8"/>
      <c r="UQW8"/>
      <c r="URA8"/>
      <c r="URE8"/>
      <c r="URI8"/>
      <c r="URM8"/>
      <c r="URQ8"/>
      <c r="URU8"/>
      <c r="URY8"/>
      <c r="USC8"/>
      <c r="USG8"/>
      <c r="USK8"/>
      <c r="USO8"/>
      <c r="USS8"/>
      <c r="USW8"/>
      <c r="UTA8"/>
      <c r="UTE8"/>
      <c r="UTI8"/>
      <c r="UTM8"/>
      <c r="UTQ8"/>
      <c r="UTU8"/>
      <c r="UTY8"/>
      <c r="UUC8"/>
      <c r="UUG8"/>
      <c r="UUK8"/>
      <c r="UUO8"/>
      <c r="UUS8"/>
      <c r="UUW8"/>
      <c r="UVA8"/>
      <c r="UVE8"/>
      <c r="UVI8"/>
      <c r="UVM8"/>
      <c r="UVQ8"/>
      <c r="UVU8"/>
      <c r="UVY8"/>
      <c r="UWC8"/>
      <c r="UWG8"/>
      <c r="UWK8"/>
      <c r="UWO8"/>
      <c r="UWS8"/>
      <c r="UWW8"/>
      <c r="UXA8"/>
      <c r="UXE8"/>
      <c r="UXI8"/>
      <c r="UXM8"/>
      <c r="UXQ8"/>
      <c r="UXU8"/>
      <c r="UXY8"/>
      <c r="UYC8"/>
      <c r="UYG8"/>
      <c r="UYK8"/>
      <c r="UYO8"/>
      <c r="UYS8"/>
      <c r="UYW8"/>
      <c r="UZA8"/>
      <c r="UZE8"/>
      <c r="UZI8"/>
      <c r="UZM8"/>
      <c r="UZQ8"/>
      <c r="UZU8"/>
      <c r="UZY8"/>
      <c r="VAC8"/>
      <c r="VAG8"/>
      <c r="VAK8"/>
      <c r="VAO8"/>
      <c r="VAS8"/>
      <c r="VAW8"/>
      <c r="VBA8"/>
      <c r="VBE8"/>
      <c r="VBI8"/>
      <c r="VBM8"/>
      <c r="VBQ8"/>
      <c r="VBU8"/>
      <c r="VBY8"/>
      <c r="VCC8"/>
      <c r="VCG8"/>
      <c r="VCK8"/>
      <c r="VCO8"/>
      <c r="VCS8"/>
      <c r="VCW8"/>
      <c r="VDA8"/>
      <c r="VDE8"/>
      <c r="VDI8"/>
      <c r="VDM8"/>
      <c r="VDQ8"/>
      <c r="VDU8"/>
      <c r="VDY8"/>
      <c r="VEC8"/>
      <c r="VEG8"/>
      <c r="VEK8"/>
      <c r="VEO8"/>
      <c r="VES8"/>
      <c r="VEW8"/>
      <c r="VFA8"/>
      <c r="VFE8"/>
      <c r="VFI8"/>
      <c r="VFM8"/>
      <c r="VFQ8"/>
      <c r="VFU8"/>
      <c r="VFY8"/>
      <c r="VGC8"/>
      <c r="VGG8"/>
      <c r="VGK8"/>
      <c r="VGO8"/>
      <c r="VGS8"/>
      <c r="VGW8"/>
      <c r="VHA8"/>
      <c r="VHE8"/>
      <c r="VHI8"/>
      <c r="VHM8"/>
      <c r="VHQ8"/>
      <c r="VHU8"/>
      <c r="VHY8"/>
      <c r="VIC8"/>
      <c r="VIG8"/>
      <c r="VIK8"/>
      <c r="VIO8"/>
      <c r="VIS8"/>
      <c r="VIW8"/>
      <c r="VJA8"/>
      <c r="VJE8"/>
      <c r="VJI8"/>
      <c r="VJM8"/>
      <c r="VJQ8"/>
      <c r="VJU8"/>
      <c r="VJY8"/>
      <c r="VKC8"/>
      <c r="VKG8"/>
      <c r="VKK8"/>
      <c r="VKO8"/>
      <c r="VKS8"/>
      <c r="VKW8"/>
      <c r="VLA8"/>
      <c r="VLE8"/>
      <c r="VLI8"/>
      <c r="VLM8"/>
      <c r="VLQ8"/>
      <c r="VLU8"/>
      <c r="VLY8"/>
      <c r="VMC8"/>
      <c r="VMG8"/>
      <c r="VMK8"/>
      <c r="VMO8"/>
      <c r="VMS8"/>
      <c r="VMW8"/>
      <c r="VNA8"/>
      <c r="VNE8"/>
      <c r="VNI8"/>
      <c r="VNM8"/>
      <c r="VNQ8"/>
      <c r="VNU8"/>
      <c r="VNY8"/>
      <c r="VOC8"/>
      <c r="VOG8"/>
      <c r="VOK8"/>
      <c r="VOO8"/>
      <c r="VOS8"/>
      <c r="VOW8"/>
      <c r="VPA8"/>
      <c r="VPE8"/>
      <c r="VPI8"/>
      <c r="VPM8"/>
      <c r="VPQ8"/>
      <c r="VPU8"/>
      <c r="VPY8"/>
      <c r="VQC8"/>
      <c r="VQG8"/>
      <c r="VQK8"/>
      <c r="VQO8"/>
      <c r="VQS8"/>
      <c r="VQW8"/>
      <c r="VRA8"/>
      <c r="VRE8"/>
      <c r="VRI8"/>
      <c r="VRM8"/>
      <c r="VRQ8"/>
      <c r="VRU8"/>
      <c r="VRY8"/>
      <c r="VSC8"/>
      <c r="VSG8"/>
      <c r="VSK8"/>
      <c r="VSO8"/>
      <c r="VSS8"/>
      <c r="VSW8"/>
      <c r="VTA8"/>
      <c r="VTE8"/>
      <c r="VTI8"/>
      <c r="VTM8"/>
      <c r="VTQ8"/>
      <c r="VTU8"/>
      <c r="VTY8"/>
      <c r="VUC8"/>
      <c r="VUG8"/>
      <c r="VUK8"/>
      <c r="VUO8"/>
      <c r="VUS8"/>
      <c r="VUW8"/>
      <c r="VVA8"/>
      <c r="VVE8"/>
      <c r="VVI8"/>
      <c r="VVM8"/>
      <c r="VVQ8"/>
      <c r="VVU8"/>
      <c r="VVY8"/>
      <c r="VWC8"/>
      <c r="VWG8"/>
      <c r="VWK8"/>
      <c r="VWO8"/>
      <c r="VWS8"/>
      <c r="VWW8"/>
      <c r="VXA8"/>
      <c r="VXE8"/>
      <c r="VXI8"/>
      <c r="VXM8"/>
      <c r="VXQ8"/>
      <c r="VXU8"/>
      <c r="VXY8"/>
      <c r="VYC8"/>
      <c r="VYG8"/>
      <c r="VYK8"/>
      <c r="VYO8"/>
      <c r="VYS8"/>
      <c r="VYW8"/>
      <c r="VZA8"/>
      <c r="VZE8"/>
      <c r="VZI8"/>
      <c r="VZM8"/>
      <c r="VZQ8"/>
      <c r="VZU8"/>
      <c r="VZY8"/>
      <c r="WAC8"/>
      <c r="WAG8"/>
      <c r="WAK8"/>
      <c r="WAO8"/>
      <c r="WAS8"/>
      <c r="WAW8"/>
      <c r="WBA8"/>
      <c r="WBE8"/>
      <c r="WBI8"/>
      <c r="WBM8"/>
      <c r="WBQ8"/>
      <c r="WBU8"/>
      <c r="WBY8"/>
      <c r="WCC8"/>
      <c r="WCG8"/>
      <c r="WCK8"/>
      <c r="WCO8"/>
      <c r="WCS8"/>
      <c r="WCW8"/>
      <c r="WDA8"/>
      <c r="WDE8"/>
      <c r="WDI8"/>
      <c r="WDM8"/>
      <c r="WDQ8"/>
      <c r="WDU8"/>
      <c r="WDY8"/>
      <c r="WEC8"/>
      <c r="WEG8"/>
      <c r="WEK8"/>
      <c r="WEO8"/>
      <c r="WES8"/>
      <c r="WEW8"/>
      <c r="WFA8"/>
      <c r="WFE8"/>
      <c r="WFI8"/>
      <c r="WFM8"/>
      <c r="WFQ8"/>
      <c r="WFU8"/>
      <c r="WFY8"/>
      <c r="WGC8"/>
      <c r="WGG8"/>
      <c r="WGK8"/>
      <c r="WGO8"/>
      <c r="WGS8"/>
      <c r="WGW8"/>
      <c r="WHA8"/>
      <c r="WHE8"/>
      <c r="WHI8"/>
      <c r="WHM8"/>
      <c r="WHQ8"/>
      <c r="WHU8"/>
      <c r="WHY8"/>
      <c r="WIC8"/>
      <c r="WIG8"/>
      <c r="WIK8"/>
      <c r="WIO8"/>
      <c r="WIS8"/>
      <c r="WIW8"/>
      <c r="WJA8"/>
      <c r="WJE8"/>
      <c r="WJI8"/>
      <c r="WJM8"/>
      <c r="WJQ8"/>
      <c r="WJU8"/>
      <c r="WJY8"/>
      <c r="WKC8"/>
      <c r="WKG8"/>
      <c r="WKK8"/>
      <c r="WKO8"/>
      <c r="WKS8"/>
      <c r="WKW8"/>
      <c r="WLA8"/>
      <c r="WLE8"/>
      <c r="WLI8"/>
      <c r="WLM8"/>
      <c r="WLQ8"/>
      <c r="WLU8"/>
      <c r="WLY8"/>
      <c r="WMC8"/>
      <c r="WMG8"/>
      <c r="WMK8"/>
      <c r="WMO8"/>
      <c r="WMS8"/>
      <c r="WMW8"/>
      <c r="WNA8"/>
      <c r="WNE8"/>
      <c r="WNI8"/>
      <c r="WNM8"/>
      <c r="WNQ8"/>
      <c r="WNU8"/>
      <c r="WNY8"/>
      <c r="WOC8"/>
      <c r="WOG8"/>
      <c r="WOK8"/>
      <c r="WOO8"/>
      <c r="WOS8"/>
      <c r="WOW8"/>
      <c r="WPA8"/>
      <c r="WPE8"/>
      <c r="WPI8"/>
      <c r="WPM8"/>
      <c r="WPQ8"/>
      <c r="WPU8"/>
      <c r="WPY8"/>
      <c r="WQC8"/>
      <c r="WQG8"/>
      <c r="WQK8"/>
      <c r="WQO8"/>
      <c r="WQS8"/>
      <c r="WQW8"/>
      <c r="WRA8"/>
      <c r="WRE8"/>
      <c r="WRI8"/>
      <c r="WRM8"/>
      <c r="WRQ8"/>
      <c r="WRU8"/>
      <c r="WRY8"/>
      <c r="WSC8"/>
      <c r="WSG8"/>
      <c r="WSK8"/>
      <c r="WSO8"/>
      <c r="WSS8"/>
      <c r="WSW8"/>
      <c r="WTA8"/>
      <c r="WTE8"/>
      <c r="WTI8"/>
      <c r="WTM8"/>
      <c r="WTQ8"/>
      <c r="WTU8"/>
      <c r="WTY8"/>
      <c r="WUC8"/>
      <c r="WUG8"/>
      <c r="WUK8"/>
      <c r="WUO8"/>
      <c r="WUS8"/>
      <c r="WUW8"/>
      <c r="WVA8"/>
      <c r="WVE8"/>
      <c r="WVI8"/>
      <c r="WVM8"/>
      <c r="WVQ8"/>
      <c r="WVU8"/>
      <c r="WVY8"/>
      <c r="WWC8"/>
      <c r="WWG8"/>
      <c r="WWK8"/>
      <c r="WWO8"/>
      <c r="WWS8"/>
      <c r="WWW8"/>
      <c r="WXA8"/>
      <c r="WXE8"/>
      <c r="WXI8"/>
      <c r="WXM8"/>
      <c r="WXQ8"/>
      <c r="WXU8"/>
      <c r="WXY8"/>
      <c r="WYC8"/>
      <c r="WYG8"/>
      <c r="WYK8"/>
      <c r="WYO8"/>
      <c r="WYS8"/>
      <c r="WYW8"/>
      <c r="WZA8"/>
      <c r="WZE8"/>
      <c r="WZI8"/>
      <c r="WZM8"/>
      <c r="WZQ8"/>
      <c r="WZU8"/>
      <c r="WZY8"/>
      <c r="XAC8"/>
      <c r="XAG8"/>
      <c r="XAK8"/>
      <c r="XAO8"/>
      <c r="XAS8"/>
      <c r="XAW8"/>
      <c r="XBA8"/>
      <c r="XBE8"/>
      <c r="XBI8"/>
      <c r="XBM8"/>
      <c r="XBQ8"/>
      <c r="XBU8"/>
      <c r="XBY8"/>
      <c r="XCC8"/>
      <c r="XCG8"/>
      <c r="XCK8"/>
      <c r="XCO8"/>
      <c r="XCS8"/>
      <c r="XCW8"/>
      <c r="XDA8"/>
      <c r="XDE8"/>
      <c r="XDI8"/>
      <c r="XDM8"/>
      <c r="XDQ8"/>
      <c r="XDU8"/>
      <c r="XDY8"/>
      <c r="XEC8"/>
      <c r="XEG8"/>
      <c r="XEK8"/>
      <c r="XEO8"/>
      <c r="XES8"/>
      <c r="XEW8"/>
      <c r="XFA8"/>
    </row>
    <row r="9" spans="1:1021 1025:2045 2049:3069 3073:4093 4097:5117 5121:6141 6145:7165 7169:8189 8193:9213 9217:10237 10241:11261 11265:12285 12289:13309 13313:14333 14337:15357 15361:16381" s="1" customFormat="1" x14ac:dyDescent="0.35">
      <c r="A9" s="21">
        <v>1</v>
      </c>
      <c r="B9" s="21">
        <v>5</v>
      </c>
      <c r="C9" s="1" t="str">
        <f xml:space="preserve"> IF('Master Player List'!L7=1,'Master Player List'!C7,"")</f>
        <v xml:space="preserve">Kim, Steven </v>
      </c>
      <c r="D9" s="1" t="str">
        <f xml:space="preserve"> IF('Master Player List'!L7=1,'Master Player List'!F7,"")</f>
        <v xml:space="preserve">Kerrigan, Mike </v>
      </c>
      <c r="E9" s="21">
        <f xml:space="preserve"> IF('Master Player List'!L7=1,'Master Player List'!I7,"")</f>
        <v>2.9</v>
      </c>
      <c r="F9" s="22"/>
      <c r="I9" s="21"/>
      <c r="J9" s="22"/>
      <c r="M9"/>
      <c r="Q9"/>
      <c r="U9"/>
      <c r="Y9"/>
      <c r="AC9"/>
      <c r="AG9"/>
      <c r="AK9"/>
      <c r="AO9"/>
      <c r="AS9"/>
      <c r="AW9"/>
      <c r="BA9"/>
      <c r="BE9"/>
      <c r="BI9"/>
      <c r="BM9"/>
      <c r="BQ9"/>
      <c r="BU9"/>
      <c r="BY9"/>
      <c r="CC9"/>
      <c r="CG9"/>
      <c r="CK9"/>
      <c r="CO9"/>
      <c r="CS9"/>
      <c r="CW9"/>
      <c r="DA9"/>
      <c r="DE9"/>
      <c r="DI9"/>
      <c r="DM9"/>
      <c r="DQ9"/>
      <c r="DU9"/>
      <c r="DY9"/>
      <c r="EC9"/>
      <c r="EG9"/>
      <c r="EK9"/>
      <c r="EO9"/>
      <c r="ES9"/>
      <c r="EW9"/>
      <c r="FA9"/>
      <c r="FE9"/>
      <c r="FI9"/>
      <c r="FM9"/>
      <c r="FQ9"/>
      <c r="FU9"/>
      <c r="FY9"/>
      <c r="GC9"/>
      <c r="GG9"/>
      <c r="GK9"/>
      <c r="GO9"/>
      <c r="GS9"/>
      <c r="GW9"/>
      <c r="HA9"/>
      <c r="HE9"/>
      <c r="HI9"/>
      <c r="HM9"/>
      <c r="HQ9"/>
      <c r="HU9"/>
      <c r="HY9"/>
      <c r="IC9"/>
      <c r="IG9"/>
      <c r="IK9"/>
      <c r="IO9"/>
      <c r="IS9"/>
      <c r="IW9"/>
      <c r="JA9"/>
      <c r="JE9"/>
      <c r="JI9"/>
      <c r="JM9"/>
      <c r="JQ9"/>
      <c r="JU9"/>
      <c r="JY9"/>
      <c r="KC9"/>
      <c r="KG9"/>
      <c r="KK9"/>
      <c r="KO9"/>
      <c r="KS9"/>
      <c r="KW9"/>
      <c r="LA9"/>
      <c r="LE9"/>
      <c r="LI9"/>
      <c r="LM9"/>
      <c r="LQ9"/>
      <c r="LU9"/>
      <c r="LY9"/>
      <c r="MC9"/>
      <c r="MG9"/>
      <c r="MK9"/>
      <c r="MO9"/>
      <c r="MS9"/>
      <c r="MW9"/>
      <c r="NA9"/>
      <c r="NE9"/>
      <c r="NI9"/>
      <c r="NM9"/>
      <c r="NQ9"/>
      <c r="NU9"/>
      <c r="NY9"/>
      <c r="OC9"/>
      <c r="OG9"/>
      <c r="OK9"/>
      <c r="OO9"/>
      <c r="OS9"/>
      <c r="OW9"/>
      <c r="PA9"/>
      <c r="PE9"/>
      <c r="PI9"/>
      <c r="PM9"/>
      <c r="PQ9"/>
      <c r="PU9"/>
      <c r="PY9"/>
      <c r="QC9"/>
      <c r="QG9"/>
      <c r="QK9"/>
      <c r="QO9"/>
      <c r="QS9"/>
      <c r="QW9"/>
      <c r="RA9"/>
      <c r="RE9"/>
      <c r="RI9"/>
      <c r="RM9"/>
      <c r="RQ9"/>
      <c r="RU9"/>
      <c r="RY9"/>
      <c r="SC9"/>
      <c r="SG9"/>
      <c r="SK9"/>
      <c r="SO9"/>
      <c r="SS9"/>
      <c r="SW9"/>
      <c r="TA9"/>
      <c r="TE9"/>
      <c r="TI9"/>
      <c r="TM9"/>
      <c r="TQ9"/>
      <c r="TU9"/>
      <c r="TY9"/>
      <c r="UC9"/>
      <c r="UG9"/>
      <c r="UK9"/>
      <c r="UO9"/>
      <c r="US9"/>
      <c r="UW9"/>
      <c r="VA9"/>
      <c r="VE9"/>
      <c r="VI9"/>
      <c r="VM9"/>
      <c r="VQ9"/>
      <c r="VU9"/>
      <c r="VY9"/>
      <c r="WC9"/>
      <c r="WG9"/>
      <c r="WK9"/>
      <c r="WO9"/>
      <c r="WS9"/>
      <c r="WW9"/>
      <c r="XA9"/>
      <c r="XE9"/>
      <c r="XI9"/>
      <c r="XM9"/>
      <c r="XQ9"/>
      <c r="XU9"/>
      <c r="XY9"/>
      <c r="YC9"/>
      <c r="YG9"/>
      <c r="YK9"/>
      <c r="YO9"/>
      <c r="YS9"/>
      <c r="YW9"/>
      <c r="ZA9"/>
      <c r="ZE9"/>
      <c r="ZI9"/>
      <c r="ZM9"/>
      <c r="ZQ9"/>
      <c r="ZU9"/>
      <c r="ZY9"/>
      <c r="AAC9"/>
      <c r="AAG9"/>
      <c r="AAK9"/>
      <c r="AAO9"/>
      <c r="AAS9"/>
      <c r="AAW9"/>
      <c r="ABA9"/>
      <c r="ABE9"/>
      <c r="ABI9"/>
      <c r="ABM9"/>
      <c r="ABQ9"/>
      <c r="ABU9"/>
      <c r="ABY9"/>
      <c r="ACC9"/>
      <c r="ACG9"/>
      <c r="ACK9"/>
      <c r="ACO9"/>
      <c r="ACS9"/>
      <c r="ACW9"/>
      <c r="ADA9"/>
      <c r="ADE9"/>
      <c r="ADI9"/>
      <c r="ADM9"/>
      <c r="ADQ9"/>
      <c r="ADU9"/>
      <c r="ADY9"/>
      <c r="AEC9"/>
      <c r="AEG9"/>
      <c r="AEK9"/>
      <c r="AEO9"/>
      <c r="AES9"/>
      <c r="AEW9"/>
      <c r="AFA9"/>
      <c r="AFE9"/>
      <c r="AFI9"/>
      <c r="AFM9"/>
      <c r="AFQ9"/>
      <c r="AFU9"/>
      <c r="AFY9"/>
      <c r="AGC9"/>
      <c r="AGG9"/>
      <c r="AGK9"/>
      <c r="AGO9"/>
      <c r="AGS9"/>
      <c r="AGW9"/>
      <c r="AHA9"/>
      <c r="AHE9"/>
      <c r="AHI9"/>
      <c r="AHM9"/>
      <c r="AHQ9"/>
      <c r="AHU9"/>
      <c r="AHY9"/>
      <c r="AIC9"/>
      <c r="AIG9"/>
      <c r="AIK9"/>
      <c r="AIO9"/>
      <c r="AIS9"/>
      <c r="AIW9"/>
      <c r="AJA9"/>
      <c r="AJE9"/>
      <c r="AJI9"/>
      <c r="AJM9"/>
      <c r="AJQ9"/>
      <c r="AJU9"/>
      <c r="AJY9"/>
      <c r="AKC9"/>
      <c r="AKG9"/>
      <c r="AKK9"/>
      <c r="AKO9"/>
      <c r="AKS9"/>
      <c r="AKW9"/>
      <c r="ALA9"/>
      <c r="ALE9"/>
      <c r="ALI9"/>
      <c r="ALM9"/>
      <c r="ALQ9"/>
      <c r="ALU9"/>
      <c r="ALY9"/>
      <c r="AMC9"/>
      <c r="AMG9"/>
      <c r="AMK9"/>
      <c r="AMO9"/>
      <c r="AMS9"/>
      <c r="AMW9"/>
      <c r="ANA9"/>
      <c r="ANE9"/>
      <c r="ANI9"/>
      <c r="ANM9"/>
      <c r="ANQ9"/>
      <c r="ANU9"/>
      <c r="ANY9"/>
      <c r="AOC9"/>
      <c r="AOG9"/>
      <c r="AOK9"/>
      <c r="AOO9"/>
      <c r="AOS9"/>
      <c r="AOW9"/>
      <c r="APA9"/>
      <c r="APE9"/>
      <c r="API9"/>
      <c r="APM9"/>
      <c r="APQ9"/>
      <c r="APU9"/>
      <c r="APY9"/>
      <c r="AQC9"/>
      <c r="AQG9"/>
      <c r="AQK9"/>
      <c r="AQO9"/>
      <c r="AQS9"/>
      <c r="AQW9"/>
      <c r="ARA9"/>
      <c r="ARE9"/>
      <c r="ARI9"/>
      <c r="ARM9"/>
      <c r="ARQ9"/>
      <c r="ARU9"/>
      <c r="ARY9"/>
      <c r="ASC9"/>
      <c r="ASG9"/>
      <c r="ASK9"/>
      <c r="ASO9"/>
      <c r="ASS9"/>
      <c r="ASW9"/>
      <c r="ATA9"/>
      <c r="ATE9"/>
      <c r="ATI9"/>
      <c r="ATM9"/>
      <c r="ATQ9"/>
      <c r="ATU9"/>
      <c r="ATY9"/>
      <c r="AUC9"/>
      <c r="AUG9"/>
      <c r="AUK9"/>
      <c r="AUO9"/>
      <c r="AUS9"/>
      <c r="AUW9"/>
      <c r="AVA9"/>
      <c r="AVE9"/>
      <c r="AVI9"/>
      <c r="AVM9"/>
      <c r="AVQ9"/>
      <c r="AVU9"/>
      <c r="AVY9"/>
      <c r="AWC9"/>
      <c r="AWG9"/>
      <c r="AWK9"/>
      <c r="AWO9"/>
      <c r="AWS9"/>
      <c r="AWW9"/>
      <c r="AXA9"/>
      <c r="AXE9"/>
      <c r="AXI9"/>
      <c r="AXM9"/>
      <c r="AXQ9"/>
      <c r="AXU9"/>
      <c r="AXY9"/>
      <c r="AYC9"/>
      <c r="AYG9"/>
      <c r="AYK9"/>
      <c r="AYO9"/>
      <c r="AYS9"/>
      <c r="AYW9"/>
      <c r="AZA9"/>
      <c r="AZE9"/>
      <c r="AZI9"/>
      <c r="AZM9"/>
      <c r="AZQ9"/>
      <c r="AZU9"/>
      <c r="AZY9"/>
      <c r="BAC9"/>
      <c r="BAG9"/>
      <c r="BAK9"/>
      <c r="BAO9"/>
      <c r="BAS9"/>
      <c r="BAW9"/>
      <c r="BBA9"/>
      <c r="BBE9"/>
      <c r="BBI9"/>
      <c r="BBM9"/>
      <c r="BBQ9"/>
      <c r="BBU9"/>
      <c r="BBY9"/>
      <c r="BCC9"/>
      <c r="BCG9"/>
      <c r="BCK9"/>
      <c r="BCO9"/>
      <c r="BCS9"/>
      <c r="BCW9"/>
      <c r="BDA9"/>
      <c r="BDE9"/>
      <c r="BDI9"/>
      <c r="BDM9"/>
      <c r="BDQ9"/>
      <c r="BDU9"/>
      <c r="BDY9"/>
      <c r="BEC9"/>
      <c r="BEG9"/>
      <c r="BEK9"/>
      <c r="BEO9"/>
      <c r="BES9"/>
      <c r="BEW9"/>
      <c r="BFA9"/>
      <c r="BFE9"/>
      <c r="BFI9"/>
      <c r="BFM9"/>
      <c r="BFQ9"/>
      <c r="BFU9"/>
      <c r="BFY9"/>
      <c r="BGC9"/>
      <c r="BGG9"/>
      <c r="BGK9"/>
      <c r="BGO9"/>
      <c r="BGS9"/>
      <c r="BGW9"/>
      <c r="BHA9"/>
      <c r="BHE9"/>
      <c r="BHI9"/>
      <c r="BHM9"/>
      <c r="BHQ9"/>
      <c r="BHU9"/>
      <c r="BHY9"/>
      <c r="BIC9"/>
      <c r="BIG9"/>
      <c r="BIK9"/>
      <c r="BIO9"/>
      <c r="BIS9"/>
      <c r="BIW9"/>
      <c r="BJA9"/>
      <c r="BJE9"/>
      <c r="BJI9"/>
      <c r="BJM9"/>
      <c r="BJQ9"/>
      <c r="BJU9"/>
      <c r="BJY9"/>
      <c r="BKC9"/>
      <c r="BKG9"/>
      <c r="BKK9"/>
      <c r="BKO9"/>
      <c r="BKS9"/>
      <c r="BKW9"/>
      <c r="BLA9"/>
      <c r="BLE9"/>
      <c r="BLI9"/>
      <c r="BLM9"/>
      <c r="BLQ9"/>
      <c r="BLU9"/>
      <c r="BLY9"/>
      <c r="BMC9"/>
      <c r="BMG9"/>
      <c r="BMK9"/>
      <c r="BMO9"/>
      <c r="BMS9"/>
      <c r="BMW9"/>
      <c r="BNA9"/>
      <c r="BNE9"/>
      <c r="BNI9"/>
      <c r="BNM9"/>
      <c r="BNQ9"/>
      <c r="BNU9"/>
      <c r="BNY9"/>
      <c r="BOC9"/>
      <c r="BOG9"/>
      <c r="BOK9"/>
      <c r="BOO9"/>
      <c r="BOS9"/>
      <c r="BOW9"/>
      <c r="BPA9"/>
      <c r="BPE9"/>
      <c r="BPI9"/>
      <c r="BPM9"/>
      <c r="BPQ9"/>
      <c r="BPU9"/>
      <c r="BPY9"/>
      <c r="BQC9"/>
      <c r="BQG9"/>
      <c r="BQK9"/>
      <c r="BQO9"/>
      <c r="BQS9"/>
      <c r="BQW9"/>
      <c r="BRA9"/>
      <c r="BRE9"/>
      <c r="BRI9"/>
      <c r="BRM9"/>
      <c r="BRQ9"/>
      <c r="BRU9"/>
      <c r="BRY9"/>
      <c r="BSC9"/>
      <c r="BSG9"/>
      <c r="BSK9"/>
      <c r="BSO9"/>
      <c r="BSS9"/>
      <c r="BSW9"/>
      <c r="BTA9"/>
      <c r="BTE9"/>
      <c r="BTI9"/>
      <c r="BTM9"/>
      <c r="BTQ9"/>
      <c r="BTU9"/>
      <c r="BTY9"/>
      <c r="BUC9"/>
      <c r="BUG9"/>
      <c r="BUK9"/>
      <c r="BUO9"/>
      <c r="BUS9"/>
      <c r="BUW9"/>
      <c r="BVA9"/>
      <c r="BVE9"/>
      <c r="BVI9"/>
      <c r="BVM9"/>
      <c r="BVQ9"/>
      <c r="BVU9"/>
      <c r="BVY9"/>
      <c r="BWC9"/>
      <c r="BWG9"/>
      <c r="BWK9"/>
      <c r="BWO9"/>
      <c r="BWS9"/>
      <c r="BWW9"/>
      <c r="BXA9"/>
      <c r="BXE9"/>
      <c r="BXI9"/>
      <c r="BXM9"/>
      <c r="BXQ9"/>
      <c r="BXU9"/>
      <c r="BXY9"/>
      <c r="BYC9"/>
      <c r="BYG9"/>
      <c r="BYK9"/>
      <c r="BYO9"/>
      <c r="BYS9"/>
      <c r="BYW9"/>
      <c r="BZA9"/>
      <c r="BZE9"/>
      <c r="BZI9"/>
      <c r="BZM9"/>
      <c r="BZQ9"/>
      <c r="BZU9"/>
      <c r="BZY9"/>
      <c r="CAC9"/>
      <c r="CAG9"/>
      <c r="CAK9"/>
      <c r="CAO9"/>
      <c r="CAS9"/>
      <c r="CAW9"/>
      <c r="CBA9"/>
      <c r="CBE9"/>
      <c r="CBI9"/>
      <c r="CBM9"/>
      <c r="CBQ9"/>
      <c r="CBU9"/>
      <c r="CBY9"/>
      <c r="CCC9"/>
      <c r="CCG9"/>
      <c r="CCK9"/>
      <c r="CCO9"/>
      <c r="CCS9"/>
      <c r="CCW9"/>
      <c r="CDA9"/>
      <c r="CDE9"/>
      <c r="CDI9"/>
      <c r="CDM9"/>
      <c r="CDQ9"/>
      <c r="CDU9"/>
      <c r="CDY9"/>
      <c r="CEC9"/>
      <c r="CEG9"/>
      <c r="CEK9"/>
      <c r="CEO9"/>
      <c r="CES9"/>
      <c r="CEW9"/>
      <c r="CFA9"/>
      <c r="CFE9"/>
      <c r="CFI9"/>
      <c r="CFM9"/>
      <c r="CFQ9"/>
      <c r="CFU9"/>
      <c r="CFY9"/>
      <c r="CGC9"/>
      <c r="CGG9"/>
      <c r="CGK9"/>
      <c r="CGO9"/>
      <c r="CGS9"/>
      <c r="CGW9"/>
      <c r="CHA9"/>
      <c r="CHE9"/>
      <c r="CHI9"/>
      <c r="CHM9"/>
      <c r="CHQ9"/>
      <c r="CHU9"/>
      <c r="CHY9"/>
      <c r="CIC9"/>
      <c r="CIG9"/>
      <c r="CIK9"/>
      <c r="CIO9"/>
      <c r="CIS9"/>
      <c r="CIW9"/>
      <c r="CJA9"/>
      <c r="CJE9"/>
      <c r="CJI9"/>
      <c r="CJM9"/>
      <c r="CJQ9"/>
      <c r="CJU9"/>
      <c r="CJY9"/>
      <c r="CKC9"/>
      <c r="CKG9"/>
      <c r="CKK9"/>
      <c r="CKO9"/>
      <c r="CKS9"/>
      <c r="CKW9"/>
      <c r="CLA9"/>
      <c r="CLE9"/>
      <c r="CLI9"/>
      <c r="CLM9"/>
      <c r="CLQ9"/>
      <c r="CLU9"/>
      <c r="CLY9"/>
      <c r="CMC9"/>
      <c r="CMG9"/>
      <c r="CMK9"/>
      <c r="CMO9"/>
      <c r="CMS9"/>
      <c r="CMW9"/>
      <c r="CNA9"/>
      <c r="CNE9"/>
      <c r="CNI9"/>
      <c r="CNM9"/>
      <c r="CNQ9"/>
      <c r="CNU9"/>
      <c r="CNY9"/>
      <c r="COC9"/>
      <c r="COG9"/>
      <c r="COK9"/>
      <c r="COO9"/>
      <c r="COS9"/>
      <c r="COW9"/>
      <c r="CPA9"/>
      <c r="CPE9"/>
      <c r="CPI9"/>
      <c r="CPM9"/>
      <c r="CPQ9"/>
      <c r="CPU9"/>
      <c r="CPY9"/>
      <c r="CQC9"/>
      <c r="CQG9"/>
      <c r="CQK9"/>
      <c r="CQO9"/>
      <c r="CQS9"/>
      <c r="CQW9"/>
      <c r="CRA9"/>
      <c r="CRE9"/>
      <c r="CRI9"/>
      <c r="CRM9"/>
      <c r="CRQ9"/>
      <c r="CRU9"/>
      <c r="CRY9"/>
      <c r="CSC9"/>
      <c r="CSG9"/>
      <c r="CSK9"/>
      <c r="CSO9"/>
      <c r="CSS9"/>
      <c r="CSW9"/>
      <c r="CTA9"/>
      <c r="CTE9"/>
      <c r="CTI9"/>
      <c r="CTM9"/>
      <c r="CTQ9"/>
      <c r="CTU9"/>
      <c r="CTY9"/>
      <c r="CUC9"/>
      <c r="CUG9"/>
      <c r="CUK9"/>
      <c r="CUO9"/>
      <c r="CUS9"/>
      <c r="CUW9"/>
      <c r="CVA9"/>
      <c r="CVE9"/>
      <c r="CVI9"/>
      <c r="CVM9"/>
      <c r="CVQ9"/>
      <c r="CVU9"/>
      <c r="CVY9"/>
      <c r="CWC9"/>
      <c r="CWG9"/>
      <c r="CWK9"/>
      <c r="CWO9"/>
      <c r="CWS9"/>
      <c r="CWW9"/>
      <c r="CXA9"/>
      <c r="CXE9"/>
      <c r="CXI9"/>
      <c r="CXM9"/>
      <c r="CXQ9"/>
      <c r="CXU9"/>
      <c r="CXY9"/>
      <c r="CYC9"/>
      <c r="CYG9"/>
      <c r="CYK9"/>
      <c r="CYO9"/>
      <c r="CYS9"/>
      <c r="CYW9"/>
      <c r="CZA9"/>
      <c r="CZE9"/>
      <c r="CZI9"/>
      <c r="CZM9"/>
      <c r="CZQ9"/>
      <c r="CZU9"/>
      <c r="CZY9"/>
      <c r="DAC9"/>
      <c r="DAG9"/>
      <c r="DAK9"/>
      <c r="DAO9"/>
      <c r="DAS9"/>
      <c r="DAW9"/>
      <c r="DBA9"/>
      <c r="DBE9"/>
      <c r="DBI9"/>
      <c r="DBM9"/>
      <c r="DBQ9"/>
      <c r="DBU9"/>
      <c r="DBY9"/>
      <c r="DCC9"/>
      <c r="DCG9"/>
      <c r="DCK9"/>
      <c r="DCO9"/>
      <c r="DCS9"/>
      <c r="DCW9"/>
      <c r="DDA9"/>
      <c r="DDE9"/>
      <c r="DDI9"/>
      <c r="DDM9"/>
      <c r="DDQ9"/>
      <c r="DDU9"/>
      <c r="DDY9"/>
      <c r="DEC9"/>
      <c r="DEG9"/>
      <c r="DEK9"/>
      <c r="DEO9"/>
      <c r="DES9"/>
      <c r="DEW9"/>
      <c r="DFA9"/>
      <c r="DFE9"/>
      <c r="DFI9"/>
      <c r="DFM9"/>
      <c r="DFQ9"/>
      <c r="DFU9"/>
      <c r="DFY9"/>
      <c r="DGC9"/>
      <c r="DGG9"/>
      <c r="DGK9"/>
      <c r="DGO9"/>
      <c r="DGS9"/>
      <c r="DGW9"/>
      <c r="DHA9"/>
      <c r="DHE9"/>
      <c r="DHI9"/>
      <c r="DHM9"/>
      <c r="DHQ9"/>
      <c r="DHU9"/>
      <c r="DHY9"/>
      <c r="DIC9"/>
      <c r="DIG9"/>
      <c r="DIK9"/>
      <c r="DIO9"/>
      <c r="DIS9"/>
      <c r="DIW9"/>
      <c r="DJA9"/>
      <c r="DJE9"/>
      <c r="DJI9"/>
      <c r="DJM9"/>
      <c r="DJQ9"/>
      <c r="DJU9"/>
      <c r="DJY9"/>
      <c r="DKC9"/>
      <c r="DKG9"/>
      <c r="DKK9"/>
      <c r="DKO9"/>
      <c r="DKS9"/>
      <c r="DKW9"/>
      <c r="DLA9"/>
      <c r="DLE9"/>
      <c r="DLI9"/>
      <c r="DLM9"/>
      <c r="DLQ9"/>
      <c r="DLU9"/>
      <c r="DLY9"/>
      <c r="DMC9"/>
      <c r="DMG9"/>
      <c r="DMK9"/>
      <c r="DMO9"/>
      <c r="DMS9"/>
      <c r="DMW9"/>
      <c r="DNA9"/>
      <c r="DNE9"/>
      <c r="DNI9"/>
      <c r="DNM9"/>
      <c r="DNQ9"/>
      <c r="DNU9"/>
      <c r="DNY9"/>
      <c r="DOC9"/>
      <c r="DOG9"/>
      <c r="DOK9"/>
      <c r="DOO9"/>
      <c r="DOS9"/>
      <c r="DOW9"/>
      <c r="DPA9"/>
      <c r="DPE9"/>
      <c r="DPI9"/>
      <c r="DPM9"/>
      <c r="DPQ9"/>
      <c r="DPU9"/>
      <c r="DPY9"/>
      <c r="DQC9"/>
      <c r="DQG9"/>
      <c r="DQK9"/>
      <c r="DQO9"/>
      <c r="DQS9"/>
      <c r="DQW9"/>
      <c r="DRA9"/>
      <c r="DRE9"/>
      <c r="DRI9"/>
      <c r="DRM9"/>
      <c r="DRQ9"/>
      <c r="DRU9"/>
      <c r="DRY9"/>
      <c r="DSC9"/>
      <c r="DSG9"/>
      <c r="DSK9"/>
      <c r="DSO9"/>
      <c r="DSS9"/>
      <c r="DSW9"/>
      <c r="DTA9"/>
      <c r="DTE9"/>
      <c r="DTI9"/>
      <c r="DTM9"/>
      <c r="DTQ9"/>
      <c r="DTU9"/>
      <c r="DTY9"/>
      <c r="DUC9"/>
      <c r="DUG9"/>
      <c r="DUK9"/>
      <c r="DUO9"/>
      <c r="DUS9"/>
      <c r="DUW9"/>
      <c r="DVA9"/>
      <c r="DVE9"/>
      <c r="DVI9"/>
      <c r="DVM9"/>
      <c r="DVQ9"/>
      <c r="DVU9"/>
      <c r="DVY9"/>
      <c r="DWC9"/>
      <c r="DWG9"/>
      <c r="DWK9"/>
      <c r="DWO9"/>
      <c r="DWS9"/>
      <c r="DWW9"/>
      <c r="DXA9"/>
      <c r="DXE9"/>
      <c r="DXI9"/>
      <c r="DXM9"/>
      <c r="DXQ9"/>
      <c r="DXU9"/>
      <c r="DXY9"/>
      <c r="DYC9"/>
      <c r="DYG9"/>
      <c r="DYK9"/>
      <c r="DYO9"/>
      <c r="DYS9"/>
      <c r="DYW9"/>
      <c r="DZA9"/>
      <c r="DZE9"/>
      <c r="DZI9"/>
      <c r="DZM9"/>
      <c r="DZQ9"/>
      <c r="DZU9"/>
      <c r="DZY9"/>
      <c r="EAC9"/>
      <c r="EAG9"/>
      <c r="EAK9"/>
      <c r="EAO9"/>
      <c r="EAS9"/>
      <c r="EAW9"/>
      <c r="EBA9"/>
      <c r="EBE9"/>
      <c r="EBI9"/>
      <c r="EBM9"/>
      <c r="EBQ9"/>
      <c r="EBU9"/>
      <c r="EBY9"/>
      <c r="ECC9"/>
      <c r="ECG9"/>
      <c r="ECK9"/>
      <c r="ECO9"/>
      <c r="ECS9"/>
      <c r="ECW9"/>
      <c r="EDA9"/>
      <c r="EDE9"/>
      <c r="EDI9"/>
      <c r="EDM9"/>
      <c r="EDQ9"/>
      <c r="EDU9"/>
      <c r="EDY9"/>
      <c r="EEC9"/>
      <c r="EEG9"/>
      <c r="EEK9"/>
      <c r="EEO9"/>
      <c r="EES9"/>
      <c r="EEW9"/>
      <c r="EFA9"/>
      <c r="EFE9"/>
      <c r="EFI9"/>
      <c r="EFM9"/>
      <c r="EFQ9"/>
      <c r="EFU9"/>
      <c r="EFY9"/>
      <c r="EGC9"/>
      <c r="EGG9"/>
      <c r="EGK9"/>
      <c r="EGO9"/>
      <c r="EGS9"/>
      <c r="EGW9"/>
      <c r="EHA9"/>
      <c r="EHE9"/>
      <c r="EHI9"/>
      <c r="EHM9"/>
      <c r="EHQ9"/>
      <c r="EHU9"/>
      <c r="EHY9"/>
      <c r="EIC9"/>
      <c r="EIG9"/>
      <c r="EIK9"/>
      <c r="EIO9"/>
      <c r="EIS9"/>
      <c r="EIW9"/>
      <c r="EJA9"/>
      <c r="EJE9"/>
      <c r="EJI9"/>
      <c r="EJM9"/>
      <c r="EJQ9"/>
      <c r="EJU9"/>
      <c r="EJY9"/>
      <c r="EKC9"/>
      <c r="EKG9"/>
      <c r="EKK9"/>
      <c r="EKO9"/>
      <c r="EKS9"/>
      <c r="EKW9"/>
      <c r="ELA9"/>
      <c r="ELE9"/>
      <c r="ELI9"/>
      <c r="ELM9"/>
      <c r="ELQ9"/>
      <c r="ELU9"/>
      <c r="ELY9"/>
      <c r="EMC9"/>
      <c r="EMG9"/>
      <c r="EMK9"/>
      <c r="EMO9"/>
      <c r="EMS9"/>
      <c r="EMW9"/>
      <c r="ENA9"/>
      <c r="ENE9"/>
      <c r="ENI9"/>
      <c r="ENM9"/>
      <c r="ENQ9"/>
      <c r="ENU9"/>
      <c r="ENY9"/>
      <c r="EOC9"/>
      <c r="EOG9"/>
      <c r="EOK9"/>
      <c r="EOO9"/>
      <c r="EOS9"/>
      <c r="EOW9"/>
      <c r="EPA9"/>
      <c r="EPE9"/>
      <c r="EPI9"/>
      <c r="EPM9"/>
      <c r="EPQ9"/>
      <c r="EPU9"/>
      <c r="EPY9"/>
      <c r="EQC9"/>
      <c r="EQG9"/>
      <c r="EQK9"/>
      <c r="EQO9"/>
      <c r="EQS9"/>
      <c r="EQW9"/>
      <c r="ERA9"/>
      <c r="ERE9"/>
      <c r="ERI9"/>
      <c r="ERM9"/>
      <c r="ERQ9"/>
      <c r="ERU9"/>
      <c r="ERY9"/>
      <c r="ESC9"/>
      <c r="ESG9"/>
      <c r="ESK9"/>
      <c r="ESO9"/>
      <c r="ESS9"/>
      <c r="ESW9"/>
      <c r="ETA9"/>
      <c r="ETE9"/>
      <c r="ETI9"/>
      <c r="ETM9"/>
      <c r="ETQ9"/>
      <c r="ETU9"/>
      <c r="ETY9"/>
      <c r="EUC9"/>
      <c r="EUG9"/>
      <c r="EUK9"/>
      <c r="EUO9"/>
      <c r="EUS9"/>
      <c r="EUW9"/>
      <c r="EVA9"/>
      <c r="EVE9"/>
      <c r="EVI9"/>
      <c r="EVM9"/>
      <c r="EVQ9"/>
      <c r="EVU9"/>
      <c r="EVY9"/>
      <c r="EWC9"/>
      <c r="EWG9"/>
      <c r="EWK9"/>
      <c r="EWO9"/>
      <c r="EWS9"/>
      <c r="EWW9"/>
      <c r="EXA9"/>
      <c r="EXE9"/>
      <c r="EXI9"/>
      <c r="EXM9"/>
      <c r="EXQ9"/>
      <c r="EXU9"/>
      <c r="EXY9"/>
      <c r="EYC9"/>
      <c r="EYG9"/>
      <c r="EYK9"/>
      <c r="EYO9"/>
      <c r="EYS9"/>
      <c r="EYW9"/>
      <c r="EZA9"/>
      <c r="EZE9"/>
      <c r="EZI9"/>
      <c r="EZM9"/>
      <c r="EZQ9"/>
      <c r="EZU9"/>
      <c r="EZY9"/>
      <c r="FAC9"/>
      <c r="FAG9"/>
      <c r="FAK9"/>
      <c r="FAO9"/>
      <c r="FAS9"/>
      <c r="FAW9"/>
      <c r="FBA9"/>
      <c r="FBE9"/>
      <c r="FBI9"/>
      <c r="FBM9"/>
      <c r="FBQ9"/>
      <c r="FBU9"/>
      <c r="FBY9"/>
      <c r="FCC9"/>
      <c r="FCG9"/>
      <c r="FCK9"/>
      <c r="FCO9"/>
      <c r="FCS9"/>
      <c r="FCW9"/>
      <c r="FDA9"/>
      <c r="FDE9"/>
      <c r="FDI9"/>
      <c r="FDM9"/>
      <c r="FDQ9"/>
      <c r="FDU9"/>
      <c r="FDY9"/>
      <c r="FEC9"/>
      <c r="FEG9"/>
      <c r="FEK9"/>
      <c r="FEO9"/>
      <c r="FES9"/>
      <c r="FEW9"/>
      <c r="FFA9"/>
      <c r="FFE9"/>
      <c r="FFI9"/>
      <c r="FFM9"/>
      <c r="FFQ9"/>
      <c r="FFU9"/>
      <c r="FFY9"/>
      <c r="FGC9"/>
      <c r="FGG9"/>
      <c r="FGK9"/>
      <c r="FGO9"/>
      <c r="FGS9"/>
      <c r="FGW9"/>
      <c r="FHA9"/>
      <c r="FHE9"/>
      <c r="FHI9"/>
      <c r="FHM9"/>
      <c r="FHQ9"/>
      <c r="FHU9"/>
      <c r="FHY9"/>
      <c r="FIC9"/>
      <c r="FIG9"/>
      <c r="FIK9"/>
      <c r="FIO9"/>
      <c r="FIS9"/>
      <c r="FIW9"/>
      <c r="FJA9"/>
      <c r="FJE9"/>
      <c r="FJI9"/>
      <c r="FJM9"/>
      <c r="FJQ9"/>
      <c r="FJU9"/>
      <c r="FJY9"/>
      <c r="FKC9"/>
      <c r="FKG9"/>
      <c r="FKK9"/>
      <c r="FKO9"/>
      <c r="FKS9"/>
      <c r="FKW9"/>
      <c r="FLA9"/>
      <c r="FLE9"/>
      <c r="FLI9"/>
      <c r="FLM9"/>
      <c r="FLQ9"/>
      <c r="FLU9"/>
      <c r="FLY9"/>
      <c r="FMC9"/>
      <c r="FMG9"/>
      <c r="FMK9"/>
      <c r="FMO9"/>
      <c r="FMS9"/>
      <c r="FMW9"/>
      <c r="FNA9"/>
      <c r="FNE9"/>
      <c r="FNI9"/>
      <c r="FNM9"/>
      <c r="FNQ9"/>
      <c r="FNU9"/>
      <c r="FNY9"/>
      <c r="FOC9"/>
      <c r="FOG9"/>
      <c r="FOK9"/>
      <c r="FOO9"/>
      <c r="FOS9"/>
      <c r="FOW9"/>
      <c r="FPA9"/>
      <c r="FPE9"/>
      <c r="FPI9"/>
      <c r="FPM9"/>
      <c r="FPQ9"/>
      <c r="FPU9"/>
      <c r="FPY9"/>
      <c r="FQC9"/>
      <c r="FQG9"/>
      <c r="FQK9"/>
      <c r="FQO9"/>
      <c r="FQS9"/>
      <c r="FQW9"/>
      <c r="FRA9"/>
      <c r="FRE9"/>
      <c r="FRI9"/>
      <c r="FRM9"/>
      <c r="FRQ9"/>
      <c r="FRU9"/>
      <c r="FRY9"/>
      <c r="FSC9"/>
      <c r="FSG9"/>
      <c r="FSK9"/>
      <c r="FSO9"/>
      <c r="FSS9"/>
      <c r="FSW9"/>
      <c r="FTA9"/>
      <c r="FTE9"/>
      <c r="FTI9"/>
      <c r="FTM9"/>
      <c r="FTQ9"/>
      <c r="FTU9"/>
      <c r="FTY9"/>
      <c r="FUC9"/>
      <c r="FUG9"/>
      <c r="FUK9"/>
      <c r="FUO9"/>
      <c r="FUS9"/>
      <c r="FUW9"/>
      <c r="FVA9"/>
      <c r="FVE9"/>
      <c r="FVI9"/>
      <c r="FVM9"/>
      <c r="FVQ9"/>
      <c r="FVU9"/>
      <c r="FVY9"/>
      <c r="FWC9"/>
      <c r="FWG9"/>
      <c r="FWK9"/>
      <c r="FWO9"/>
      <c r="FWS9"/>
      <c r="FWW9"/>
      <c r="FXA9"/>
      <c r="FXE9"/>
      <c r="FXI9"/>
      <c r="FXM9"/>
      <c r="FXQ9"/>
      <c r="FXU9"/>
      <c r="FXY9"/>
      <c r="FYC9"/>
      <c r="FYG9"/>
      <c r="FYK9"/>
      <c r="FYO9"/>
      <c r="FYS9"/>
      <c r="FYW9"/>
      <c r="FZA9"/>
      <c r="FZE9"/>
      <c r="FZI9"/>
      <c r="FZM9"/>
      <c r="FZQ9"/>
      <c r="FZU9"/>
      <c r="FZY9"/>
      <c r="GAC9"/>
      <c r="GAG9"/>
      <c r="GAK9"/>
      <c r="GAO9"/>
      <c r="GAS9"/>
      <c r="GAW9"/>
      <c r="GBA9"/>
      <c r="GBE9"/>
      <c r="GBI9"/>
      <c r="GBM9"/>
      <c r="GBQ9"/>
      <c r="GBU9"/>
      <c r="GBY9"/>
      <c r="GCC9"/>
      <c r="GCG9"/>
      <c r="GCK9"/>
      <c r="GCO9"/>
      <c r="GCS9"/>
      <c r="GCW9"/>
      <c r="GDA9"/>
      <c r="GDE9"/>
      <c r="GDI9"/>
      <c r="GDM9"/>
      <c r="GDQ9"/>
      <c r="GDU9"/>
      <c r="GDY9"/>
      <c r="GEC9"/>
      <c r="GEG9"/>
      <c r="GEK9"/>
      <c r="GEO9"/>
      <c r="GES9"/>
      <c r="GEW9"/>
      <c r="GFA9"/>
      <c r="GFE9"/>
      <c r="GFI9"/>
      <c r="GFM9"/>
      <c r="GFQ9"/>
      <c r="GFU9"/>
      <c r="GFY9"/>
      <c r="GGC9"/>
      <c r="GGG9"/>
      <c r="GGK9"/>
      <c r="GGO9"/>
      <c r="GGS9"/>
      <c r="GGW9"/>
      <c r="GHA9"/>
      <c r="GHE9"/>
      <c r="GHI9"/>
      <c r="GHM9"/>
      <c r="GHQ9"/>
      <c r="GHU9"/>
      <c r="GHY9"/>
      <c r="GIC9"/>
      <c r="GIG9"/>
      <c r="GIK9"/>
      <c r="GIO9"/>
      <c r="GIS9"/>
      <c r="GIW9"/>
      <c r="GJA9"/>
      <c r="GJE9"/>
      <c r="GJI9"/>
      <c r="GJM9"/>
      <c r="GJQ9"/>
      <c r="GJU9"/>
      <c r="GJY9"/>
      <c r="GKC9"/>
      <c r="GKG9"/>
      <c r="GKK9"/>
      <c r="GKO9"/>
      <c r="GKS9"/>
      <c r="GKW9"/>
      <c r="GLA9"/>
      <c r="GLE9"/>
      <c r="GLI9"/>
      <c r="GLM9"/>
      <c r="GLQ9"/>
      <c r="GLU9"/>
      <c r="GLY9"/>
      <c r="GMC9"/>
      <c r="GMG9"/>
      <c r="GMK9"/>
      <c r="GMO9"/>
      <c r="GMS9"/>
      <c r="GMW9"/>
      <c r="GNA9"/>
      <c r="GNE9"/>
      <c r="GNI9"/>
      <c r="GNM9"/>
      <c r="GNQ9"/>
      <c r="GNU9"/>
      <c r="GNY9"/>
      <c r="GOC9"/>
      <c r="GOG9"/>
      <c r="GOK9"/>
      <c r="GOO9"/>
      <c r="GOS9"/>
      <c r="GOW9"/>
      <c r="GPA9"/>
      <c r="GPE9"/>
      <c r="GPI9"/>
      <c r="GPM9"/>
      <c r="GPQ9"/>
      <c r="GPU9"/>
      <c r="GPY9"/>
      <c r="GQC9"/>
      <c r="GQG9"/>
      <c r="GQK9"/>
      <c r="GQO9"/>
      <c r="GQS9"/>
      <c r="GQW9"/>
      <c r="GRA9"/>
      <c r="GRE9"/>
      <c r="GRI9"/>
      <c r="GRM9"/>
      <c r="GRQ9"/>
      <c r="GRU9"/>
      <c r="GRY9"/>
      <c r="GSC9"/>
      <c r="GSG9"/>
      <c r="GSK9"/>
      <c r="GSO9"/>
      <c r="GSS9"/>
      <c r="GSW9"/>
      <c r="GTA9"/>
      <c r="GTE9"/>
      <c r="GTI9"/>
      <c r="GTM9"/>
      <c r="GTQ9"/>
      <c r="GTU9"/>
      <c r="GTY9"/>
      <c r="GUC9"/>
      <c r="GUG9"/>
      <c r="GUK9"/>
      <c r="GUO9"/>
      <c r="GUS9"/>
      <c r="GUW9"/>
      <c r="GVA9"/>
      <c r="GVE9"/>
      <c r="GVI9"/>
      <c r="GVM9"/>
      <c r="GVQ9"/>
      <c r="GVU9"/>
      <c r="GVY9"/>
      <c r="GWC9"/>
      <c r="GWG9"/>
      <c r="GWK9"/>
      <c r="GWO9"/>
      <c r="GWS9"/>
      <c r="GWW9"/>
      <c r="GXA9"/>
      <c r="GXE9"/>
      <c r="GXI9"/>
      <c r="GXM9"/>
      <c r="GXQ9"/>
      <c r="GXU9"/>
      <c r="GXY9"/>
      <c r="GYC9"/>
      <c r="GYG9"/>
      <c r="GYK9"/>
      <c r="GYO9"/>
      <c r="GYS9"/>
      <c r="GYW9"/>
      <c r="GZA9"/>
      <c r="GZE9"/>
      <c r="GZI9"/>
      <c r="GZM9"/>
      <c r="GZQ9"/>
      <c r="GZU9"/>
      <c r="GZY9"/>
      <c r="HAC9"/>
      <c r="HAG9"/>
      <c r="HAK9"/>
      <c r="HAO9"/>
      <c r="HAS9"/>
      <c r="HAW9"/>
      <c r="HBA9"/>
      <c r="HBE9"/>
      <c r="HBI9"/>
      <c r="HBM9"/>
      <c r="HBQ9"/>
      <c r="HBU9"/>
      <c r="HBY9"/>
      <c r="HCC9"/>
      <c r="HCG9"/>
      <c r="HCK9"/>
      <c r="HCO9"/>
      <c r="HCS9"/>
      <c r="HCW9"/>
      <c r="HDA9"/>
      <c r="HDE9"/>
      <c r="HDI9"/>
      <c r="HDM9"/>
      <c r="HDQ9"/>
      <c r="HDU9"/>
      <c r="HDY9"/>
      <c r="HEC9"/>
      <c r="HEG9"/>
      <c r="HEK9"/>
      <c r="HEO9"/>
      <c r="HES9"/>
      <c r="HEW9"/>
      <c r="HFA9"/>
      <c r="HFE9"/>
      <c r="HFI9"/>
      <c r="HFM9"/>
      <c r="HFQ9"/>
      <c r="HFU9"/>
      <c r="HFY9"/>
      <c r="HGC9"/>
      <c r="HGG9"/>
      <c r="HGK9"/>
      <c r="HGO9"/>
      <c r="HGS9"/>
      <c r="HGW9"/>
      <c r="HHA9"/>
      <c r="HHE9"/>
      <c r="HHI9"/>
      <c r="HHM9"/>
      <c r="HHQ9"/>
      <c r="HHU9"/>
      <c r="HHY9"/>
      <c r="HIC9"/>
      <c r="HIG9"/>
      <c r="HIK9"/>
      <c r="HIO9"/>
      <c r="HIS9"/>
      <c r="HIW9"/>
      <c r="HJA9"/>
      <c r="HJE9"/>
      <c r="HJI9"/>
      <c r="HJM9"/>
      <c r="HJQ9"/>
      <c r="HJU9"/>
      <c r="HJY9"/>
      <c r="HKC9"/>
      <c r="HKG9"/>
      <c r="HKK9"/>
      <c r="HKO9"/>
      <c r="HKS9"/>
      <c r="HKW9"/>
      <c r="HLA9"/>
      <c r="HLE9"/>
      <c r="HLI9"/>
      <c r="HLM9"/>
      <c r="HLQ9"/>
      <c r="HLU9"/>
      <c r="HLY9"/>
      <c r="HMC9"/>
      <c r="HMG9"/>
      <c r="HMK9"/>
      <c r="HMO9"/>
      <c r="HMS9"/>
      <c r="HMW9"/>
      <c r="HNA9"/>
      <c r="HNE9"/>
      <c r="HNI9"/>
      <c r="HNM9"/>
      <c r="HNQ9"/>
      <c r="HNU9"/>
      <c r="HNY9"/>
      <c r="HOC9"/>
      <c r="HOG9"/>
      <c r="HOK9"/>
      <c r="HOO9"/>
      <c r="HOS9"/>
      <c r="HOW9"/>
      <c r="HPA9"/>
      <c r="HPE9"/>
      <c r="HPI9"/>
      <c r="HPM9"/>
      <c r="HPQ9"/>
      <c r="HPU9"/>
      <c r="HPY9"/>
      <c r="HQC9"/>
      <c r="HQG9"/>
      <c r="HQK9"/>
      <c r="HQO9"/>
      <c r="HQS9"/>
      <c r="HQW9"/>
      <c r="HRA9"/>
      <c r="HRE9"/>
      <c r="HRI9"/>
      <c r="HRM9"/>
      <c r="HRQ9"/>
      <c r="HRU9"/>
      <c r="HRY9"/>
      <c r="HSC9"/>
      <c r="HSG9"/>
      <c r="HSK9"/>
      <c r="HSO9"/>
      <c r="HSS9"/>
      <c r="HSW9"/>
      <c r="HTA9"/>
      <c r="HTE9"/>
      <c r="HTI9"/>
      <c r="HTM9"/>
      <c r="HTQ9"/>
      <c r="HTU9"/>
      <c r="HTY9"/>
      <c r="HUC9"/>
      <c r="HUG9"/>
      <c r="HUK9"/>
      <c r="HUO9"/>
      <c r="HUS9"/>
      <c r="HUW9"/>
      <c r="HVA9"/>
      <c r="HVE9"/>
      <c r="HVI9"/>
      <c r="HVM9"/>
      <c r="HVQ9"/>
      <c r="HVU9"/>
      <c r="HVY9"/>
      <c r="HWC9"/>
      <c r="HWG9"/>
      <c r="HWK9"/>
      <c r="HWO9"/>
      <c r="HWS9"/>
      <c r="HWW9"/>
      <c r="HXA9"/>
      <c r="HXE9"/>
      <c r="HXI9"/>
      <c r="HXM9"/>
      <c r="HXQ9"/>
      <c r="HXU9"/>
      <c r="HXY9"/>
      <c r="HYC9"/>
      <c r="HYG9"/>
      <c r="HYK9"/>
      <c r="HYO9"/>
      <c r="HYS9"/>
      <c r="HYW9"/>
      <c r="HZA9"/>
      <c r="HZE9"/>
      <c r="HZI9"/>
      <c r="HZM9"/>
      <c r="HZQ9"/>
      <c r="HZU9"/>
      <c r="HZY9"/>
      <c r="IAC9"/>
      <c r="IAG9"/>
      <c r="IAK9"/>
      <c r="IAO9"/>
      <c r="IAS9"/>
      <c r="IAW9"/>
      <c r="IBA9"/>
      <c r="IBE9"/>
      <c r="IBI9"/>
      <c r="IBM9"/>
      <c r="IBQ9"/>
      <c r="IBU9"/>
      <c r="IBY9"/>
      <c r="ICC9"/>
      <c r="ICG9"/>
      <c r="ICK9"/>
      <c r="ICO9"/>
      <c r="ICS9"/>
      <c r="ICW9"/>
      <c r="IDA9"/>
      <c r="IDE9"/>
      <c r="IDI9"/>
      <c r="IDM9"/>
      <c r="IDQ9"/>
      <c r="IDU9"/>
      <c r="IDY9"/>
      <c r="IEC9"/>
      <c r="IEG9"/>
      <c r="IEK9"/>
      <c r="IEO9"/>
      <c r="IES9"/>
      <c r="IEW9"/>
      <c r="IFA9"/>
      <c r="IFE9"/>
      <c r="IFI9"/>
      <c r="IFM9"/>
      <c r="IFQ9"/>
      <c r="IFU9"/>
      <c r="IFY9"/>
      <c r="IGC9"/>
      <c r="IGG9"/>
      <c r="IGK9"/>
      <c r="IGO9"/>
      <c r="IGS9"/>
      <c r="IGW9"/>
      <c r="IHA9"/>
      <c r="IHE9"/>
      <c r="IHI9"/>
      <c r="IHM9"/>
      <c r="IHQ9"/>
      <c r="IHU9"/>
      <c r="IHY9"/>
      <c r="IIC9"/>
      <c r="IIG9"/>
      <c r="IIK9"/>
      <c r="IIO9"/>
      <c r="IIS9"/>
      <c r="IIW9"/>
      <c r="IJA9"/>
      <c r="IJE9"/>
      <c r="IJI9"/>
      <c r="IJM9"/>
      <c r="IJQ9"/>
      <c r="IJU9"/>
      <c r="IJY9"/>
      <c r="IKC9"/>
      <c r="IKG9"/>
      <c r="IKK9"/>
      <c r="IKO9"/>
      <c r="IKS9"/>
      <c r="IKW9"/>
      <c r="ILA9"/>
      <c r="ILE9"/>
      <c r="ILI9"/>
      <c r="ILM9"/>
      <c r="ILQ9"/>
      <c r="ILU9"/>
      <c r="ILY9"/>
      <c r="IMC9"/>
      <c r="IMG9"/>
      <c r="IMK9"/>
      <c r="IMO9"/>
      <c r="IMS9"/>
      <c r="IMW9"/>
      <c r="INA9"/>
      <c r="INE9"/>
      <c r="INI9"/>
      <c r="INM9"/>
      <c r="INQ9"/>
      <c r="INU9"/>
      <c r="INY9"/>
      <c r="IOC9"/>
      <c r="IOG9"/>
      <c r="IOK9"/>
      <c r="IOO9"/>
      <c r="IOS9"/>
      <c r="IOW9"/>
      <c r="IPA9"/>
      <c r="IPE9"/>
      <c r="IPI9"/>
      <c r="IPM9"/>
      <c r="IPQ9"/>
      <c r="IPU9"/>
      <c r="IPY9"/>
      <c r="IQC9"/>
      <c r="IQG9"/>
      <c r="IQK9"/>
      <c r="IQO9"/>
      <c r="IQS9"/>
      <c r="IQW9"/>
      <c r="IRA9"/>
      <c r="IRE9"/>
      <c r="IRI9"/>
      <c r="IRM9"/>
      <c r="IRQ9"/>
      <c r="IRU9"/>
      <c r="IRY9"/>
      <c r="ISC9"/>
      <c r="ISG9"/>
      <c r="ISK9"/>
      <c r="ISO9"/>
      <c r="ISS9"/>
      <c r="ISW9"/>
      <c r="ITA9"/>
      <c r="ITE9"/>
      <c r="ITI9"/>
      <c r="ITM9"/>
      <c r="ITQ9"/>
      <c r="ITU9"/>
      <c r="ITY9"/>
      <c r="IUC9"/>
      <c r="IUG9"/>
      <c r="IUK9"/>
      <c r="IUO9"/>
      <c r="IUS9"/>
      <c r="IUW9"/>
      <c r="IVA9"/>
      <c r="IVE9"/>
      <c r="IVI9"/>
      <c r="IVM9"/>
      <c r="IVQ9"/>
      <c r="IVU9"/>
      <c r="IVY9"/>
      <c r="IWC9"/>
      <c r="IWG9"/>
      <c r="IWK9"/>
      <c r="IWO9"/>
      <c r="IWS9"/>
      <c r="IWW9"/>
      <c r="IXA9"/>
      <c r="IXE9"/>
      <c r="IXI9"/>
      <c r="IXM9"/>
      <c r="IXQ9"/>
      <c r="IXU9"/>
      <c r="IXY9"/>
      <c r="IYC9"/>
      <c r="IYG9"/>
      <c r="IYK9"/>
      <c r="IYO9"/>
      <c r="IYS9"/>
      <c r="IYW9"/>
      <c r="IZA9"/>
      <c r="IZE9"/>
      <c r="IZI9"/>
      <c r="IZM9"/>
      <c r="IZQ9"/>
      <c r="IZU9"/>
      <c r="IZY9"/>
      <c r="JAC9"/>
      <c r="JAG9"/>
      <c r="JAK9"/>
      <c r="JAO9"/>
      <c r="JAS9"/>
      <c r="JAW9"/>
      <c r="JBA9"/>
      <c r="JBE9"/>
      <c r="JBI9"/>
      <c r="JBM9"/>
      <c r="JBQ9"/>
      <c r="JBU9"/>
      <c r="JBY9"/>
      <c r="JCC9"/>
      <c r="JCG9"/>
      <c r="JCK9"/>
      <c r="JCO9"/>
      <c r="JCS9"/>
      <c r="JCW9"/>
      <c r="JDA9"/>
      <c r="JDE9"/>
      <c r="JDI9"/>
      <c r="JDM9"/>
      <c r="JDQ9"/>
      <c r="JDU9"/>
      <c r="JDY9"/>
      <c r="JEC9"/>
      <c r="JEG9"/>
      <c r="JEK9"/>
      <c r="JEO9"/>
      <c r="JES9"/>
      <c r="JEW9"/>
      <c r="JFA9"/>
      <c r="JFE9"/>
      <c r="JFI9"/>
      <c r="JFM9"/>
      <c r="JFQ9"/>
      <c r="JFU9"/>
      <c r="JFY9"/>
      <c r="JGC9"/>
      <c r="JGG9"/>
      <c r="JGK9"/>
      <c r="JGO9"/>
      <c r="JGS9"/>
      <c r="JGW9"/>
      <c r="JHA9"/>
      <c r="JHE9"/>
      <c r="JHI9"/>
      <c r="JHM9"/>
      <c r="JHQ9"/>
      <c r="JHU9"/>
      <c r="JHY9"/>
      <c r="JIC9"/>
      <c r="JIG9"/>
      <c r="JIK9"/>
      <c r="JIO9"/>
      <c r="JIS9"/>
      <c r="JIW9"/>
      <c r="JJA9"/>
      <c r="JJE9"/>
      <c r="JJI9"/>
      <c r="JJM9"/>
      <c r="JJQ9"/>
      <c r="JJU9"/>
      <c r="JJY9"/>
      <c r="JKC9"/>
      <c r="JKG9"/>
      <c r="JKK9"/>
      <c r="JKO9"/>
      <c r="JKS9"/>
      <c r="JKW9"/>
      <c r="JLA9"/>
      <c r="JLE9"/>
      <c r="JLI9"/>
      <c r="JLM9"/>
      <c r="JLQ9"/>
      <c r="JLU9"/>
      <c r="JLY9"/>
      <c r="JMC9"/>
      <c r="JMG9"/>
      <c r="JMK9"/>
      <c r="JMO9"/>
      <c r="JMS9"/>
      <c r="JMW9"/>
      <c r="JNA9"/>
      <c r="JNE9"/>
      <c r="JNI9"/>
      <c r="JNM9"/>
      <c r="JNQ9"/>
      <c r="JNU9"/>
      <c r="JNY9"/>
      <c r="JOC9"/>
      <c r="JOG9"/>
      <c r="JOK9"/>
      <c r="JOO9"/>
      <c r="JOS9"/>
      <c r="JOW9"/>
      <c r="JPA9"/>
      <c r="JPE9"/>
      <c r="JPI9"/>
      <c r="JPM9"/>
      <c r="JPQ9"/>
      <c r="JPU9"/>
      <c r="JPY9"/>
      <c r="JQC9"/>
      <c r="JQG9"/>
      <c r="JQK9"/>
      <c r="JQO9"/>
      <c r="JQS9"/>
      <c r="JQW9"/>
      <c r="JRA9"/>
      <c r="JRE9"/>
      <c r="JRI9"/>
      <c r="JRM9"/>
      <c r="JRQ9"/>
      <c r="JRU9"/>
      <c r="JRY9"/>
      <c r="JSC9"/>
      <c r="JSG9"/>
      <c r="JSK9"/>
      <c r="JSO9"/>
      <c r="JSS9"/>
      <c r="JSW9"/>
      <c r="JTA9"/>
      <c r="JTE9"/>
      <c r="JTI9"/>
      <c r="JTM9"/>
      <c r="JTQ9"/>
      <c r="JTU9"/>
      <c r="JTY9"/>
      <c r="JUC9"/>
      <c r="JUG9"/>
      <c r="JUK9"/>
      <c r="JUO9"/>
      <c r="JUS9"/>
      <c r="JUW9"/>
      <c r="JVA9"/>
      <c r="JVE9"/>
      <c r="JVI9"/>
      <c r="JVM9"/>
      <c r="JVQ9"/>
      <c r="JVU9"/>
      <c r="JVY9"/>
      <c r="JWC9"/>
      <c r="JWG9"/>
      <c r="JWK9"/>
      <c r="JWO9"/>
      <c r="JWS9"/>
      <c r="JWW9"/>
      <c r="JXA9"/>
      <c r="JXE9"/>
      <c r="JXI9"/>
      <c r="JXM9"/>
      <c r="JXQ9"/>
      <c r="JXU9"/>
      <c r="JXY9"/>
      <c r="JYC9"/>
      <c r="JYG9"/>
      <c r="JYK9"/>
      <c r="JYO9"/>
      <c r="JYS9"/>
      <c r="JYW9"/>
      <c r="JZA9"/>
      <c r="JZE9"/>
      <c r="JZI9"/>
      <c r="JZM9"/>
      <c r="JZQ9"/>
      <c r="JZU9"/>
      <c r="JZY9"/>
      <c r="KAC9"/>
      <c r="KAG9"/>
      <c r="KAK9"/>
      <c r="KAO9"/>
      <c r="KAS9"/>
      <c r="KAW9"/>
      <c r="KBA9"/>
      <c r="KBE9"/>
      <c r="KBI9"/>
      <c r="KBM9"/>
      <c r="KBQ9"/>
      <c r="KBU9"/>
      <c r="KBY9"/>
      <c r="KCC9"/>
      <c r="KCG9"/>
      <c r="KCK9"/>
      <c r="KCO9"/>
      <c r="KCS9"/>
      <c r="KCW9"/>
      <c r="KDA9"/>
      <c r="KDE9"/>
      <c r="KDI9"/>
      <c r="KDM9"/>
      <c r="KDQ9"/>
      <c r="KDU9"/>
      <c r="KDY9"/>
      <c r="KEC9"/>
      <c r="KEG9"/>
      <c r="KEK9"/>
      <c r="KEO9"/>
      <c r="KES9"/>
      <c r="KEW9"/>
      <c r="KFA9"/>
      <c r="KFE9"/>
      <c r="KFI9"/>
      <c r="KFM9"/>
      <c r="KFQ9"/>
      <c r="KFU9"/>
      <c r="KFY9"/>
      <c r="KGC9"/>
      <c r="KGG9"/>
      <c r="KGK9"/>
      <c r="KGO9"/>
      <c r="KGS9"/>
      <c r="KGW9"/>
      <c r="KHA9"/>
      <c r="KHE9"/>
      <c r="KHI9"/>
      <c r="KHM9"/>
      <c r="KHQ9"/>
      <c r="KHU9"/>
      <c r="KHY9"/>
      <c r="KIC9"/>
      <c r="KIG9"/>
      <c r="KIK9"/>
      <c r="KIO9"/>
      <c r="KIS9"/>
      <c r="KIW9"/>
      <c r="KJA9"/>
      <c r="KJE9"/>
      <c r="KJI9"/>
      <c r="KJM9"/>
      <c r="KJQ9"/>
      <c r="KJU9"/>
      <c r="KJY9"/>
      <c r="KKC9"/>
      <c r="KKG9"/>
      <c r="KKK9"/>
      <c r="KKO9"/>
      <c r="KKS9"/>
      <c r="KKW9"/>
      <c r="KLA9"/>
      <c r="KLE9"/>
      <c r="KLI9"/>
      <c r="KLM9"/>
      <c r="KLQ9"/>
      <c r="KLU9"/>
      <c r="KLY9"/>
      <c r="KMC9"/>
      <c r="KMG9"/>
      <c r="KMK9"/>
      <c r="KMO9"/>
      <c r="KMS9"/>
      <c r="KMW9"/>
      <c r="KNA9"/>
      <c r="KNE9"/>
      <c r="KNI9"/>
      <c r="KNM9"/>
      <c r="KNQ9"/>
      <c r="KNU9"/>
      <c r="KNY9"/>
      <c r="KOC9"/>
      <c r="KOG9"/>
      <c r="KOK9"/>
      <c r="KOO9"/>
      <c r="KOS9"/>
      <c r="KOW9"/>
      <c r="KPA9"/>
      <c r="KPE9"/>
      <c r="KPI9"/>
      <c r="KPM9"/>
      <c r="KPQ9"/>
      <c r="KPU9"/>
      <c r="KPY9"/>
      <c r="KQC9"/>
      <c r="KQG9"/>
      <c r="KQK9"/>
      <c r="KQO9"/>
      <c r="KQS9"/>
      <c r="KQW9"/>
      <c r="KRA9"/>
      <c r="KRE9"/>
      <c r="KRI9"/>
      <c r="KRM9"/>
      <c r="KRQ9"/>
      <c r="KRU9"/>
      <c r="KRY9"/>
      <c r="KSC9"/>
      <c r="KSG9"/>
      <c r="KSK9"/>
      <c r="KSO9"/>
      <c r="KSS9"/>
      <c r="KSW9"/>
      <c r="KTA9"/>
      <c r="KTE9"/>
      <c r="KTI9"/>
      <c r="KTM9"/>
      <c r="KTQ9"/>
      <c r="KTU9"/>
      <c r="KTY9"/>
      <c r="KUC9"/>
      <c r="KUG9"/>
      <c r="KUK9"/>
      <c r="KUO9"/>
      <c r="KUS9"/>
      <c r="KUW9"/>
      <c r="KVA9"/>
      <c r="KVE9"/>
      <c r="KVI9"/>
      <c r="KVM9"/>
      <c r="KVQ9"/>
      <c r="KVU9"/>
      <c r="KVY9"/>
      <c r="KWC9"/>
      <c r="KWG9"/>
      <c r="KWK9"/>
      <c r="KWO9"/>
      <c r="KWS9"/>
      <c r="KWW9"/>
      <c r="KXA9"/>
      <c r="KXE9"/>
      <c r="KXI9"/>
      <c r="KXM9"/>
      <c r="KXQ9"/>
      <c r="KXU9"/>
      <c r="KXY9"/>
      <c r="KYC9"/>
      <c r="KYG9"/>
      <c r="KYK9"/>
      <c r="KYO9"/>
      <c r="KYS9"/>
      <c r="KYW9"/>
      <c r="KZA9"/>
      <c r="KZE9"/>
      <c r="KZI9"/>
      <c r="KZM9"/>
      <c r="KZQ9"/>
      <c r="KZU9"/>
      <c r="KZY9"/>
      <c r="LAC9"/>
      <c r="LAG9"/>
      <c r="LAK9"/>
      <c r="LAO9"/>
      <c r="LAS9"/>
      <c r="LAW9"/>
      <c r="LBA9"/>
      <c r="LBE9"/>
      <c r="LBI9"/>
      <c r="LBM9"/>
      <c r="LBQ9"/>
      <c r="LBU9"/>
      <c r="LBY9"/>
      <c r="LCC9"/>
      <c r="LCG9"/>
      <c r="LCK9"/>
      <c r="LCO9"/>
      <c r="LCS9"/>
      <c r="LCW9"/>
      <c r="LDA9"/>
      <c r="LDE9"/>
      <c r="LDI9"/>
      <c r="LDM9"/>
      <c r="LDQ9"/>
      <c r="LDU9"/>
      <c r="LDY9"/>
      <c r="LEC9"/>
      <c r="LEG9"/>
      <c r="LEK9"/>
      <c r="LEO9"/>
      <c r="LES9"/>
      <c r="LEW9"/>
      <c r="LFA9"/>
      <c r="LFE9"/>
      <c r="LFI9"/>
      <c r="LFM9"/>
      <c r="LFQ9"/>
      <c r="LFU9"/>
      <c r="LFY9"/>
      <c r="LGC9"/>
      <c r="LGG9"/>
      <c r="LGK9"/>
      <c r="LGO9"/>
      <c r="LGS9"/>
      <c r="LGW9"/>
      <c r="LHA9"/>
      <c r="LHE9"/>
      <c r="LHI9"/>
      <c r="LHM9"/>
      <c r="LHQ9"/>
      <c r="LHU9"/>
      <c r="LHY9"/>
      <c r="LIC9"/>
      <c r="LIG9"/>
      <c r="LIK9"/>
      <c r="LIO9"/>
      <c r="LIS9"/>
      <c r="LIW9"/>
      <c r="LJA9"/>
      <c r="LJE9"/>
      <c r="LJI9"/>
      <c r="LJM9"/>
      <c r="LJQ9"/>
      <c r="LJU9"/>
      <c r="LJY9"/>
      <c r="LKC9"/>
      <c r="LKG9"/>
      <c r="LKK9"/>
      <c r="LKO9"/>
      <c r="LKS9"/>
      <c r="LKW9"/>
      <c r="LLA9"/>
      <c r="LLE9"/>
      <c r="LLI9"/>
      <c r="LLM9"/>
      <c r="LLQ9"/>
      <c r="LLU9"/>
      <c r="LLY9"/>
      <c r="LMC9"/>
      <c r="LMG9"/>
      <c r="LMK9"/>
      <c r="LMO9"/>
      <c r="LMS9"/>
      <c r="LMW9"/>
      <c r="LNA9"/>
      <c r="LNE9"/>
      <c r="LNI9"/>
      <c r="LNM9"/>
      <c r="LNQ9"/>
      <c r="LNU9"/>
      <c r="LNY9"/>
      <c r="LOC9"/>
      <c r="LOG9"/>
      <c r="LOK9"/>
      <c r="LOO9"/>
      <c r="LOS9"/>
      <c r="LOW9"/>
      <c r="LPA9"/>
      <c r="LPE9"/>
      <c r="LPI9"/>
      <c r="LPM9"/>
      <c r="LPQ9"/>
      <c r="LPU9"/>
      <c r="LPY9"/>
      <c r="LQC9"/>
      <c r="LQG9"/>
      <c r="LQK9"/>
      <c r="LQO9"/>
      <c r="LQS9"/>
      <c r="LQW9"/>
      <c r="LRA9"/>
      <c r="LRE9"/>
      <c r="LRI9"/>
      <c r="LRM9"/>
      <c r="LRQ9"/>
      <c r="LRU9"/>
      <c r="LRY9"/>
      <c r="LSC9"/>
      <c r="LSG9"/>
      <c r="LSK9"/>
      <c r="LSO9"/>
      <c r="LSS9"/>
      <c r="LSW9"/>
      <c r="LTA9"/>
      <c r="LTE9"/>
      <c r="LTI9"/>
      <c r="LTM9"/>
      <c r="LTQ9"/>
      <c r="LTU9"/>
      <c r="LTY9"/>
      <c r="LUC9"/>
      <c r="LUG9"/>
      <c r="LUK9"/>
      <c r="LUO9"/>
      <c r="LUS9"/>
      <c r="LUW9"/>
      <c r="LVA9"/>
      <c r="LVE9"/>
      <c r="LVI9"/>
      <c r="LVM9"/>
      <c r="LVQ9"/>
      <c r="LVU9"/>
      <c r="LVY9"/>
      <c r="LWC9"/>
      <c r="LWG9"/>
      <c r="LWK9"/>
      <c r="LWO9"/>
      <c r="LWS9"/>
      <c r="LWW9"/>
      <c r="LXA9"/>
      <c r="LXE9"/>
      <c r="LXI9"/>
      <c r="LXM9"/>
      <c r="LXQ9"/>
      <c r="LXU9"/>
      <c r="LXY9"/>
      <c r="LYC9"/>
      <c r="LYG9"/>
      <c r="LYK9"/>
      <c r="LYO9"/>
      <c r="LYS9"/>
      <c r="LYW9"/>
      <c r="LZA9"/>
      <c r="LZE9"/>
      <c r="LZI9"/>
      <c r="LZM9"/>
      <c r="LZQ9"/>
      <c r="LZU9"/>
      <c r="LZY9"/>
      <c r="MAC9"/>
      <c r="MAG9"/>
      <c r="MAK9"/>
      <c r="MAO9"/>
      <c r="MAS9"/>
      <c r="MAW9"/>
      <c r="MBA9"/>
      <c r="MBE9"/>
      <c r="MBI9"/>
      <c r="MBM9"/>
      <c r="MBQ9"/>
      <c r="MBU9"/>
      <c r="MBY9"/>
      <c r="MCC9"/>
      <c r="MCG9"/>
      <c r="MCK9"/>
      <c r="MCO9"/>
      <c r="MCS9"/>
      <c r="MCW9"/>
      <c r="MDA9"/>
      <c r="MDE9"/>
      <c r="MDI9"/>
      <c r="MDM9"/>
      <c r="MDQ9"/>
      <c r="MDU9"/>
      <c r="MDY9"/>
      <c r="MEC9"/>
      <c r="MEG9"/>
      <c r="MEK9"/>
      <c r="MEO9"/>
      <c r="MES9"/>
      <c r="MEW9"/>
      <c r="MFA9"/>
      <c r="MFE9"/>
      <c r="MFI9"/>
      <c r="MFM9"/>
      <c r="MFQ9"/>
      <c r="MFU9"/>
      <c r="MFY9"/>
      <c r="MGC9"/>
      <c r="MGG9"/>
      <c r="MGK9"/>
      <c r="MGO9"/>
      <c r="MGS9"/>
      <c r="MGW9"/>
      <c r="MHA9"/>
      <c r="MHE9"/>
      <c r="MHI9"/>
      <c r="MHM9"/>
      <c r="MHQ9"/>
      <c r="MHU9"/>
      <c r="MHY9"/>
      <c r="MIC9"/>
      <c r="MIG9"/>
      <c r="MIK9"/>
      <c r="MIO9"/>
      <c r="MIS9"/>
      <c r="MIW9"/>
      <c r="MJA9"/>
      <c r="MJE9"/>
      <c r="MJI9"/>
      <c r="MJM9"/>
      <c r="MJQ9"/>
      <c r="MJU9"/>
      <c r="MJY9"/>
      <c r="MKC9"/>
      <c r="MKG9"/>
      <c r="MKK9"/>
      <c r="MKO9"/>
      <c r="MKS9"/>
      <c r="MKW9"/>
      <c r="MLA9"/>
      <c r="MLE9"/>
      <c r="MLI9"/>
      <c r="MLM9"/>
      <c r="MLQ9"/>
      <c r="MLU9"/>
      <c r="MLY9"/>
      <c r="MMC9"/>
      <c r="MMG9"/>
      <c r="MMK9"/>
      <c r="MMO9"/>
      <c r="MMS9"/>
      <c r="MMW9"/>
      <c r="MNA9"/>
      <c r="MNE9"/>
      <c r="MNI9"/>
      <c r="MNM9"/>
      <c r="MNQ9"/>
      <c r="MNU9"/>
      <c r="MNY9"/>
      <c r="MOC9"/>
      <c r="MOG9"/>
      <c r="MOK9"/>
      <c r="MOO9"/>
      <c r="MOS9"/>
      <c r="MOW9"/>
      <c r="MPA9"/>
      <c r="MPE9"/>
      <c r="MPI9"/>
      <c r="MPM9"/>
      <c r="MPQ9"/>
      <c r="MPU9"/>
      <c r="MPY9"/>
      <c r="MQC9"/>
      <c r="MQG9"/>
      <c r="MQK9"/>
      <c r="MQO9"/>
      <c r="MQS9"/>
      <c r="MQW9"/>
      <c r="MRA9"/>
      <c r="MRE9"/>
      <c r="MRI9"/>
      <c r="MRM9"/>
      <c r="MRQ9"/>
      <c r="MRU9"/>
      <c r="MRY9"/>
      <c r="MSC9"/>
      <c r="MSG9"/>
      <c r="MSK9"/>
      <c r="MSO9"/>
      <c r="MSS9"/>
      <c r="MSW9"/>
      <c r="MTA9"/>
      <c r="MTE9"/>
      <c r="MTI9"/>
      <c r="MTM9"/>
      <c r="MTQ9"/>
      <c r="MTU9"/>
      <c r="MTY9"/>
      <c r="MUC9"/>
      <c r="MUG9"/>
      <c r="MUK9"/>
      <c r="MUO9"/>
      <c r="MUS9"/>
      <c r="MUW9"/>
      <c r="MVA9"/>
      <c r="MVE9"/>
      <c r="MVI9"/>
      <c r="MVM9"/>
      <c r="MVQ9"/>
      <c r="MVU9"/>
      <c r="MVY9"/>
      <c r="MWC9"/>
      <c r="MWG9"/>
      <c r="MWK9"/>
      <c r="MWO9"/>
      <c r="MWS9"/>
      <c r="MWW9"/>
      <c r="MXA9"/>
      <c r="MXE9"/>
      <c r="MXI9"/>
      <c r="MXM9"/>
      <c r="MXQ9"/>
      <c r="MXU9"/>
      <c r="MXY9"/>
      <c r="MYC9"/>
      <c r="MYG9"/>
      <c r="MYK9"/>
      <c r="MYO9"/>
      <c r="MYS9"/>
      <c r="MYW9"/>
      <c r="MZA9"/>
      <c r="MZE9"/>
      <c r="MZI9"/>
      <c r="MZM9"/>
      <c r="MZQ9"/>
      <c r="MZU9"/>
      <c r="MZY9"/>
      <c r="NAC9"/>
      <c r="NAG9"/>
      <c r="NAK9"/>
      <c r="NAO9"/>
      <c r="NAS9"/>
      <c r="NAW9"/>
      <c r="NBA9"/>
      <c r="NBE9"/>
      <c r="NBI9"/>
      <c r="NBM9"/>
      <c r="NBQ9"/>
      <c r="NBU9"/>
      <c r="NBY9"/>
      <c r="NCC9"/>
      <c r="NCG9"/>
      <c r="NCK9"/>
      <c r="NCO9"/>
      <c r="NCS9"/>
      <c r="NCW9"/>
      <c r="NDA9"/>
      <c r="NDE9"/>
      <c r="NDI9"/>
      <c r="NDM9"/>
      <c r="NDQ9"/>
      <c r="NDU9"/>
      <c r="NDY9"/>
      <c r="NEC9"/>
      <c r="NEG9"/>
      <c r="NEK9"/>
      <c r="NEO9"/>
      <c r="NES9"/>
      <c r="NEW9"/>
      <c r="NFA9"/>
      <c r="NFE9"/>
      <c r="NFI9"/>
      <c r="NFM9"/>
      <c r="NFQ9"/>
      <c r="NFU9"/>
      <c r="NFY9"/>
      <c r="NGC9"/>
      <c r="NGG9"/>
      <c r="NGK9"/>
      <c r="NGO9"/>
      <c r="NGS9"/>
      <c r="NGW9"/>
      <c r="NHA9"/>
      <c r="NHE9"/>
      <c r="NHI9"/>
      <c r="NHM9"/>
      <c r="NHQ9"/>
      <c r="NHU9"/>
      <c r="NHY9"/>
      <c r="NIC9"/>
      <c r="NIG9"/>
      <c r="NIK9"/>
      <c r="NIO9"/>
      <c r="NIS9"/>
      <c r="NIW9"/>
      <c r="NJA9"/>
      <c r="NJE9"/>
      <c r="NJI9"/>
      <c r="NJM9"/>
      <c r="NJQ9"/>
      <c r="NJU9"/>
      <c r="NJY9"/>
      <c r="NKC9"/>
      <c r="NKG9"/>
      <c r="NKK9"/>
      <c r="NKO9"/>
      <c r="NKS9"/>
      <c r="NKW9"/>
      <c r="NLA9"/>
      <c r="NLE9"/>
      <c r="NLI9"/>
      <c r="NLM9"/>
      <c r="NLQ9"/>
      <c r="NLU9"/>
      <c r="NLY9"/>
      <c r="NMC9"/>
      <c r="NMG9"/>
      <c r="NMK9"/>
      <c r="NMO9"/>
      <c r="NMS9"/>
      <c r="NMW9"/>
      <c r="NNA9"/>
      <c r="NNE9"/>
      <c r="NNI9"/>
      <c r="NNM9"/>
      <c r="NNQ9"/>
      <c r="NNU9"/>
      <c r="NNY9"/>
      <c r="NOC9"/>
      <c r="NOG9"/>
      <c r="NOK9"/>
      <c r="NOO9"/>
      <c r="NOS9"/>
      <c r="NOW9"/>
      <c r="NPA9"/>
      <c r="NPE9"/>
      <c r="NPI9"/>
      <c r="NPM9"/>
      <c r="NPQ9"/>
      <c r="NPU9"/>
      <c r="NPY9"/>
      <c r="NQC9"/>
      <c r="NQG9"/>
      <c r="NQK9"/>
      <c r="NQO9"/>
      <c r="NQS9"/>
      <c r="NQW9"/>
      <c r="NRA9"/>
      <c r="NRE9"/>
      <c r="NRI9"/>
      <c r="NRM9"/>
      <c r="NRQ9"/>
      <c r="NRU9"/>
      <c r="NRY9"/>
      <c r="NSC9"/>
      <c r="NSG9"/>
      <c r="NSK9"/>
      <c r="NSO9"/>
      <c r="NSS9"/>
      <c r="NSW9"/>
      <c r="NTA9"/>
      <c r="NTE9"/>
      <c r="NTI9"/>
      <c r="NTM9"/>
      <c r="NTQ9"/>
      <c r="NTU9"/>
      <c r="NTY9"/>
      <c r="NUC9"/>
      <c r="NUG9"/>
      <c r="NUK9"/>
      <c r="NUO9"/>
      <c r="NUS9"/>
      <c r="NUW9"/>
      <c r="NVA9"/>
      <c r="NVE9"/>
      <c r="NVI9"/>
      <c r="NVM9"/>
      <c r="NVQ9"/>
      <c r="NVU9"/>
      <c r="NVY9"/>
      <c r="NWC9"/>
      <c r="NWG9"/>
      <c r="NWK9"/>
      <c r="NWO9"/>
      <c r="NWS9"/>
      <c r="NWW9"/>
      <c r="NXA9"/>
      <c r="NXE9"/>
      <c r="NXI9"/>
      <c r="NXM9"/>
      <c r="NXQ9"/>
      <c r="NXU9"/>
      <c r="NXY9"/>
      <c r="NYC9"/>
      <c r="NYG9"/>
      <c r="NYK9"/>
      <c r="NYO9"/>
      <c r="NYS9"/>
      <c r="NYW9"/>
      <c r="NZA9"/>
      <c r="NZE9"/>
      <c r="NZI9"/>
      <c r="NZM9"/>
      <c r="NZQ9"/>
      <c r="NZU9"/>
      <c r="NZY9"/>
      <c r="OAC9"/>
      <c r="OAG9"/>
      <c r="OAK9"/>
      <c r="OAO9"/>
      <c r="OAS9"/>
      <c r="OAW9"/>
      <c r="OBA9"/>
      <c r="OBE9"/>
      <c r="OBI9"/>
      <c r="OBM9"/>
      <c r="OBQ9"/>
      <c r="OBU9"/>
      <c r="OBY9"/>
      <c r="OCC9"/>
      <c r="OCG9"/>
      <c r="OCK9"/>
      <c r="OCO9"/>
      <c r="OCS9"/>
      <c r="OCW9"/>
      <c r="ODA9"/>
      <c r="ODE9"/>
      <c r="ODI9"/>
      <c r="ODM9"/>
      <c r="ODQ9"/>
      <c r="ODU9"/>
      <c r="ODY9"/>
      <c r="OEC9"/>
      <c r="OEG9"/>
      <c r="OEK9"/>
      <c r="OEO9"/>
      <c r="OES9"/>
      <c r="OEW9"/>
      <c r="OFA9"/>
      <c r="OFE9"/>
      <c r="OFI9"/>
      <c r="OFM9"/>
      <c r="OFQ9"/>
      <c r="OFU9"/>
      <c r="OFY9"/>
      <c r="OGC9"/>
      <c r="OGG9"/>
      <c r="OGK9"/>
      <c r="OGO9"/>
      <c r="OGS9"/>
      <c r="OGW9"/>
      <c r="OHA9"/>
      <c r="OHE9"/>
      <c r="OHI9"/>
      <c r="OHM9"/>
      <c r="OHQ9"/>
      <c r="OHU9"/>
      <c r="OHY9"/>
      <c r="OIC9"/>
      <c r="OIG9"/>
      <c r="OIK9"/>
      <c r="OIO9"/>
      <c r="OIS9"/>
      <c r="OIW9"/>
      <c r="OJA9"/>
      <c r="OJE9"/>
      <c r="OJI9"/>
      <c r="OJM9"/>
      <c r="OJQ9"/>
      <c r="OJU9"/>
      <c r="OJY9"/>
      <c r="OKC9"/>
      <c r="OKG9"/>
      <c r="OKK9"/>
      <c r="OKO9"/>
      <c r="OKS9"/>
      <c r="OKW9"/>
      <c r="OLA9"/>
      <c r="OLE9"/>
      <c r="OLI9"/>
      <c r="OLM9"/>
      <c r="OLQ9"/>
      <c r="OLU9"/>
      <c r="OLY9"/>
      <c r="OMC9"/>
      <c r="OMG9"/>
      <c r="OMK9"/>
      <c r="OMO9"/>
      <c r="OMS9"/>
      <c r="OMW9"/>
      <c r="ONA9"/>
      <c r="ONE9"/>
      <c r="ONI9"/>
      <c r="ONM9"/>
      <c r="ONQ9"/>
      <c r="ONU9"/>
      <c r="ONY9"/>
      <c r="OOC9"/>
      <c r="OOG9"/>
      <c r="OOK9"/>
      <c r="OOO9"/>
      <c r="OOS9"/>
      <c r="OOW9"/>
      <c r="OPA9"/>
      <c r="OPE9"/>
      <c r="OPI9"/>
      <c r="OPM9"/>
      <c r="OPQ9"/>
      <c r="OPU9"/>
      <c r="OPY9"/>
      <c r="OQC9"/>
      <c r="OQG9"/>
      <c r="OQK9"/>
      <c r="OQO9"/>
      <c r="OQS9"/>
      <c r="OQW9"/>
      <c r="ORA9"/>
      <c r="ORE9"/>
      <c r="ORI9"/>
      <c r="ORM9"/>
      <c r="ORQ9"/>
      <c r="ORU9"/>
      <c r="ORY9"/>
      <c r="OSC9"/>
      <c r="OSG9"/>
      <c r="OSK9"/>
      <c r="OSO9"/>
      <c r="OSS9"/>
      <c r="OSW9"/>
      <c r="OTA9"/>
      <c r="OTE9"/>
      <c r="OTI9"/>
      <c r="OTM9"/>
      <c r="OTQ9"/>
      <c r="OTU9"/>
      <c r="OTY9"/>
      <c r="OUC9"/>
      <c r="OUG9"/>
      <c r="OUK9"/>
      <c r="OUO9"/>
      <c r="OUS9"/>
      <c r="OUW9"/>
      <c r="OVA9"/>
      <c r="OVE9"/>
      <c r="OVI9"/>
      <c r="OVM9"/>
      <c r="OVQ9"/>
      <c r="OVU9"/>
      <c r="OVY9"/>
      <c r="OWC9"/>
      <c r="OWG9"/>
      <c r="OWK9"/>
      <c r="OWO9"/>
      <c r="OWS9"/>
      <c r="OWW9"/>
      <c r="OXA9"/>
      <c r="OXE9"/>
      <c r="OXI9"/>
      <c r="OXM9"/>
      <c r="OXQ9"/>
      <c r="OXU9"/>
      <c r="OXY9"/>
      <c r="OYC9"/>
      <c r="OYG9"/>
      <c r="OYK9"/>
      <c r="OYO9"/>
      <c r="OYS9"/>
      <c r="OYW9"/>
      <c r="OZA9"/>
      <c r="OZE9"/>
      <c r="OZI9"/>
      <c r="OZM9"/>
      <c r="OZQ9"/>
      <c r="OZU9"/>
      <c r="OZY9"/>
      <c r="PAC9"/>
      <c r="PAG9"/>
      <c r="PAK9"/>
      <c r="PAO9"/>
      <c r="PAS9"/>
      <c r="PAW9"/>
      <c r="PBA9"/>
      <c r="PBE9"/>
      <c r="PBI9"/>
      <c r="PBM9"/>
      <c r="PBQ9"/>
      <c r="PBU9"/>
      <c r="PBY9"/>
      <c r="PCC9"/>
      <c r="PCG9"/>
      <c r="PCK9"/>
      <c r="PCO9"/>
      <c r="PCS9"/>
      <c r="PCW9"/>
      <c r="PDA9"/>
      <c r="PDE9"/>
      <c r="PDI9"/>
      <c r="PDM9"/>
      <c r="PDQ9"/>
      <c r="PDU9"/>
      <c r="PDY9"/>
      <c r="PEC9"/>
      <c r="PEG9"/>
      <c r="PEK9"/>
      <c r="PEO9"/>
      <c r="PES9"/>
      <c r="PEW9"/>
      <c r="PFA9"/>
      <c r="PFE9"/>
      <c r="PFI9"/>
      <c r="PFM9"/>
      <c r="PFQ9"/>
      <c r="PFU9"/>
      <c r="PFY9"/>
      <c r="PGC9"/>
      <c r="PGG9"/>
      <c r="PGK9"/>
      <c r="PGO9"/>
      <c r="PGS9"/>
      <c r="PGW9"/>
      <c r="PHA9"/>
      <c r="PHE9"/>
      <c r="PHI9"/>
      <c r="PHM9"/>
      <c r="PHQ9"/>
      <c r="PHU9"/>
      <c r="PHY9"/>
      <c r="PIC9"/>
      <c r="PIG9"/>
      <c r="PIK9"/>
      <c r="PIO9"/>
      <c r="PIS9"/>
      <c r="PIW9"/>
      <c r="PJA9"/>
      <c r="PJE9"/>
      <c r="PJI9"/>
      <c r="PJM9"/>
      <c r="PJQ9"/>
      <c r="PJU9"/>
      <c r="PJY9"/>
      <c r="PKC9"/>
      <c r="PKG9"/>
      <c r="PKK9"/>
      <c r="PKO9"/>
      <c r="PKS9"/>
      <c r="PKW9"/>
      <c r="PLA9"/>
      <c r="PLE9"/>
      <c r="PLI9"/>
      <c r="PLM9"/>
      <c r="PLQ9"/>
      <c r="PLU9"/>
      <c r="PLY9"/>
      <c r="PMC9"/>
      <c r="PMG9"/>
      <c r="PMK9"/>
      <c r="PMO9"/>
      <c r="PMS9"/>
      <c r="PMW9"/>
      <c r="PNA9"/>
      <c r="PNE9"/>
      <c r="PNI9"/>
      <c r="PNM9"/>
      <c r="PNQ9"/>
      <c r="PNU9"/>
      <c r="PNY9"/>
      <c r="POC9"/>
      <c r="POG9"/>
      <c r="POK9"/>
      <c r="POO9"/>
      <c r="POS9"/>
      <c r="POW9"/>
      <c r="PPA9"/>
      <c r="PPE9"/>
      <c r="PPI9"/>
      <c r="PPM9"/>
      <c r="PPQ9"/>
      <c r="PPU9"/>
      <c r="PPY9"/>
      <c r="PQC9"/>
      <c r="PQG9"/>
      <c r="PQK9"/>
      <c r="PQO9"/>
      <c r="PQS9"/>
      <c r="PQW9"/>
      <c r="PRA9"/>
      <c r="PRE9"/>
      <c r="PRI9"/>
      <c r="PRM9"/>
      <c r="PRQ9"/>
      <c r="PRU9"/>
      <c r="PRY9"/>
      <c r="PSC9"/>
      <c r="PSG9"/>
      <c r="PSK9"/>
      <c r="PSO9"/>
      <c r="PSS9"/>
      <c r="PSW9"/>
      <c r="PTA9"/>
      <c r="PTE9"/>
      <c r="PTI9"/>
      <c r="PTM9"/>
      <c r="PTQ9"/>
      <c r="PTU9"/>
      <c r="PTY9"/>
      <c r="PUC9"/>
      <c r="PUG9"/>
      <c r="PUK9"/>
      <c r="PUO9"/>
      <c r="PUS9"/>
      <c r="PUW9"/>
      <c r="PVA9"/>
      <c r="PVE9"/>
      <c r="PVI9"/>
      <c r="PVM9"/>
      <c r="PVQ9"/>
      <c r="PVU9"/>
      <c r="PVY9"/>
      <c r="PWC9"/>
      <c r="PWG9"/>
      <c r="PWK9"/>
      <c r="PWO9"/>
      <c r="PWS9"/>
      <c r="PWW9"/>
      <c r="PXA9"/>
      <c r="PXE9"/>
      <c r="PXI9"/>
      <c r="PXM9"/>
      <c r="PXQ9"/>
      <c r="PXU9"/>
      <c r="PXY9"/>
      <c r="PYC9"/>
      <c r="PYG9"/>
      <c r="PYK9"/>
      <c r="PYO9"/>
      <c r="PYS9"/>
      <c r="PYW9"/>
      <c r="PZA9"/>
      <c r="PZE9"/>
      <c r="PZI9"/>
      <c r="PZM9"/>
      <c r="PZQ9"/>
      <c r="PZU9"/>
      <c r="PZY9"/>
      <c r="QAC9"/>
      <c r="QAG9"/>
      <c r="QAK9"/>
      <c r="QAO9"/>
      <c r="QAS9"/>
      <c r="QAW9"/>
      <c r="QBA9"/>
      <c r="QBE9"/>
      <c r="QBI9"/>
      <c r="QBM9"/>
      <c r="QBQ9"/>
      <c r="QBU9"/>
      <c r="QBY9"/>
      <c r="QCC9"/>
      <c r="QCG9"/>
      <c r="QCK9"/>
      <c r="QCO9"/>
      <c r="QCS9"/>
      <c r="QCW9"/>
      <c r="QDA9"/>
      <c r="QDE9"/>
      <c r="QDI9"/>
      <c r="QDM9"/>
      <c r="QDQ9"/>
      <c r="QDU9"/>
      <c r="QDY9"/>
      <c r="QEC9"/>
      <c r="QEG9"/>
      <c r="QEK9"/>
      <c r="QEO9"/>
      <c r="QES9"/>
      <c r="QEW9"/>
      <c r="QFA9"/>
      <c r="QFE9"/>
      <c r="QFI9"/>
      <c r="QFM9"/>
      <c r="QFQ9"/>
      <c r="QFU9"/>
      <c r="QFY9"/>
      <c r="QGC9"/>
      <c r="QGG9"/>
      <c r="QGK9"/>
      <c r="QGO9"/>
      <c r="QGS9"/>
      <c r="QGW9"/>
      <c r="QHA9"/>
      <c r="QHE9"/>
      <c r="QHI9"/>
      <c r="QHM9"/>
      <c r="QHQ9"/>
      <c r="QHU9"/>
      <c r="QHY9"/>
      <c r="QIC9"/>
      <c r="QIG9"/>
      <c r="QIK9"/>
      <c r="QIO9"/>
      <c r="QIS9"/>
      <c r="QIW9"/>
      <c r="QJA9"/>
      <c r="QJE9"/>
      <c r="QJI9"/>
      <c r="QJM9"/>
      <c r="QJQ9"/>
      <c r="QJU9"/>
      <c r="QJY9"/>
      <c r="QKC9"/>
      <c r="QKG9"/>
      <c r="QKK9"/>
      <c r="QKO9"/>
      <c r="QKS9"/>
      <c r="QKW9"/>
      <c r="QLA9"/>
      <c r="QLE9"/>
      <c r="QLI9"/>
      <c r="QLM9"/>
      <c r="QLQ9"/>
      <c r="QLU9"/>
      <c r="QLY9"/>
      <c r="QMC9"/>
      <c r="QMG9"/>
      <c r="QMK9"/>
      <c r="QMO9"/>
      <c r="QMS9"/>
      <c r="QMW9"/>
      <c r="QNA9"/>
      <c r="QNE9"/>
      <c r="QNI9"/>
      <c r="QNM9"/>
      <c r="QNQ9"/>
      <c r="QNU9"/>
      <c r="QNY9"/>
      <c r="QOC9"/>
      <c r="QOG9"/>
      <c r="QOK9"/>
      <c r="QOO9"/>
      <c r="QOS9"/>
      <c r="QOW9"/>
      <c r="QPA9"/>
      <c r="QPE9"/>
      <c r="QPI9"/>
      <c r="QPM9"/>
      <c r="QPQ9"/>
      <c r="QPU9"/>
      <c r="QPY9"/>
      <c r="QQC9"/>
      <c r="QQG9"/>
      <c r="QQK9"/>
      <c r="QQO9"/>
      <c r="QQS9"/>
      <c r="QQW9"/>
      <c r="QRA9"/>
      <c r="QRE9"/>
      <c r="QRI9"/>
      <c r="QRM9"/>
      <c r="QRQ9"/>
      <c r="QRU9"/>
      <c r="QRY9"/>
      <c r="QSC9"/>
      <c r="QSG9"/>
      <c r="QSK9"/>
      <c r="QSO9"/>
      <c r="QSS9"/>
      <c r="QSW9"/>
      <c r="QTA9"/>
      <c r="QTE9"/>
      <c r="QTI9"/>
      <c r="QTM9"/>
      <c r="QTQ9"/>
      <c r="QTU9"/>
      <c r="QTY9"/>
      <c r="QUC9"/>
      <c r="QUG9"/>
      <c r="QUK9"/>
      <c r="QUO9"/>
      <c r="QUS9"/>
      <c r="QUW9"/>
      <c r="QVA9"/>
      <c r="QVE9"/>
      <c r="QVI9"/>
      <c r="QVM9"/>
      <c r="QVQ9"/>
      <c r="QVU9"/>
      <c r="QVY9"/>
      <c r="QWC9"/>
      <c r="QWG9"/>
      <c r="QWK9"/>
      <c r="QWO9"/>
      <c r="QWS9"/>
      <c r="QWW9"/>
      <c r="QXA9"/>
      <c r="QXE9"/>
      <c r="QXI9"/>
      <c r="QXM9"/>
      <c r="QXQ9"/>
      <c r="QXU9"/>
      <c r="QXY9"/>
      <c r="QYC9"/>
      <c r="QYG9"/>
      <c r="QYK9"/>
      <c r="QYO9"/>
      <c r="QYS9"/>
      <c r="QYW9"/>
      <c r="QZA9"/>
      <c r="QZE9"/>
      <c r="QZI9"/>
      <c r="QZM9"/>
      <c r="QZQ9"/>
      <c r="QZU9"/>
      <c r="QZY9"/>
      <c r="RAC9"/>
      <c r="RAG9"/>
      <c r="RAK9"/>
      <c r="RAO9"/>
      <c r="RAS9"/>
      <c r="RAW9"/>
      <c r="RBA9"/>
      <c r="RBE9"/>
      <c r="RBI9"/>
      <c r="RBM9"/>
      <c r="RBQ9"/>
      <c r="RBU9"/>
      <c r="RBY9"/>
      <c r="RCC9"/>
      <c r="RCG9"/>
      <c r="RCK9"/>
      <c r="RCO9"/>
      <c r="RCS9"/>
      <c r="RCW9"/>
      <c r="RDA9"/>
      <c r="RDE9"/>
      <c r="RDI9"/>
      <c r="RDM9"/>
      <c r="RDQ9"/>
      <c r="RDU9"/>
      <c r="RDY9"/>
      <c r="REC9"/>
      <c r="REG9"/>
      <c r="REK9"/>
      <c r="REO9"/>
      <c r="RES9"/>
      <c r="REW9"/>
      <c r="RFA9"/>
      <c r="RFE9"/>
      <c r="RFI9"/>
      <c r="RFM9"/>
      <c r="RFQ9"/>
      <c r="RFU9"/>
      <c r="RFY9"/>
      <c r="RGC9"/>
      <c r="RGG9"/>
      <c r="RGK9"/>
      <c r="RGO9"/>
      <c r="RGS9"/>
      <c r="RGW9"/>
      <c r="RHA9"/>
      <c r="RHE9"/>
      <c r="RHI9"/>
      <c r="RHM9"/>
      <c r="RHQ9"/>
      <c r="RHU9"/>
      <c r="RHY9"/>
      <c r="RIC9"/>
      <c r="RIG9"/>
      <c r="RIK9"/>
      <c r="RIO9"/>
      <c r="RIS9"/>
      <c r="RIW9"/>
      <c r="RJA9"/>
      <c r="RJE9"/>
      <c r="RJI9"/>
      <c r="RJM9"/>
      <c r="RJQ9"/>
      <c r="RJU9"/>
      <c r="RJY9"/>
      <c r="RKC9"/>
      <c r="RKG9"/>
      <c r="RKK9"/>
      <c r="RKO9"/>
      <c r="RKS9"/>
      <c r="RKW9"/>
      <c r="RLA9"/>
      <c r="RLE9"/>
      <c r="RLI9"/>
      <c r="RLM9"/>
      <c r="RLQ9"/>
      <c r="RLU9"/>
      <c r="RLY9"/>
      <c r="RMC9"/>
      <c r="RMG9"/>
      <c r="RMK9"/>
      <c r="RMO9"/>
      <c r="RMS9"/>
      <c r="RMW9"/>
      <c r="RNA9"/>
      <c r="RNE9"/>
      <c r="RNI9"/>
      <c r="RNM9"/>
      <c r="RNQ9"/>
      <c r="RNU9"/>
      <c r="RNY9"/>
      <c r="ROC9"/>
      <c r="ROG9"/>
      <c r="ROK9"/>
      <c r="ROO9"/>
      <c r="ROS9"/>
      <c r="ROW9"/>
      <c r="RPA9"/>
      <c r="RPE9"/>
      <c r="RPI9"/>
      <c r="RPM9"/>
      <c r="RPQ9"/>
      <c r="RPU9"/>
      <c r="RPY9"/>
      <c r="RQC9"/>
      <c r="RQG9"/>
      <c r="RQK9"/>
      <c r="RQO9"/>
      <c r="RQS9"/>
      <c r="RQW9"/>
      <c r="RRA9"/>
      <c r="RRE9"/>
      <c r="RRI9"/>
      <c r="RRM9"/>
      <c r="RRQ9"/>
      <c r="RRU9"/>
      <c r="RRY9"/>
      <c r="RSC9"/>
      <c r="RSG9"/>
      <c r="RSK9"/>
      <c r="RSO9"/>
      <c r="RSS9"/>
      <c r="RSW9"/>
      <c r="RTA9"/>
      <c r="RTE9"/>
      <c r="RTI9"/>
      <c r="RTM9"/>
      <c r="RTQ9"/>
      <c r="RTU9"/>
      <c r="RTY9"/>
      <c r="RUC9"/>
      <c r="RUG9"/>
      <c r="RUK9"/>
      <c r="RUO9"/>
      <c r="RUS9"/>
      <c r="RUW9"/>
      <c r="RVA9"/>
      <c r="RVE9"/>
      <c r="RVI9"/>
      <c r="RVM9"/>
      <c r="RVQ9"/>
      <c r="RVU9"/>
      <c r="RVY9"/>
      <c r="RWC9"/>
      <c r="RWG9"/>
      <c r="RWK9"/>
      <c r="RWO9"/>
      <c r="RWS9"/>
      <c r="RWW9"/>
      <c r="RXA9"/>
      <c r="RXE9"/>
      <c r="RXI9"/>
      <c r="RXM9"/>
      <c r="RXQ9"/>
      <c r="RXU9"/>
      <c r="RXY9"/>
      <c r="RYC9"/>
      <c r="RYG9"/>
      <c r="RYK9"/>
      <c r="RYO9"/>
      <c r="RYS9"/>
      <c r="RYW9"/>
      <c r="RZA9"/>
      <c r="RZE9"/>
      <c r="RZI9"/>
      <c r="RZM9"/>
      <c r="RZQ9"/>
      <c r="RZU9"/>
      <c r="RZY9"/>
      <c r="SAC9"/>
      <c r="SAG9"/>
      <c r="SAK9"/>
      <c r="SAO9"/>
      <c r="SAS9"/>
      <c r="SAW9"/>
      <c r="SBA9"/>
      <c r="SBE9"/>
      <c r="SBI9"/>
      <c r="SBM9"/>
      <c r="SBQ9"/>
      <c r="SBU9"/>
      <c r="SBY9"/>
      <c r="SCC9"/>
      <c r="SCG9"/>
      <c r="SCK9"/>
      <c r="SCO9"/>
      <c r="SCS9"/>
      <c r="SCW9"/>
      <c r="SDA9"/>
      <c r="SDE9"/>
      <c r="SDI9"/>
      <c r="SDM9"/>
      <c r="SDQ9"/>
      <c r="SDU9"/>
      <c r="SDY9"/>
      <c r="SEC9"/>
      <c r="SEG9"/>
      <c r="SEK9"/>
      <c r="SEO9"/>
      <c r="SES9"/>
      <c r="SEW9"/>
      <c r="SFA9"/>
      <c r="SFE9"/>
      <c r="SFI9"/>
      <c r="SFM9"/>
      <c r="SFQ9"/>
      <c r="SFU9"/>
      <c r="SFY9"/>
      <c r="SGC9"/>
      <c r="SGG9"/>
      <c r="SGK9"/>
      <c r="SGO9"/>
      <c r="SGS9"/>
      <c r="SGW9"/>
      <c r="SHA9"/>
      <c r="SHE9"/>
      <c r="SHI9"/>
      <c r="SHM9"/>
      <c r="SHQ9"/>
      <c r="SHU9"/>
      <c r="SHY9"/>
      <c r="SIC9"/>
      <c r="SIG9"/>
      <c r="SIK9"/>
      <c r="SIO9"/>
      <c r="SIS9"/>
      <c r="SIW9"/>
      <c r="SJA9"/>
      <c r="SJE9"/>
      <c r="SJI9"/>
      <c r="SJM9"/>
      <c r="SJQ9"/>
      <c r="SJU9"/>
      <c r="SJY9"/>
      <c r="SKC9"/>
      <c r="SKG9"/>
      <c r="SKK9"/>
      <c r="SKO9"/>
      <c r="SKS9"/>
      <c r="SKW9"/>
      <c r="SLA9"/>
      <c r="SLE9"/>
      <c r="SLI9"/>
      <c r="SLM9"/>
      <c r="SLQ9"/>
      <c r="SLU9"/>
      <c r="SLY9"/>
      <c r="SMC9"/>
      <c r="SMG9"/>
      <c r="SMK9"/>
      <c r="SMO9"/>
      <c r="SMS9"/>
      <c r="SMW9"/>
      <c r="SNA9"/>
      <c r="SNE9"/>
      <c r="SNI9"/>
      <c r="SNM9"/>
      <c r="SNQ9"/>
      <c r="SNU9"/>
      <c r="SNY9"/>
      <c r="SOC9"/>
      <c r="SOG9"/>
      <c r="SOK9"/>
      <c r="SOO9"/>
      <c r="SOS9"/>
      <c r="SOW9"/>
      <c r="SPA9"/>
      <c r="SPE9"/>
      <c r="SPI9"/>
      <c r="SPM9"/>
      <c r="SPQ9"/>
      <c r="SPU9"/>
      <c r="SPY9"/>
      <c r="SQC9"/>
      <c r="SQG9"/>
      <c r="SQK9"/>
      <c r="SQO9"/>
      <c r="SQS9"/>
      <c r="SQW9"/>
      <c r="SRA9"/>
      <c r="SRE9"/>
      <c r="SRI9"/>
      <c r="SRM9"/>
      <c r="SRQ9"/>
      <c r="SRU9"/>
      <c r="SRY9"/>
      <c r="SSC9"/>
      <c r="SSG9"/>
      <c r="SSK9"/>
      <c r="SSO9"/>
      <c r="SSS9"/>
      <c r="SSW9"/>
      <c r="STA9"/>
      <c r="STE9"/>
      <c r="STI9"/>
      <c r="STM9"/>
      <c r="STQ9"/>
      <c r="STU9"/>
      <c r="STY9"/>
      <c r="SUC9"/>
      <c r="SUG9"/>
      <c r="SUK9"/>
      <c r="SUO9"/>
      <c r="SUS9"/>
      <c r="SUW9"/>
      <c r="SVA9"/>
      <c r="SVE9"/>
      <c r="SVI9"/>
      <c r="SVM9"/>
      <c r="SVQ9"/>
      <c r="SVU9"/>
      <c r="SVY9"/>
      <c r="SWC9"/>
      <c r="SWG9"/>
      <c r="SWK9"/>
      <c r="SWO9"/>
      <c r="SWS9"/>
      <c r="SWW9"/>
      <c r="SXA9"/>
      <c r="SXE9"/>
      <c r="SXI9"/>
      <c r="SXM9"/>
      <c r="SXQ9"/>
      <c r="SXU9"/>
      <c r="SXY9"/>
      <c r="SYC9"/>
      <c r="SYG9"/>
      <c r="SYK9"/>
      <c r="SYO9"/>
      <c r="SYS9"/>
      <c r="SYW9"/>
      <c r="SZA9"/>
      <c r="SZE9"/>
      <c r="SZI9"/>
      <c r="SZM9"/>
      <c r="SZQ9"/>
      <c r="SZU9"/>
      <c r="SZY9"/>
      <c r="TAC9"/>
      <c r="TAG9"/>
      <c r="TAK9"/>
      <c r="TAO9"/>
      <c r="TAS9"/>
      <c r="TAW9"/>
      <c r="TBA9"/>
      <c r="TBE9"/>
      <c r="TBI9"/>
      <c r="TBM9"/>
      <c r="TBQ9"/>
      <c r="TBU9"/>
      <c r="TBY9"/>
      <c r="TCC9"/>
      <c r="TCG9"/>
      <c r="TCK9"/>
      <c r="TCO9"/>
      <c r="TCS9"/>
      <c r="TCW9"/>
      <c r="TDA9"/>
      <c r="TDE9"/>
      <c r="TDI9"/>
      <c r="TDM9"/>
      <c r="TDQ9"/>
      <c r="TDU9"/>
      <c r="TDY9"/>
      <c r="TEC9"/>
      <c r="TEG9"/>
      <c r="TEK9"/>
      <c r="TEO9"/>
      <c r="TES9"/>
      <c r="TEW9"/>
      <c r="TFA9"/>
      <c r="TFE9"/>
      <c r="TFI9"/>
      <c r="TFM9"/>
      <c r="TFQ9"/>
      <c r="TFU9"/>
      <c r="TFY9"/>
      <c r="TGC9"/>
      <c r="TGG9"/>
      <c r="TGK9"/>
      <c r="TGO9"/>
      <c r="TGS9"/>
      <c r="TGW9"/>
      <c r="THA9"/>
      <c r="THE9"/>
      <c r="THI9"/>
      <c r="THM9"/>
      <c r="THQ9"/>
      <c r="THU9"/>
      <c r="THY9"/>
      <c r="TIC9"/>
      <c r="TIG9"/>
      <c r="TIK9"/>
      <c r="TIO9"/>
      <c r="TIS9"/>
      <c r="TIW9"/>
      <c r="TJA9"/>
      <c r="TJE9"/>
      <c r="TJI9"/>
      <c r="TJM9"/>
      <c r="TJQ9"/>
      <c r="TJU9"/>
      <c r="TJY9"/>
      <c r="TKC9"/>
      <c r="TKG9"/>
      <c r="TKK9"/>
      <c r="TKO9"/>
      <c r="TKS9"/>
      <c r="TKW9"/>
      <c r="TLA9"/>
      <c r="TLE9"/>
      <c r="TLI9"/>
      <c r="TLM9"/>
      <c r="TLQ9"/>
      <c r="TLU9"/>
      <c r="TLY9"/>
      <c r="TMC9"/>
      <c r="TMG9"/>
      <c r="TMK9"/>
      <c r="TMO9"/>
      <c r="TMS9"/>
      <c r="TMW9"/>
      <c r="TNA9"/>
      <c r="TNE9"/>
      <c r="TNI9"/>
      <c r="TNM9"/>
      <c r="TNQ9"/>
      <c r="TNU9"/>
      <c r="TNY9"/>
      <c r="TOC9"/>
      <c r="TOG9"/>
      <c r="TOK9"/>
      <c r="TOO9"/>
      <c r="TOS9"/>
      <c r="TOW9"/>
      <c r="TPA9"/>
      <c r="TPE9"/>
      <c r="TPI9"/>
      <c r="TPM9"/>
      <c r="TPQ9"/>
      <c r="TPU9"/>
      <c r="TPY9"/>
      <c r="TQC9"/>
      <c r="TQG9"/>
      <c r="TQK9"/>
      <c r="TQO9"/>
      <c r="TQS9"/>
      <c r="TQW9"/>
      <c r="TRA9"/>
      <c r="TRE9"/>
      <c r="TRI9"/>
      <c r="TRM9"/>
      <c r="TRQ9"/>
      <c r="TRU9"/>
      <c r="TRY9"/>
      <c r="TSC9"/>
      <c r="TSG9"/>
      <c r="TSK9"/>
      <c r="TSO9"/>
      <c r="TSS9"/>
      <c r="TSW9"/>
      <c r="TTA9"/>
      <c r="TTE9"/>
      <c r="TTI9"/>
      <c r="TTM9"/>
      <c r="TTQ9"/>
      <c r="TTU9"/>
      <c r="TTY9"/>
      <c r="TUC9"/>
      <c r="TUG9"/>
      <c r="TUK9"/>
      <c r="TUO9"/>
      <c r="TUS9"/>
      <c r="TUW9"/>
      <c r="TVA9"/>
      <c r="TVE9"/>
      <c r="TVI9"/>
      <c r="TVM9"/>
      <c r="TVQ9"/>
      <c r="TVU9"/>
      <c r="TVY9"/>
      <c r="TWC9"/>
      <c r="TWG9"/>
      <c r="TWK9"/>
      <c r="TWO9"/>
      <c r="TWS9"/>
      <c r="TWW9"/>
      <c r="TXA9"/>
      <c r="TXE9"/>
      <c r="TXI9"/>
      <c r="TXM9"/>
      <c r="TXQ9"/>
      <c r="TXU9"/>
      <c r="TXY9"/>
      <c r="TYC9"/>
      <c r="TYG9"/>
      <c r="TYK9"/>
      <c r="TYO9"/>
      <c r="TYS9"/>
      <c r="TYW9"/>
      <c r="TZA9"/>
      <c r="TZE9"/>
      <c r="TZI9"/>
      <c r="TZM9"/>
      <c r="TZQ9"/>
      <c r="TZU9"/>
      <c r="TZY9"/>
      <c r="UAC9"/>
      <c r="UAG9"/>
      <c r="UAK9"/>
      <c r="UAO9"/>
      <c r="UAS9"/>
      <c r="UAW9"/>
      <c r="UBA9"/>
      <c r="UBE9"/>
      <c r="UBI9"/>
      <c r="UBM9"/>
      <c r="UBQ9"/>
      <c r="UBU9"/>
      <c r="UBY9"/>
      <c r="UCC9"/>
      <c r="UCG9"/>
      <c r="UCK9"/>
      <c r="UCO9"/>
      <c r="UCS9"/>
      <c r="UCW9"/>
      <c r="UDA9"/>
      <c r="UDE9"/>
      <c r="UDI9"/>
      <c r="UDM9"/>
      <c r="UDQ9"/>
      <c r="UDU9"/>
      <c r="UDY9"/>
      <c r="UEC9"/>
      <c r="UEG9"/>
      <c r="UEK9"/>
      <c r="UEO9"/>
      <c r="UES9"/>
      <c r="UEW9"/>
      <c r="UFA9"/>
      <c r="UFE9"/>
      <c r="UFI9"/>
      <c r="UFM9"/>
      <c r="UFQ9"/>
      <c r="UFU9"/>
      <c r="UFY9"/>
      <c r="UGC9"/>
      <c r="UGG9"/>
      <c r="UGK9"/>
      <c r="UGO9"/>
      <c r="UGS9"/>
      <c r="UGW9"/>
      <c r="UHA9"/>
      <c r="UHE9"/>
      <c r="UHI9"/>
      <c r="UHM9"/>
      <c r="UHQ9"/>
      <c r="UHU9"/>
      <c r="UHY9"/>
      <c r="UIC9"/>
      <c r="UIG9"/>
      <c r="UIK9"/>
      <c r="UIO9"/>
      <c r="UIS9"/>
      <c r="UIW9"/>
      <c r="UJA9"/>
      <c r="UJE9"/>
      <c r="UJI9"/>
      <c r="UJM9"/>
      <c r="UJQ9"/>
      <c r="UJU9"/>
      <c r="UJY9"/>
      <c r="UKC9"/>
      <c r="UKG9"/>
      <c r="UKK9"/>
      <c r="UKO9"/>
      <c r="UKS9"/>
      <c r="UKW9"/>
      <c r="ULA9"/>
      <c r="ULE9"/>
      <c r="ULI9"/>
      <c r="ULM9"/>
      <c r="ULQ9"/>
      <c r="ULU9"/>
      <c r="ULY9"/>
      <c r="UMC9"/>
      <c r="UMG9"/>
      <c r="UMK9"/>
      <c r="UMO9"/>
      <c r="UMS9"/>
      <c r="UMW9"/>
      <c r="UNA9"/>
      <c r="UNE9"/>
      <c r="UNI9"/>
      <c r="UNM9"/>
      <c r="UNQ9"/>
      <c r="UNU9"/>
      <c r="UNY9"/>
      <c r="UOC9"/>
      <c r="UOG9"/>
      <c r="UOK9"/>
      <c r="UOO9"/>
      <c r="UOS9"/>
      <c r="UOW9"/>
      <c r="UPA9"/>
      <c r="UPE9"/>
      <c r="UPI9"/>
      <c r="UPM9"/>
      <c r="UPQ9"/>
      <c r="UPU9"/>
      <c r="UPY9"/>
      <c r="UQC9"/>
      <c r="UQG9"/>
      <c r="UQK9"/>
      <c r="UQO9"/>
      <c r="UQS9"/>
      <c r="UQW9"/>
      <c r="URA9"/>
      <c r="URE9"/>
      <c r="URI9"/>
      <c r="URM9"/>
      <c r="URQ9"/>
      <c r="URU9"/>
      <c r="URY9"/>
      <c r="USC9"/>
      <c r="USG9"/>
      <c r="USK9"/>
      <c r="USO9"/>
      <c r="USS9"/>
      <c r="USW9"/>
      <c r="UTA9"/>
      <c r="UTE9"/>
      <c r="UTI9"/>
      <c r="UTM9"/>
      <c r="UTQ9"/>
      <c r="UTU9"/>
      <c r="UTY9"/>
      <c r="UUC9"/>
      <c r="UUG9"/>
      <c r="UUK9"/>
      <c r="UUO9"/>
      <c r="UUS9"/>
      <c r="UUW9"/>
      <c r="UVA9"/>
      <c r="UVE9"/>
      <c r="UVI9"/>
      <c r="UVM9"/>
      <c r="UVQ9"/>
      <c r="UVU9"/>
      <c r="UVY9"/>
      <c r="UWC9"/>
      <c r="UWG9"/>
      <c r="UWK9"/>
      <c r="UWO9"/>
      <c r="UWS9"/>
      <c r="UWW9"/>
      <c r="UXA9"/>
      <c r="UXE9"/>
      <c r="UXI9"/>
      <c r="UXM9"/>
      <c r="UXQ9"/>
      <c r="UXU9"/>
      <c r="UXY9"/>
      <c r="UYC9"/>
      <c r="UYG9"/>
      <c r="UYK9"/>
      <c r="UYO9"/>
      <c r="UYS9"/>
      <c r="UYW9"/>
      <c r="UZA9"/>
      <c r="UZE9"/>
      <c r="UZI9"/>
      <c r="UZM9"/>
      <c r="UZQ9"/>
      <c r="UZU9"/>
      <c r="UZY9"/>
      <c r="VAC9"/>
      <c r="VAG9"/>
      <c r="VAK9"/>
      <c r="VAO9"/>
      <c r="VAS9"/>
      <c r="VAW9"/>
      <c r="VBA9"/>
      <c r="VBE9"/>
      <c r="VBI9"/>
      <c r="VBM9"/>
      <c r="VBQ9"/>
      <c r="VBU9"/>
      <c r="VBY9"/>
      <c r="VCC9"/>
      <c r="VCG9"/>
      <c r="VCK9"/>
      <c r="VCO9"/>
      <c r="VCS9"/>
      <c r="VCW9"/>
      <c r="VDA9"/>
      <c r="VDE9"/>
      <c r="VDI9"/>
      <c r="VDM9"/>
      <c r="VDQ9"/>
      <c r="VDU9"/>
      <c r="VDY9"/>
      <c r="VEC9"/>
      <c r="VEG9"/>
      <c r="VEK9"/>
      <c r="VEO9"/>
      <c r="VES9"/>
      <c r="VEW9"/>
      <c r="VFA9"/>
      <c r="VFE9"/>
      <c r="VFI9"/>
      <c r="VFM9"/>
      <c r="VFQ9"/>
      <c r="VFU9"/>
      <c r="VFY9"/>
      <c r="VGC9"/>
      <c r="VGG9"/>
      <c r="VGK9"/>
      <c r="VGO9"/>
      <c r="VGS9"/>
      <c r="VGW9"/>
      <c r="VHA9"/>
      <c r="VHE9"/>
      <c r="VHI9"/>
      <c r="VHM9"/>
      <c r="VHQ9"/>
      <c r="VHU9"/>
      <c r="VHY9"/>
      <c r="VIC9"/>
      <c r="VIG9"/>
      <c r="VIK9"/>
      <c r="VIO9"/>
      <c r="VIS9"/>
      <c r="VIW9"/>
      <c r="VJA9"/>
      <c r="VJE9"/>
      <c r="VJI9"/>
      <c r="VJM9"/>
      <c r="VJQ9"/>
      <c r="VJU9"/>
      <c r="VJY9"/>
      <c r="VKC9"/>
      <c r="VKG9"/>
      <c r="VKK9"/>
      <c r="VKO9"/>
      <c r="VKS9"/>
      <c r="VKW9"/>
      <c r="VLA9"/>
      <c r="VLE9"/>
      <c r="VLI9"/>
      <c r="VLM9"/>
      <c r="VLQ9"/>
      <c r="VLU9"/>
      <c r="VLY9"/>
      <c r="VMC9"/>
      <c r="VMG9"/>
      <c r="VMK9"/>
      <c r="VMO9"/>
      <c r="VMS9"/>
      <c r="VMW9"/>
      <c r="VNA9"/>
      <c r="VNE9"/>
      <c r="VNI9"/>
      <c r="VNM9"/>
      <c r="VNQ9"/>
      <c r="VNU9"/>
      <c r="VNY9"/>
      <c r="VOC9"/>
      <c r="VOG9"/>
      <c r="VOK9"/>
      <c r="VOO9"/>
      <c r="VOS9"/>
      <c r="VOW9"/>
      <c r="VPA9"/>
      <c r="VPE9"/>
      <c r="VPI9"/>
      <c r="VPM9"/>
      <c r="VPQ9"/>
      <c r="VPU9"/>
      <c r="VPY9"/>
      <c r="VQC9"/>
      <c r="VQG9"/>
      <c r="VQK9"/>
      <c r="VQO9"/>
      <c r="VQS9"/>
      <c r="VQW9"/>
      <c r="VRA9"/>
      <c r="VRE9"/>
      <c r="VRI9"/>
      <c r="VRM9"/>
      <c r="VRQ9"/>
      <c r="VRU9"/>
      <c r="VRY9"/>
      <c r="VSC9"/>
      <c r="VSG9"/>
      <c r="VSK9"/>
      <c r="VSO9"/>
      <c r="VSS9"/>
      <c r="VSW9"/>
      <c r="VTA9"/>
      <c r="VTE9"/>
      <c r="VTI9"/>
      <c r="VTM9"/>
      <c r="VTQ9"/>
      <c r="VTU9"/>
      <c r="VTY9"/>
      <c r="VUC9"/>
      <c r="VUG9"/>
      <c r="VUK9"/>
      <c r="VUO9"/>
      <c r="VUS9"/>
      <c r="VUW9"/>
      <c r="VVA9"/>
      <c r="VVE9"/>
      <c r="VVI9"/>
      <c r="VVM9"/>
      <c r="VVQ9"/>
      <c r="VVU9"/>
      <c r="VVY9"/>
      <c r="VWC9"/>
      <c r="VWG9"/>
      <c r="VWK9"/>
      <c r="VWO9"/>
      <c r="VWS9"/>
      <c r="VWW9"/>
      <c r="VXA9"/>
      <c r="VXE9"/>
      <c r="VXI9"/>
      <c r="VXM9"/>
      <c r="VXQ9"/>
      <c r="VXU9"/>
      <c r="VXY9"/>
      <c r="VYC9"/>
      <c r="VYG9"/>
      <c r="VYK9"/>
      <c r="VYO9"/>
      <c r="VYS9"/>
      <c r="VYW9"/>
      <c r="VZA9"/>
      <c r="VZE9"/>
      <c r="VZI9"/>
      <c r="VZM9"/>
      <c r="VZQ9"/>
      <c r="VZU9"/>
      <c r="VZY9"/>
      <c r="WAC9"/>
      <c r="WAG9"/>
      <c r="WAK9"/>
      <c r="WAO9"/>
      <c r="WAS9"/>
      <c r="WAW9"/>
      <c r="WBA9"/>
      <c r="WBE9"/>
      <c r="WBI9"/>
      <c r="WBM9"/>
      <c r="WBQ9"/>
      <c r="WBU9"/>
      <c r="WBY9"/>
      <c r="WCC9"/>
      <c r="WCG9"/>
      <c r="WCK9"/>
      <c r="WCO9"/>
      <c r="WCS9"/>
      <c r="WCW9"/>
      <c r="WDA9"/>
      <c r="WDE9"/>
      <c r="WDI9"/>
      <c r="WDM9"/>
      <c r="WDQ9"/>
      <c r="WDU9"/>
      <c r="WDY9"/>
      <c r="WEC9"/>
      <c r="WEG9"/>
      <c r="WEK9"/>
      <c r="WEO9"/>
      <c r="WES9"/>
      <c r="WEW9"/>
      <c r="WFA9"/>
      <c r="WFE9"/>
      <c r="WFI9"/>
      <c r="WFM9"/>
      <c r="WFQ9"/>
      <c r="WFU9"/>
      <c r="WFY9"/>
      <c r="WGC9"/>
      <c r="WGG9"/>
      <c r="WGK9"/>
      <c r="WGO9"/>
      <c r="WGS9"/>
      <c r="WGW9"/>
      <c r="WHA9"/>
      <c r="WHE9"/>
      <c r="WHI9"/>
      <c r="WHM9"/>
      <c r="WHQ9"/>
      <c r="WHU9"/>
      <c r="WHY9"/>
      <c r="WIC9"/>
      <c r="WIG9"/>
      <c r="WIK9"/>
      <c r="WIO9"/>
      <c r="WIS9"/>
      <c r="WIW9"/>
      <c r="WJA9"/>
      <c r="WJE9"/>
      <c r="WJI9"/>
      <c r="WJM9"/>
      <c r="WJQ9"/>
      <c r="WJU9"/>
      <c r="WJY9"/>
      <c r="WKC9"/>
      <c r="WKG9"/>
      <c r="WKK9"/>
      <c r="WKO9"/>
      <c r="WKS9"/>
      <c r="WKW9"/>
      <c r="WLA9"/>
      <c r="WLE9"/>
      <c r="WLI9"/>
      <c r="WLM9"/>
      <c r="WLQ9"/>
      <c r="WLU9"/>
      <c r="WLY9"/>
      <c r="WMC9"/>
      <c r="WMG9"/>
      <c r="WMK9"/>
      <c r="WMO9"/>
      <c r="WMS9"/>
      <c r="WMW9"/>
      <c r="WNA9"/>
      <c r="WNE9"/>
      <c r="WNI9"/>
      <c r="WNM9"/>
      <c r="WNQ9"/>
      <c r="WNU9"/>
      <c r="WNY9"/>
      <c r="WOC9"/>
      <c r="WOG9"/>
      <c r="WOK9"/>
      <c r="WOO9"/>
      <c r="WOS9"/>
      <c r="WOW9"/>
      <c r="WPA9"/>
      <c r="WPE9"/>
      <c r="WPI9"/>
      <c r="WPM9"/>
      <c r="WPQ9"/>
      <c r="WPU9"/>
      <c r="WPY9"/>
      <c r="WQC9"/>
      <c r="WQG9"/>
      <c r="WQK9"/>
      <c r="WQO9"/>
      <c r="WQS9"/>
      <c r="WQW9"/>
      <c r="WRA9"/>
      <c r="WRE9"/>
      <c r="WRI9"/>
      <c r="WRM9"/>
      <c r="WRQ9"/>
      <c r="WRU9"/>
      <c r="WRY9"/>
      <c r="WSC9"/>
      <c r="WSG9"/>
      <c r="WSK9"/>
      <c r="WSO9"/>
      <c r="WSS9"/>
      <c r="WSW9"/>
      <c r="WTA9"/>
      <c r="WTE9"/>
      <c r="WTI9"/>
      <c r="WTM9"/>
      <c r="WTQ9"/>
      <c r="WTU9"/>
      <c r="WTY9"/>
      <c r="WUC9"/>
      <c r="WUG9"/>
      <c r="WUK9"/>
      <c r="WUO9"/>
      <c r="WUS9"/>
      <c r="WUW9"/>
      <c r="WVA9"/>
      <c r="WVE9"/>
      <c r="WVI9"/>
      <c r="WVM9"/>
      <c r="WVQ9"/>
      <c r="WVU9"/>
      <c r="WVY9"/>
      <c r="WWC9"/>
      <c r="WWG9"/>
      <c r="WWK9"/>
      <c r="WWO9"/>
      <c r="WWS9"/>
      <c r="WWW9"/>
      <c r="WXA9"/>
      <c r="WXE9"/>
      <c r="WXI9"/>
      <c r="WXM9"/>
      <c r="WXQ9"/>
      <c r="WXU9"/>
      <c r="WXY9"/>
      <c r="WYC9"/>
      <c r="WYG9"/>
      <c r="WYK9"/>
      <c r="WYO9"/>
      <c r="WYS9"/>
      <c r="WYW9"/>
      <c r="WZA9"/>
      <c r="WZE9"/>
      <c r="WZI9"/>
      <c r="WZM9"/>
      <c r="WZQ9"/>
      <c r="WZU9"/>
      <c r="WZY9"/>
      <c r="XAC9"/>
      <c r="XAG9"/>
      <c r="XAK9"/>
      <c r="XAO9"/>
      <c r="XAS9"/>
      <c r="XAW9"/>
      <c r="XBA9"/>
      <c r="XBE9"/>
      <c r="XBI9"/>
      <c r="XBM9"/>
      <c r="XBQ9"/>
      <c r="XBU9"/>
      <c r="XBY9"/>
      <c r="XCC9"/>
      <c r="XCG9"/>
      <c r="XCK9"/>
      <c r="XCO9"/>
      <c r="XCS9"/>
      <c r="XCW9"/>
      <c r="XDA9"/>
      <c r="XDE9"/>
      <c r="XDI9"/>
      <c r="XDM9"/>
      <c r="XDQ9"/>
      <c r="XDU9"/>
      <c r="XDY9"/>
      <c r="XEC9"/>
      <c r="XEG9"/>
      <c r="XEK9"/>
      <c r="XEO9"/>
      <c r="XES9"/>
      <c r="XEW9"/>
      <c r="XFA9"/>
    </row>
    <row r="10" spans="1:1021 1025:2045 2049:3069 3073:4093 4097:5117 5121:6141 6145:7165 7169:8189 8193:9213 9217:10237 10241:11261 11265:12285 12289:13309 13313:14333 14337:15357 15361:16381" s="1" customFormat="1" x14ac:dyDescent="0.35">
      <c r="A10" s="21">
        <v>1</v>
      </c>
      <c r="B10" s="21">
        <v>6</v>
      </c>
      <c r="C10" s="1" t="str">
        <f xml:space="preserve"> IF('Master Player List'!L8=1,'Master Player List'!C8,"")</f>
        <v xml:space="preserve">Maples, Brent </v>
      </c>
      <c r="D10" s="1" t="str">
        <f xml:space="preserve"> IF('Master Player List'!L8=1,'Master Player List'!F8,"")</f>
        <v xml:space="preserve">Buratto, Mark </v>
      </c>
      <c r="E10" s="21">
        <f xml:space="preserve"> IF('Master Player List'!L8=1,'Master Player List'!I8,"")</f>
        <v>3.8</v>
      </c>
      <c r="F10" s="22"/>
      <c r="I10" s="21"/>
      <c r="J10" s="22"/>
      <c r="M10"/>
      <c r="Q10"/>
      <c r="U10"/>
      <c r="Y10"/>
      <c r="AC10"/>
      <c r="AG10"/>
      <c r="AK10"/>
      <c r="AO10"/>
      <c r="AS10"/>
      <c r="AW10"/>
      <c r="BA10"/>
      <c r="BE10"/>
      <c r="BI10"/>
      <c r="BM10"/>
      <c r="BQ10"/>
      <c r="BU10"/>
      <c r="BY10"/>
      <c r="CC10"/>
      <c r="CG10"/>
      <c r="CK10"/>
      <c r="CO10"/>
      <c r="CS10"/>
      <c r="CW10"/>
      <c r="DA10"/>
      <c r="DE10"/>
      <c r="DI10"/>
      <c r="DM10"/>
      <c r="DQ10"/>
      <c r="DU10"/>
      <c r="DY10"/>
      <c r="EC10"/>
      <c r="EG10"/>
      <c r="EK10"/>
      <c r="EO10"/>
      <c r="ES10"/>
      <c r="EW10"/>
      <c r="FA10"/>
      <c r="FE10"/>
      <c r="FI10"/>
      <c r="FM10"/>
      <c r="FQ10"/>
      <c r="FU10"/>
      <c r="FY10"/>
      <c r="GC10"/>
      <c r="GG10"/>
      <c r="GK10"/>
      <c r="GO10"/>
      <c r="GS10"/>
      <c r="GW10"/>
      <c r="HA10"/>
      <c r="HE10"/>
      <c r="HI10"/>
      <c r="HM10"/>
      <c r="HQ10"/>
      <c r="HU10"/>
      <c r="HY10"/>
      <c r="IC10"/>
      <c r="IG10"/>
      <c r="IK10"/>
      <c r="IO10"/>
      <c r="IS10"/>
      <c r="IW10"/>
      <c r="JA10"/>
      <c r="JE10"/>
      <c r="JI10"/>
      <c r="JM10"/>
      <c r="JQ10"/>
      <c r="JU10"/>
      <c r="JY10"/>
      <c r="KC10"/>
      <c r="KG10"/>
      <c r="KK10"/>
      <c r="KO10"/>
      <c r="KS10"/>
      <c r="KW10"/>
      <c r="LA10"/>
      <c r="LE10"/>
      <c r="LI10"/>
      <c r="LM10"/>
      <c r="LQ10"/>
      <c r="LU10"/>
      <c r="LY10"/>
      <c r="MC10"/>
      <c r="MG10"/>
      <c r="MK10"/>
      <c r="MO10"/>
      <c r="MS10"/>
      <c r="MW10"/>
      <c r="NA10"/>
      <c r="NE10"/>
      <c r="NI10"/>
      <c r="NM10"/>
      <c r="NQ10"/>
      <c r="NU10"/>
      <c r="NY10"/>
      <c r="OC10"/>
      <c r="OG10"/>
      <c r="OK10"/>
      <c r="OO10"/>
      <c r="OS10"/>
      <c r="OW10"/>
      <c r="PA10"/>
      <c r="PE10"/>
      <c r="PI10"/>
      <c r="PM10"/>
      <c r="PQ10"/>
      <c r="PU10"/>
      <c r="PY10"/>
      <c r="QC10"/>
      <c r="QG10"/>
      <c r="QK10"/>
      <c r="QO10"/>
      <c r="QS10"/>
      <c r="QW10"/>
      <c r="RA10"/>
      <c r="RE10"/>
      <c r="RI10"/>
      <c r="RM10"/>
      <c r="RQ10"/>
      <c r="RU10"/>
      <c r="RY10"/>
      <c r="SC10"/>
      <c r="SG10"/>
      <c r="SK10"/>
      <c r="SO10"/>
      <c r="SS10"/>
      <c r="SW10"/>
      <c r="TA10"/>
      <c r="TE10"/>
      <c r="TI10"/>
      <c r="TM10"/>
      <c r="TQ10"/>
      <c r="TU10"/>
      <c r="TY10"/>
      <c r="UC10"/>
      <c r="UG10"/>
      <c r="UK10"/>
      <c r="UO10"/>
      <c r="US10"/>
      <c r="UW10"/>
      <c r="VA10"/>
      <c r="VE10"/>
      <c r="VI10"/>
      <c r="VM10"/>
      <c r="VQ10"/>
      <c r="VU10"/>
      <c r="VY10"/>
      <c r="WC10"/>
      <c r="WG10"/>
      <c r="WK10"/>
      <c r="WO10"/>
      <c r="WS10"/>
      <c r="WW10"/>
      <c r="XA10"/>
      <c r="XE10"/>
      <c r="XI10"/>
      <c r="XM10"/>
      <c r="XQ10"/>
      <c r="XU10"/>
      <c r="XY10"/>
      <c r="YC10"/>
      <c r="YG10"/>
      <c r="YK10"/>
      <c r="YO10"/>
      <c r="YS10"/>
      <c r="YW10"/>
      <c r="ZA10"/>
      <c r="ZE10"/>
      <c r="ZI10"/>
      <c r="ZM10"/>
      <c r="ZQ10"/>
      <c r="ZU10"/>
      <c r="ZY10"/>
      <c r="AAC10"/>
      <c r="AAG10"/>
      <c r="AAK10"/>
      <c r="AAO10"/>
      <c r="AAS10"/>
      <c r="AAW10"/>
      <c r="ABA10"/>
      <c r="ABE10"/>
      <c r="ABI10"/>
      <c r="ABM10"/>
      <c r="ABQ10"/>
      <c r="ABU10"/>
      <c r="ABY10"/>
      <c r="ACC10"/>
      <c r="ACG10"/>
      <c r="ACK10"/>
      <c r="ACO10"/>
      <c r="ACS10"/>
      <c r="ACW10"/>
      <c r="ADA10"/>
      <c r="ADE10"/>
      <c r="ADI10"/>
      <c r="ADM10"/>
      <c r="ADQ10"/>
      <c r="ADU10"/>
      <c r="ADY10"/>
      <c r="AEC10"/>
      <c r="AEG10"/>
      <c r="AEK10"/>
      <c r="AEO10"/>
      <c r="AES10"/>
      <c r="AEW10"/>
      <c r="AFA10"/>
      <c r="AFE10"/>
      <c r="AFI10"/>
      <c r="AFM10"/>
      <c r="AFQ10"/>
      <c r="AFU10"/>
      <c r="AFY10"/>
      <c r="AGC10"/>
      <c r="AGG10"/>
      <c r="AGK10"/>
      <c r="AGO10"/>
      <c r="AGS10"/>
      <c r="AGW10"/>
      <c r="AHA10"/>
      <c r="AHE10"/>
      <c r="AHI10"/>
      <c r="AHM10"/>
      <c r="AHQ10"/>
      <c r="AHU10"/>
      <c r="AHY10"/>
      <c r="AIC10"/>
      <c r="AIG10"/>
      <c r="AIK10"/>
      <c r="AIO10"/>
      <c r="AIS10"/>
      <c r="AIW10"/>
      <c r="AJA10"/>
      <c r="AJE10"/>
      <c r="AJI10"/>
      <c r="AJM10"/>
      <c r="AJQ10"/>
      <c r="AJU10"/>
      <c r="AJY10"/>
      <c r="AKC10"/>
      <c r="AKG10"/>
      <c r="AKK10"/>
      <c r="AKO10"/>
      <c r="AKS10"/>
      <c r="AKW10"/>
      <c r="ALA10"/>
      <c r="ALE10"/>
      <c r="ALI10"/>
      <c r="ALM10"/>
      <c r="ALQ10"/>
      <c r="ALU10"/>
      <c r="ALY10"/>
      <c r="AMC10"/>
      <c r="AMG10"/>
      <c r="AMK10"/>
      <c r="AMO10"/>
      <c r="AMS10"/>
      <c r="AMW10"/>
      <c r="ANA10"/>
      <c r="ANE10"/>
      <c r="ANI10"/>
      <c r="ANM10"/>
      <c r="ANQ10"/>
      <c r="ANU10"/>
      <c r="ANY10"/>
      <c r="AOC10"/>
      <c r="AOG10"/>
      <c r="AOK10"/>
      <c r="AOO10"/>
      <c r="AOS10"/>
      <c r="AOW10"/>
      <c r="APA10"/>
      <c r="APE10"/>
      <c r="API10"/>
      <c r="APM10"/>
      <c r="APQ10"/>
      <c r="APU10"/>
      <c r="APY10"/>
      <c r="AQC10"/>
      <c r="AQG10"/>
      <c r="AQK10"/>
      <c r="AQO10"/>
      <c r="AQS10"/>
      <c r="AQW10"/>
      <c r="ARA10"/>
      <c r="ARE10"/>
      <c r="ARI10"/>
      <c r="ARM10"/>
      <c r="ARQ10"/>
      <c r="ARU10"/>
      <c r="ARY10"/>
      <c r="ASC10"/>
      <c r="ASG10"/>
      <c r="ASK10"/>
      <c r="ASO10"/>
      <c r="ASS10"/>
      <c r="ASW10"/>
      <c r="ATA10"/>
      <c r="ATE10"/>
      <c r="ATI10"/>
      <c r="ATM10"/>
      <c r="ATQ10"/>
      <c r="ATU10"/>
      <c r="ATY10"/>
      <c r="AUC10"/>
      <c r="AUG10"/>
      <c r="AUK10"/>
      <c r="AUO10"/>
      <c r="AUS10"/>
      <c r="AUW10"/>
      <c r="AVA10"/>
      <c r="AVE10"/>
      <c r="AVI10"/>
      <c r="AVM10"/>
      <c r="AVQ10"/>
      <c r="AVU10"/>
      <c r="AVY10"/>
      <c r="AWC10"/>
      <c r="AWG10"/>
      <c r="AWK10"/>
      <c r="AWO10"/>
      <c r="AWS10"/>
      <c r="AWW10"/>
      <c r="AXA10"/>
      <c r="AXE10"/>
      <c r="AXI10"/>
      <c r="AXM10"/>
      <c r="AXQ10"/>
      <c r="AXU10"/>
      <c r="AXY10"/>
      <c r="AYC10"/>
      <c r="AYG10"/>
      <c r="AYK10"/>
      <c r="AYO10"/>
      <c r="AYS10"/>
      <c r="AYW10"/>
      <c r="AZA10"/>
      <c r="AZE10"/>
      <c r="AZI10"/>
      <c r="AZM10"/>
      <c r="AZQ10"/>
      <c r="AZU10"/>
      <c r="AZY10"/>
      <c r="BAC10"/>
      <c r="BAG10"/>
      <c r="BAK10"/>
      <c r="BAO10"/>
      <c r="BAS10"/>
      <c r="BAW10"/>
      <c r="BBA10"/>
      <c r="BBE10"/>
      <c r="BBI10"/>
      <c r="BBM10"/>
      <c r="BBQ10"/>
      <c r="BBU10"/>
      <c r="BBY10"/>
      <c r="BCC10"/>
      <c r="BCG10"/>
      <c r="BCK10"/>
      <c r="BCO10"/>
      <c r="BCS10"/>
      <c r="BCW10"/>
      <c r="BDA10"/>
      <c r="BDE10"/>
      <c r="BDI10"/>
      <c r="BDM10"/>
      <c r="BDQ10"/>
      <c r="BDU10"/>
      <c r="BDY10"/>
      <c r="BEC10"/>
      <c r="BEG10"/>
      <c r="BEK10"/>
      <c r="BEO10"/>
      <c r="BES10"/>
      <c r="BEW10"/>
      <c r="BFA10"/>
      <c r="BFE10"/>
      <c r="BFI10"/>
      <c r="BFM10"/>
      <c r="BFQ10"/>
      <c r="BFU10"/>
      <c r="BFY10"/>
      <c r="BGC10"/>
      <c r="BGG10"/>
      <c r="BGK10"/>
      <c r="BGO10"/>
      <c r="BGS10"/>
      <c r="BGW10"/>
      <c r="BHA10"/>
      <c r="BHE10"/>
      <c r="BHI10"/>
      <c r="BHM10"/>
      <c r="BHQ10"/>
      <c r="BHU10"/>
      <c r="BHY10"/>
      <c r="BIC10"/>
      <c r="BIG10"/>
      <c r="BIK10"/>
      <c r="BIO10"/>
      <c r="BIS10"/>
      <c r="BIW10"/>
      <c r="BJA10"/>
      <c r="BJE10"/>
      <c r="BJI10"/>
      <c r="BJM10"/>
      <c r="BJQ10"/>
      <c r="BJU10"/>
      <c r="BJY10"/>
      <c r="BKC10"/>
      <c r="BKG10"/>
      <c r="BKK10"/>
      <c r="BKO10"/>
      <c r="BKS10"/>
      <c r="BKW10"/>
      <c r="BLA10"/>
      <c r="BLE10"/>
      <c r="BLI10"/>
      <c r="BLM10"/>
      <c r="BLQ10"/>
      <c r="BLU10"/>
      <c r="BLY10"/>
      <c r="BMC10"/>
      <c r="BMG10"/>
      <c r="BMK10"/>
      <c r="BMO10"/>
      <c r="BMS10"/>
      <c r="BMW10"/>
      <c r="BNA10"/>
      <c r="BNE10"/>
      <c r="BNI10"/>
      <c r="BNM10"/>
      <c r="BNQ10"/>
      <c r="BNU10"/>
      <c r="BNY10"/>
      <c r="BOC10"/>
      <c r="BOG10"/>
      <c r="BOK10"/>
      <c r="BOO10"/>
      <c r="BOS10"/>
      <c r="BOW10"/>
      <c r="BPA10"/>
      <c r="BPE10"/>
      <c r="BPI10"/>
      <c r="BPM10"/>
      <c r="BPQ10"/>
      <c r="BPU10"/>
      <c r="BPY10"/>
      <c r="BQC10"/>
      <c r="BQG10"/>
      <c r="BQK10"/>
      <c r="BQO10"/>
      <c r="BQS10"/>
      <c r="BQW10"/>
      <c r="BRA10"/>
      <c r="BRE10"/>
      <c r="BRI10"/>
      <c r="BRM10"/>
      <c r="BRQ10"/>
      <c r="BRU10"/>
      <c r="BRY10"/>
      <c r="BSC10"/>
      <c r="BSG10"/>
      <c r="BSK10"/>
      <c r="BSO10"/>
      <c r="BSS10"/>
      <c r="BSW10"/>
      <c r="BTA10"/>
      <c r="BTE10"/>
      <c r="BTI10"/>
      <c r="BTM10"/>
      <c r="BTQ10"/>
      <c r="BTU10"/>
      <c r="BTY10"/>
      <c r="BUC10"/>
      <c r="BUG10"/>
      <c r="BUK10"/>
      <c r="BUO10"/>
      <c r="BUS10"/>
      <c r="BUW10"/>
      <c r="BVA10"/>
      <c r="BVE10"/>
      <c r="BVI10"/>
      <c r="BVM10"/>
      <c r="BVQ10"/>
      <c r="BVU10"/>
      <c r="BVY10"/>
      <c r="BWC10"/>
      <c r="BWG10"/>
      <c r="BWK10"/>
      <c r="BWO10"/>
      <c r="BWS10"/>
      <c r="BWW10"/>
      <c r="BXA10"/>
      <c r="BXE10"/>
      <c r="BXI10"/>
      <c r="BXM10"/>
      <c r="BXQ10"/>
      <c r="BXU10"/>
      <c r="BXY10"/>
      <c r="BYC10"/>
      <c r="BYG10"/>
      <c r="BYK10"/>
      <c r="BYO10"/>
      <c r="BYS10"/>
      <c r="BYW10"/>
      <c r="BZA10"/>
      <c r="BZE10"/>
      <c r="BZI10"/>
      <c r="BZM10"/>
      <c r="BZQ10"/>
      <c r="BZU10"/>
      <c r="BZY10"/>
      <c r="CAC10"/>
      <c r="CAG10"/>
      <c r="CAK10"/>
      <c r="CAO10"/>
      <c r="CAS10"/>
      <c r="CAW10"/>
      <c r="CBA10"/>
      <c r="CBE10"/>
      <c r="CBI10"/>
      <c r="CBM10"/>
      <c r="CBQ10"/>
      <c r="CBU10"/>
      <c r="CBY10"/>
      <c r="CCC10"/>
      <c r="CCG10"/>
      <c r="CCK10"/>
      <c r="CCO10"/>
      <c r="CCS10"/>
      <c r="CCW10"/>
      <c r="CDA10"/>
      <c r="CDE10"/>
      <c r="CDI10"/>
      <c r="CDM10"/>
      <c r="CDQ10"/>
      <c r="CDU10"/>
      <c r="CDY10"/>
      <c r="CEC10"/>
      <c r="CEG10"/>
      <c r="CEK10"/>
      <c r="CEO10"/>
      <c r="CES10"/>
      <c r="CEW10"/>
      <c r="CFA10"/>
      <c r="CFE10"/>
      <c r="CFI10"/>
      <c r="CFM10"/>
      <c r="CFQ10"/>
      <c r="CFU10"/>
      <c r="CFY10"/>
      <c r="CGC10"/>
      <c r="CGG10"/>
      <c r="CGK10"/>
      <c r="CGO10"/>
      <c r="CGS10"/>
      <c r="CGW10"/>
      <c r="CHA10"/>
      <c r="CHE10"/>
      <c r="CHI10"/>
      <c r="CHM10"/>
      <c r="CHQ10"/>
      <c r="CHU10"/>
      <c r="CHY10"/>
      <c r="CIC10"/>
      <c r="CIG10"/>
      <c r="CIK10"/>
      <c r="CIO10"/>
      <c r="CIS10"/>
      <c r="CIW10"/>
      <c r="CJA10"/>
      <c r="CJE10"/>
      <c r="CJI10"/>
      <c r="CJM10"/>
      <c r="CJQ10"/>
      <c r="CJU10"/>
      <c r="CJY10"/>
      <c r="CKC10"/>
      <c r="CKG10"/>
      <c r="CKK10"/>
      <c r="CKO10"/>
      <c r="CKS10"/>
      <c r="CKW10"/>
      <c r="CLA10"/>
      <c r="CLE10"/>
      <c r="CLI10"/>
      <c r="CLM10"/>
      <c r="CLQ10"/>
      <c r="CLU10"/>
      <c r="CLY10"/>
      <c r="CMC10"/>
      <c r="CMG10"/>
      <c r="CMK10"/>
      <c r="CMO10"/>
      <c r="CMS10"/>
      <c r="CMW10"/>
      <c r="CNA10"/>
      <c r="CNE10"/>
      <c r="CNI10"/>
      <c r="CNM10"/>
      <c r="CNQ10"/>
      <c r="CNU10"/>
      <c r="CNY10"/>
      <c r="COC10"/>
      <c r="COG10"/>
      <c r="COK10"/>
      <c r="COO10"/>
      <c r="COS10"/>
      <c r="COW10"/>
      <c r="CPA10"/>
      <c r="CPE10"/>
      <c r="CPI10"/>
      <c r="CPM10"/>
      <c r="CPQ10"/>
      <c r="CPU10"/>
      <c r="CPY10"/>
      <c r="CQC10"/>
      <c r="CQG10"/>
      <c r="CQK10"/>
      <c r="CQO10"/>
      <c r="CQS10"/>
      <c r="CQW10"/>
      <c r="CRA10"/>
      <c r="CRE10"/>
      <c r="CRI10"/>
      <c r="CRM10"/>
      <c r="CRQ10"/>
      <c r="CRU10"/>
      <c r="CRY10"/>
      <c r="CSC10"/>
      <c r="CSG10"/>
      <c r="CSK10"/>
      <c r="CSO10"/>
      <c r="CSS10"/>
      <c r="CSW10"/>
      <c r="CTA10"/>
      <c r="CTE10"/>
      <c r="CTI10"/>
      <c r="CTM10"/>
      <c r="CTQ10"/>
      <c r="CTU10"/>
      <c r="CTY10"/>
      <c r="CUC10"/>
      <c r="CUG10"/>
      <c r="CUK10"/>
      <c r="CUO10"/>
      <c r="CUS10"/>
      <c r="CUW10"/>
      <c r="CVA10"/>
      <c r="CVE10"/>
      <c r="CVI10"/>
      <c r="CVM10"/>
      <c r="CVQ10"/>
      <c r="CVU10"/>
      <c r="CVY10"/>
      <c r="CWC10"/>
      <c r="CWG10"/>
      <c r="CWK10"/>
      <c r="CWO10"/>
      <c r="CWS10"/>
      <c r="CWW10"/>
      <c r="CXA10"/>
      <c r="CXE10"/>
      <c r="CXI10"/>
      <c r="CXM10"/>
      <c r="CXQ10"/>
      <c r="CXU10"/>
      <c r="CXY10"/>
      <c r="CYC10"/>
      <c r="CYG10"/>
      <c r="CYK10"/>
      <c r="CYO10"/>
      <c r="CYS10"/>
      <c r="CYW10"/>
      <c r="CZA10"/>
      <c r="CZE10"/>
      <c r="CZI10"/>
      <c r="CZM10"/>
      <c r="CZQ10"/>
      <c r="CZU10"/>
      <c r="CZY10"/>
      <c r="DAC10"/>
      <c r="DAG10"/>
      <c r="DAK10"/>
      <c r="DAO10"/>
      <c r="DAS10"/>
      <c r="DAW10"/>
      <c r="DBA10"/>
      <c r="DBE10"/>
      <c r="DBI10"/>
      <c r="DBM10"/>
      <c r="DBQ10"/>
      <c r="DBU10"/>
      <c r="DBY10"/>
      <c r="DCC10"/>
      <c r="DCG10"/>
      <c r="DCK10"/>
      <c r="DCO10"/>
      <c r="DCS10"/>
      <c r="DCW10"/>
      <c r="DDA10"/>
      <c r="DDE10"/>
      <c r="DDI10"/>
      <c r="DDM10"/>
      <c r="DDQ10"/>
      <c r="DDU10"/>
      <c r="DDY10"/>
      <c r="DEC10"/>
      <c r="DEG10"/>
      <c r="DEK10"/>
      <c r="DEO10"/>
      <c r="DES10"/>
      <c r="DEW10"/>
      <c r="DFA10"/>
      <c r="DFE10"/>
      <c r="DFI10"/>
      <c r="DFM10"/>
      <c r="DFQ10"/>
      <c r="DFU10"/>
      <c r="DFY10"/>
      <c r="DGC10"/>
      <c r="DGG10"/>
      <c r="DGK10"/>
      <c r="DGO10"/>
      <c r="DGS10"/>
      <c r="DGW10"/>
      <c r="DHA10"/>
      <c r="DHE10"/>
      <c r="DHI10"/>
      <c r="DHM10"/>
      <c r="DHQ10"/>
      <c r="DHU10"/>
      <c r="DHY10"/>
      <c r="DIC10"/>
      <c r="DIG10"/>
      <c r="DIK10"/>
      <c r="DIO10"/>
      <c r="DIS10"/>
      <c r="DIW10"/>
      <c r="DJA10"/>
      <c r="DJE10"/>
      <c r="DJI10"/>
      <c r="DJM10"/>
      <c r="DJQ10"/>
      <c r="DJU10"/>
      <c r="DJY10"/>
      <c r="DKC10"/>
      <c r="DKG10"/>
      <c r="DKK10"/>
      <c r="DKO10"/>
      <c r="DKS10"/>
      <c r="DKW10"/>
      <c r="DLA10"/>
      <c r="DLE10"/>
      <c r="DLI10"/>
      <c r="DLM10"/>
      <c r="DLQ10"/>
      <c r="DLU10"/>
      <c r="DLY10"/>
      <c r="DMC10"/>
      <c r="DMG10"/>
      <c r="DMK10"/>
      <c r="DMO10"/>
      <c r="DMS10"/>
      <c r="DMW10"/>
      <c r="DNA10"/>
      <c r="DNE10"/>
      <c r="DNI10"/>
      <c r="DNM10"/>
      <c r="DNQ10"/>
      <c r="DNU10"/>
      <c r="DNY10"/>
      <c r="DOC10"/>
      <c r="DOG10"/>
      <c r="DOK10"/>
      <c r="DOO10"/>
      <c r="DOS10"/>
      <c r="DOW10"/>
      <c r="DPA10"/>
      <c r="DPE10"/>
      <c r="DPI10"/>
      <c r="DPM10"/>
      <c r="DPQ10"/>
      <c r="DPU10"/>
      <c r="DPY10"/>
      <c r="DQC10"/>
      <c r="DQG10"/>
      <c r="DQK10"/>
      <c r="DQO10"/>
      <c r="DQS10"/>
      <c r="DQW10"/>
      <c r="DRA10"/>
      <c r="DRE10"/>
      <c r="DRI10"/>
      <c r="DRM10"/>
      <c r="DRQ10"/>
      <c r="DRU10"/>
      <c r="DRY10"/>
      <c r="DSC10"/>
      <c r="DSG10"/>
      <c r="DSK10"/>
      <c r="DSO10"/>
      <c r="DSS10"/>
      <c r="DSW10"/>
      <c r="DTA10"/>
      <c r="DTE10"/>
      <c r="DTI10"/>
      <c r="DTM10"/>
      <c r="DTQ10"/>
      <c r="DTU10"/>
      <c r="DTY10"/>
      <c r="DUC10"/>
      <c r="DUG10"/>
      <c r="DUK10"/>
      <c r="DUO10"/>
      <c r="DUS10"/>
      <c r="DUW10"/>
      <c r="DVA10"/>
      <c r="DVE10"/>
      <c r="DVI10"/>
      <c r="DVM10"/>
      <c r="DVQ10"/>
      <c r="DVU10"/>
      <c r="DVY10"/>
      <c r="DWC10"/>
      <c r="DWG10"/>
      <c r="DWK10"/>
      <c r="DWO10"/>
      <c r="DWS10"/>
      <c r="DWW10"/>
      <c r="DXA10"/>
      <c r="DXE10"/>
      <c r="DXI10"/>
      <c r="DXM10"/>
      <c r="DXQ10"/>
      <c r="DXU10"/>
      <c r="DXY10"/>
      <c r="DYC10"/>
      <c r="DYG10"/>
      <c r="DYK10"/>
      <c r="DYO10"/>
      <c r="DYS10"/>
      <c r="DYW10"/>
      <c r="DZA10"/>
      <c r="DZE10"/>
      <c r="DZI10"/>
      <c r="DZM10"/>
      <c r="DZQ10"/>
      <c r="DZU10"/>
      <c r="DZY10"/>
      <c r="EAC10"/>
      <c r="EAG10"/>
      <c r="EAK10"/>
      <c r="EAO10"/>
      <c r="EAS10"/>
      <c r="EAW10"/>
      <c r="EBA10"/>
      <c r="EBE10"/>
      <c r="EBI10"/>
      <c r="EBM10"/>
      <c r="EBQ10"/>
      <c r="EBU10"/>
      <c r="EBY10"/>
      <c r="ECC10"/>
      <c r="ECG10"/>
      <c r="ECK10"/>
      <c r="ECO10"/>
      <c r="ECS10"/>
      <c r="ECW10"/>
      <c r="EDA10"/>
      <c r="EDE10"/>
      <c r="EDI10"/>
      <c r="EDM10"/>
      <c r="EDQ10"/>
      <c r="EDU10"/>
      <c r="EDY10"/>
      <c r="EEC10"/>
      <c r="EEG10"/>
      <c r="EEK10"/>
      <c r="EEO10"/>
      <c r="EES10"/>
      <c r="EEW10"/>
      <c r="EFA10"/>
      <c r="EFE10"/>
      <c r="EFI10"/>
      <c r="EFM10"/>
      <c r="EFQ10"/>
      <c r="EFU10"/>
      <c r="EFY10"/>
      <c r="EGC10"/>
      <c r="EGG10"/>
      <c r="EGK10"/>
      <c r="EGO10"/>
      <c r="EGS10"/>
      <c r="EGW10"/>
      <c r="EHA10"/>
      <c r="EHE10"/>
      <c r="EHI10"/>
      <c r="EHM10"/>
      <c r="EHQ10"/>
      <c r="EHU10"/>
      <c r="EHY10"/>
      <c r="EIC10"/>
      <c r="EIG10"/>
      <c r="EIK10"/>
      <c r="EIO10"/>
      <c r="EIS10"/>
      <c r="EIW10"/>
      <c r="EJA10"/>
      <c r="EJE10"/>
      <c r="EJI10"/>
      <c r="EJM10"/>
      <c r="EJQ10"/>
      <c r="EJU10"/>
      <c r="EJY10"/>
      <c r="EKC10"/>
      <c r="EKG10"/>
      <c r="EKK10"/>
      <c r="EKO10"/>
      <c r="EKS10"/>
      <c r="EKW10"/>
      <c r="ELA10"/>
      <c r="ELE10"/>
      <c r="ELI10"/>
      <c r="ELM10"/>
      <c r="ELQ10"/>
      <c r="ELU10"/>
      <c r="ELY10"/>
      <c r="EMC10"/>
      <c r="EMG10"/>
      <c r="EMK10"/>
      <c r="EMO10"/>
      <c r="EMS10"/>
      <c r="EMW10"/>
      <c r="ENA10"/>
      <c r="ENE10"/>
      <c r="ENI10"/>
      <c r="ENM10"/>
      <c r="ENQ10"/>
      <c r="ENU10"/>
      <c r="ENY10"/>
      <c r="EOC10"/>
      <c r="EOG10"/>
      <c r="EOK10"/>
      <c r="EOO10"/>
      <c r="EOS10"/>
      <c r="EOW10"/>
      <c r="EPA10"/>
      <c r="EPE10"/>
      <c r="EPI10"/>
      <c r="EPM10"/>
      <c r="EPQ10"/>
      <c r="EPU10"/>
      <c r="EPY10"/>
      <c r="EQC10"/>
      <c r="EQG10"/>
      <c r="EQK10"/>
      <c r="EQO10"/>
      <c r="EQS10"/>
      <c r="EQW10"/>
      <c r="ERA10"/>
      <c r="ERE10"/>
      <c r="ERI10"/>
      <c r="ERM10"/>
      <c r="ERQ10"/>
      <c r="ERU10"/>
      <c r="ERY10"/>
      <c r="ESC10"/>
      <c r="ESG10"/>
      <c r="ESK10"/>
      <c r="ESO10"/>
      <c r="ESS10"/>
      <c r="ESW10"/>
      <c r="ETA10"/>
      <c r="ETE10"/>
      <c r="ETI10"/>
      <c r="ETM10"/>
      <c r="ETQ10"/>
      <c r="ETU10"/>
      <c r="ETY10"/>
      <c r="EUC10"/>
      <c r="EUG10"/>
      <c r="EUK10"/>
      <c r="EUO10"/>
      <c r="EUS10"/>
      <c r="EUW10"/>
      <c r="EVA10"/>
      <c r="EVE10"/>
      <c r="EVI10"/>
      <c r="EVM10"/>
      <c r="EVQ10"/>
      <c r="EVU10"/>
      <c r="EVY10"/>
      <c r="EWC10"/>
      <c r="EWG10"/>
      <c r="EWK10"/>
      <c r="EWO10"/>
      <c r="EWS10"/>
      <c r="EWW10"/>
      <c r="EXA10"/>
      <c r="EXE10"/>
      <c r="EXI10"/>
      <c r="EXM10"/>
      <c r="EXQ10"/>
      <c r="EXU10"/>
      <c r="EXY10"/>
      <c r="EYC10"/>
      <c r="EYG10"/>
      <c r="EYK10"/>
      <c r="EYO10"/>
      <c r="EYS10"/>
      <c r="EYW10"/>
      <c r="EZA10"/>
      <c r="EZE10"/>
      <c r="EZI10"/>
      <c r="EZM10"/>
      <c r="EZQ10"/>
      <c r="EZU10"/>
      <c r="EZY10"/>
      <c r="FAC10"/>
      <c r="FAG10"/>
      <c r="FAK10"/>
      <c r="FAO10"/>
      <c r="FAS10"/>
      <c r="FAW10"/>
      <c r="FBA10"/>
      <c r="FBE10"/>
      <c r="FBI10"/>
      <c r="FBM10"/>
      <c r="FBQ10"/>
      <c r="FBU10"/>
      <c r="FBY10"/>
      <c r="FCC10"/>
      <c r="FCG10"/>
      <c r="FCK10"/>
      <c r="FCO10"/>
      <c r="FCS10"/>
      <c r="FCW10"/>
      <c r="FDA10"/>
      <c r="FDE10"/>
      <c r="FDI10"/>
      <c r="FDM10"/>
      <c r="FDQ10"/>
      <c r="FDU10"/>
      <c r="FDY10"/>
      <c r="FEC10"/>
      <c r="FEG10"/>
      <c r="FEK10"/>
      <c r="FEO10"/>
      <c r="FES10"/>
      <c r="FEW10"/>
      <c r="FFA10"/>
      <c r="FFE10"/>
      <c r="FFI10"/>
      <c r="FFM10"/>
      <c r="FFQ10"/>
      <c r="FFU10"/>
      <c r="FFY10"/>
      <c r="FGC10"/>
      <c r="FGG10"/>
      <c r="FGK10"/>
      <c r="FGO10"/>
      <c r="FGS10"/>
      <c r="FGW10"/>
      <c r="FHA10"/>
      <c r="FHE10"/>
      <c r="FHI10"/>
      <c r="FHM10"/>
      <c r="FHQ10"/>
      <c r="FHU10"/>
      <c r="FHY10"/>
      <c r="FIC10"/>
      <c r="FIG10"/>
      <c r="FIK10"/>
      <c r="FIO10"/>
      <c r="FIS10"/>
      <c r="FIW10"/>
      <c r="FJA10"/>
      <c r="FJE10"/>
      <c r="FJI10"/>
      <c r="FJM10"/>
      <c r="FJQ10"/>
      <c r="FJU10"/>
      <c r="FJY10"/>
      <c r="FKC10"/>
      <c r="FKG10"/>
      <c r="FKK10"/>
      <c r="FKO10"/>
      <c r="FKS10"/>
      <c r="FKW10"/>
      <c r="FLA10"/>
      <c r="FLE10"/>
      <c r="FLI10"/>
      <c r="FLM10"/>
      <c r="FLQ10"/>
      <c r="FLU10"/>
      <c r="FLY10"/>
      <c r="FMC10"/>
      <c r="FMG10"/>
      <c r="FMK10"/>
      <c r="FMO10"/>
      <c r="FMS10"/>
      <c r="FMW10"/>
      <c r="FNA10"/>
      <c r="FNE10"/>
      <c r="FNI10"/>
      <c r="FNM10"/>
      <c r="FNQ10"/>
      <c r="FNU10"/>
      <c r="FNY10"/>
      <c r="FOC10"/>
      <c r="FOG10"/>
      <c r="FOK10"/>
      <c r="FOO10"/>
      <c r="FOS10"/>
      <c r="FOW10"/>
      <c r="FPA10"/>
      <c r="FPE10"/>
      <c r="FPI10"/>
      <c r="FPM10"/>
      <c r="FPQ10"/>
      <c r="FPU10"/>
      <c r="FPY10"/>
      <c r="FQC10"/>
      <c r="FQG10"/>
      <c r="FQK10"/>
      <c r="FQO10"/>
      <c r="FQS10"/>
      <c r="FQW10"/>
      <c r="FRA10"/>
      <c r="FRE10"/>
      <c r="FRI10"/>
      <c r="FRM10"/>
      <c r="FRQ10"/>
      <c r="FRU10"/>
      <c r="FRY10"/>
      <c r="FSC10"/>
      <c r="FSG10"/>
      <c r="FSK10"/>
      <c r="FSO10"/>
      <c r="FSS10"/>
      <c r="FSW10"/>
      <c r="FTA10"/>
      <c r="FTE10"/>
      <c r="FTI10"/>
      <c r="FTM10"/>
      <c r="FTQ10"/>
      <c r="FTU10"/>
      <c r="FTY10"/>
      <c r="FUC10"/>
      <c r="FUG10"/>
      <c r="FUK10"/>
      <c r="FUO10"/>
      <c r="FUS10"/>
      <c r="FUW10"/>
      <c r="FVA10"/>
      <c r="FVE10"/>
      <c r="FVI10"/>
      <c r="FVM10"/>
      <c r="FVQ10"/>
      <c r="FVU10"/>
      <c r="FVY10"/>
      <c r="FWC10"/>
      <c r="FWG10"/>
      <c r="FWK10"/>
      <c r="FWO10"/>
      <c r="FWS10"/>
      <c r="FWW10"/>
      <c r="FXA10"/>
      <c r="FXE10"/>
      <c r="FXI10"/>
      <c r="FXM10"/>
      <c r="FXQ10"/>
      <c r="FXU10"/>
      <c r="FXY10"/>
      <c r="FYC10"/>
      <c r="FYG10"/>
      <c r="FYK10"/>
      <c r="FYO10"/>
      <c r="FYS10"/>
      <c r="FYW10"/>
      <c r="FZA10"/>
      <c r="FZE10"/>
      <c r="FZI10"/>
      <c r="FZM10"/>
      <c r="FZQ10"/>
      <c r="FZU10"/>
      <c r="FZY10"/>
      <c r="GAC10"/>
      <c r="GAG10"/>
      <c r="GAK10"/>
      <c r="GAO10"/>
      <c r="GAS10"/>
      <c r="GAW10"/>
      <c r="GBA10"/>
      <c r="GBE10"/>
      <c r="GBI10"/>
      <c r="GBM10"/>
      <c r="GBQ10"/>
      <c r="GBU10"/>
      <c r="GBY10"/>
      <c r="GCC10"/>
      <c r="GCG10"/>
      <c r="GCK10"/>
      <c r="GCO10"/>
      <c r="GCS10"/>
      <c r="GCW10"/>
      <c r="GDA10"/>
      <c r="GDE10"/>
      <c r="GDI10"/>
      <c r="GDM10"/>
      <c r="GDQ10"/>
      <c r="GDU10"/>
      <c r="GDY10"/>
      <c r="GEC10"/>
      <c r="GEG10"/>
      <c r="GEK10"/>
      <c r="GEO10"/>
      <c r="GES10"/>
      <c r="GEW10"/>
      <c r="GFA10"/>
      <c r="GFE10"/>
      <c r="GFI10"/>
      <c r="GFM10"/>
      <c r="GFQ10"/>
      <c r="GFU10"/>
      <c r="GFY10"/>
      <c r="GGC10"/>
      <c r="GGG10"/>
      <c r="GGK10"/>
      <c r="GGO10"/>
      <c r="GGS10"/>
      <c r="GGW10"/>
      <c r="GHA10"/>
      <c r="GHE10"/>
      <c r="GHI10"/>
      <c r="GHM10"/>
      <c r="GHQ10"/>
      <c r="GHU10"/>
      <c r="GHY10"/>
      <c r="GIC10"/>
      <c r="GIG10"/>
      <c r="GIK10"/>
      <c r="GIO10"/>
      <c r="GIS10"/>
      <c r="GIW10"/>
      <c r="GJA10"/>
      <c r="GJE10"/>
      <c r="GJI10"/>
      <c r="GJM10"/>
      <c r="GJQ10"/>
      <c r="GJU10"/>
      <c r="GJY10"/>
      <c r="GKC10"/>
      <c r="GKG10"/>
      <c r="GKK10"/>
      <c r="GKO10"/>
      <c r="GKS10"/>
      <c r="GKW10"/>
      <c r="GLA10"/>
      <c r="GLE10"/>
      <c r="GLI10"/>
      <c r="GLM10"/>
      <c r="GLQ10"/>
      <c r="GLU10"/>
      <c r="GLY10"/>
      <c r="GMC10"/>
      <c r="GMG10"/>
      <c r="GMK10"/>
      <c r="GMO10"/>
      <c r="GMS10"/>
      <c r="GMW10"/>
      <c r="GNA10"/>
      <c r="GNE10"/>
      <c r="GNI10"/>
      <c r="GNM10"/>
      <c r="GNQ10"/>
      <c r="GNU10"/>
      <c r="GNY10"/>
      <c r="GOC10"/>
      <c r="GOG10"/>
      <c r="GOK10"/>
      <c r="GOO10"/>
      <c r="GOS10"/>
      <c r="GOW10"/>
      <c r="GPA10"/>
      <c r="GPE10"/>
      <c r="GPI10"/>
      <c r="GPM10"/>
      <c r="GPQ10"/>
      <c r="GPU10"/>
      <c r="GPY10"/>
      <c r="GQC10"/>
      <c r="GQG10"/>
      <c r="GQK10"/>
      <c r="GQO10"/>
      <c r="GQS10"/>
      <c r="GQW10"/>
      <c r="GRA10"/>
      <c r="GRE10"/>
      <c r="GRI10"/>
      <c r="GRM10"/>
      <c r="GRQ10"/>
      <c r="GRU10"/>
      <c r="GRY10"/>
      <c r="GSC10"/>
      <c r="GSG10"/>
      <c r="GSK10"/>
      <c r="GSO10"/>
      <c r="GSS10"/>
      <c r="GSW10"/>
      <c r="GTA10"/>
      <c r="GTE10"/>
      <c r="GTI10"/>
      <c r="GTM10"/>
      <c r="GTQ10"/>
      <c r="GTU10"/>
      <c r="GTY10"/>
      <c r="GUC10"/>
      <c r="GUG10"/>
      <c r="GUK10"/>
      <c r="GUO10"/>
      <c r="GUS10"/>
      <c r="GUW10"/>
      <c r="GVA10"/>
      <c r="GVE10"/>
      <c r="GVI10"/>
      <c r="GVM10"/>
      <c r="GVQ10"/>
      <c r="GVU10"/>
      <c r="GVY10"/>
      <c r="GWC10"/>
      <c r="GWG10"/>
      <c r="GWK10"/>
      <c r="GWO10"/>
      <c r="GWS10"/>
      <c r="GWW10"/>
      <c r="GXA10"/>
      <c r="GXE10"/>
      <c r="GXI10"/>
      <c r="GXM10"/>
      <c r="GXQ10"/>
      <c r="GXU10"/>
      <c r="GXY10"/>
      <c r="GYC10"/>
      <c r="GYG10"/>
      <c r="GYK10"/>
      <c r="GYO10"/>
      <c r="GYS10"/>
      <c r="GYW10"/>
      <c r="GZA10"/>
      <c r="GZE10"/>
      <c r="GZI10"/>
      <c r="GZM10"/>
      <c r="GZQ10"/>
      <c r="GZU10"/>
      <c r="GZY10"/>
      <c r="HAC10"/>
      <c r="HAG10"/>
      <c r="HAK10"/>
      <c r="HAO10"/>
      <c r="HAS10"/>
      <c r="HAW10"/>
      <c r="HBA10"/>
      <c r="HBE10"/>
      <c r="HBI10"/>
      <c r="HBM10"/>
      <c r="HBQ10"/>
      <c r="HBU10"/>
      <c r="HBY10"/>
      <c r="HCC10"/>
      <c r="HCG10"/>
      <c r="HCK10"/>
      <c r="HCO10"/>
      <c r="HCS10"/>
      <c r="HCW10"/>
      <c r="HDA10"/>
      <c r="HDE10"/>
      <c r="HDI10"/>
      <c r="HDM10"/>
      <c r="HDQ10"/>
      <c r="HDU10"/>
      <c r="HDY10"/>
      <c r="HEC10"/>
      <c r="HEG10"/>
      <c r="HEK10"/>
      <c r="HEO10"/>
      <c r="HES10"/>
      <c r="HEW10"/>
      <c r="HFA10"/>
      <c r="HFE10"/>
      <c r="HFI10"/>
      <c r="HFM10"/>
      <c r="HFQ10"/>
      <c r="HFU10"/>
      <c r="HFY10"/>
      <c r="HGC10"/>
      <c r="HGG10"/>
      <c r="HGK10"/>
      <c r="HGO10"/>
      <c r="HGS10"/>
      <c r="HGW10"/>
      <c r="HHA10"/>
      <c r="HHE10"/>
      <c r="HHI10"/>
      <c r="HHM10"/>
      <c r="HHQ10"/>
      <c r="HHU10"/>
      <c r="HHY10"/>
      <c r="HIC10"/>
      <c r="HIG10"/>
      <c r="HIK10"/>
      <c r="HIO10"/>
      <c r="HIS10"/>
      <c r="HIW10"/>
      <c r="HJA10"/>
      <c r="HJE10"/>
      <c r="HJI10"/>
      <c r="HJM10"/>
      <c r="HJQ10"/>
      <c r="HJU10"/>
      <c r="HJY10"/>
      <c r="HKC10"/>
      <c r="HKG10"/>
      <c r="HKK10"/>
      <c r="HKO10"/>
      <c r="HKS10"/>
      <c r="HKW10"/>
      <c r="HLA10"/>
      <c r="HLE10"/>
      <c r="HLI10"/>
      <c r="HLM10"/>
      <c r="HLQ10"/>
      <c r="HLU10"/>
      <c r="HLY10"/>
      <c r="HMC10"/>
      <c r="HMG10"/>
      <c r="HMK10"/>
      <c r="HMO10"/>
      <c r="HMS10"/>
      <c r="HMW10"/>
      <c r="HNA10"/>
      <c r="HNE10"/>
      <c r="HNI10"/>
      <c r="HNM10"/>
      <c r="HNQ10"/>
      <c r="HNU10"/>
      <c r="HNY10"/>
      <c r="HOC10"/>
      <c r="HOG10"/>
      <c r="HOK10"/>
      <c r="HOO10"/>
      <c r="HOS10"/>
      <c r="HOW10"/>
      <c r="HPA10"/>
      <c r="HPE10"/>
      <c r="HPI10"/>
      <c r="HPM10"/>
      <c r="HPQ10"/>
      <c r="HPU10"/>
      <c r="HPY10"/>
      <c r="HQC10"/>
      <c r="HQG10"/>
      <c r="HQK10"/>
      <c r="HQO10"/>
      <c r="HQS10"/>
      <c r="HQW10"/>
      <c r="HRA10"/>
      <c r="HRE10"/>
      <c r="HRI10"/>
      <c r="HRM10"/>
      <c r="HRQ10"/>
      <c r="HRU10"/>
      <c r="HRY10"/>
      <c r="HSC10"/>
      <c r="HSG10"/>
      <c r="HSK10"/>
      <c r="HSO10"/>
      <c r="HSS10"/>
      <c r="HSW10"/>
      <c r="HTA10"/>
      <c r="HTE10"/>
      <c r="HTI10"/>
      <c r="HTM10"/>
      <c r="HTQ10"/>
      <c r="HTU10"/>
      <c r="HTY10"/>
      <c r="HUC10"/>
      <c r="HUG10"/>
      <c r="HUK10"/>
      <c r="HUO10"/>
      <c r="HUS10"/>
      <c r="HUW10"/>
      <c r="HVA10"/>
      <c r="HVE10"/>
      <c r="HVI10"/>
      <c r="HVM10"/>
      <c r="HVQ10"/>
      <c r="HVU10"/>
      <c r="HVY10"/>
      <c r="HWC10"/>
      <c r="HWG10"/>
      <c r="HWK10"/>
      <c r="HWO10"/>
      <c r="HWS10"/>
      <c r="HWW10"/>
      <c r="HXA10"/>
      <c r="HXE10"/>
      <c r="HXI10"/>
      <c r="HXM10"/>
      <c r="HXQ10"/>
      <c r="HXU10"/>
      <c r="HXY10"/>
      <c r="HYC10"/>
      <c r="HYG10"/>
      <c r="HYK10"/>
      <c r="HYO10"/>
      <c r="HYS10"/>
      <c r="HYW10"/>
      <c r="HZA10"/>
      <c r="HZE10"/>
      <c r="HZI10"/>
      <c r="HZM10"/>
      <c r="HZQ10"/>
      <c r="HZU10"/>
      <c r="HZY10"/>
      <c r="IAC10"/>
      <c r="IAG10"/>
      <c r="IAK10"/>
      <c r="IAO10"/>
      <c r="IAS10"/>
      <c r="IAW10"/>
      <c r="IBA10"/>
      <c r="IBE10"/>
      <c r="IBI10"/>
      <c r="IBM10"/>
      <c r="IBQ10"/>
      <c r="IBU10"/>
      <c r="IBY10"/>
      <c r="ICC10"/>
      <c r="ICG10"/>
      <c r="ICK10"/>
      <c r="ICO10"/>
      <c r="ICS10"/>
      <c r="ICW10"/>
      <c r="IDA10"/>
      <c r="IDE10"/>
      <c r="IDI10"/>
      <c r="IDM10"/>
      <c r="IDQ10"/>
      <c r="IDU10"/>
      <c r="IDY10"/>
      <c r="IEC10"/>
      <c r="IEG10"/>
      <c r="IEK10"/>
      <c r="IEO10"/>
      <c r="IES10"/>
      <c r="IEW10"/>
      <c r="IFA10"/>
      <c r="IFE10"/>
      <c r="IFI10"/>
      <c r="IFM10"/>
      <c r="IFQ10"/>
      <c r="IFU10"/>
      <c r="IFY10"/>
      <c r="IGC10"/>
      <c r="IGG10"/>
      <c r="IGK10"/>
      <c r="IGO10"/>
      <c r="IGS10"/>
      <c r="IGW10"/>
      <c r="IHA10"/>
      <c r="IHE10"/>
      <c r="IHI10"/>
      <c r="IHM10"/>
      <c r="IHQ10"/>
      <c r="IHU10"/>
      <c r="IHY10"/>
      <c r="IIC10"/>
      <c r="IIG10"/>
      <c r="IIK10"/>
      <c r="IIO10"/>
      <c r="IIS10"/>
      <c r="IIW10"/>
      <c r="IJA10"/>
      <c r="IJE10"/>
      <c r="IJI10"/>
      <c r="IJM10"/>
      <c r="IJQ10"/>
      <c r="IJU10"/>
      <c r="IJY10"/>
      <c r="IKC10"/>
      <c r="IKG10"/>
      <c r="IKK10"/>
      <c r="IKO10"/>
      <c r="IKS10"/>
      <c r="IKW10"/>
      <c r="ILA10"/>
      <c r="ILE10"/>
      <c r="ILI10"/>
      <c r="ILM10"/>
      <c r="ILQ10"/>
      <c r="ILU10"/>
      <c r="ILY10"/>
      <c r="IMC10"/>
      <c r="IMG10"/>
      <c r="IMK10"/>
      <c r="IMO10"/>
      <c r="IMS10"/>
      <c r="IMW10"/>
      <c r="INA10"/>
      <c r="INE10"/>
      <c r="INI10"/>
      <c r="INM10"/>
      <c r="INQ10"/>
      <c r="INU10"/>
      <c r="INY10"/>
      <c r="IOC10"/>
      <c r="IOG10"/>
      <c r="IOK10"/>
      <c r="IOO10"/>
      <c r="IOS10"/>
      <c r="IOW10"/>
      <c r="IPA10"/>
      <c r="IPE10"/>
      <c r="IPI10"/>
      <c r="IPM10"/>
      <c r="IPQ10"/>
      <c r="IPU10"/>
      <c r="IPY10"/>
      <c r="IQC10"/>
      <c r="IQG10"/>
      <c r="IQK10"/>
      <c r="IQO10"/>
      <c r="IQS10"/>
      <c r="IQW10"/>
      <c r="IRA10"/>
      <c r="IRE10"/>
      <c r="IRI10"/>
      <c r="IRM10"/>
      <c r="IRQ10"/>
      <c r="IRU10"/>
      <c r="IRY10"/>
      <c r="ISC10"/>
      <c r="ISG10"/>
      <c r="ISK10"/>
      <c r="ISO10"/>
      <c r="ISS10"/>
      <c r="ISW10"/>
      <c r="ITA10"/>
      <c r="ITE10"/>
      <c r="ITI10"/>
      <c r="ITM10"/>
      <c r="ITQ10"/>
      <c r="ITU10"/>
      <c r="ITY10"/>
      <c r="IUC10"/>
      <c r="IUG10"/>
      <c r="IUK10"/>
      <c r="IUO10"/>
      <c r="IUS10"/>
      <c r="IUW10"/>
      <c r="IVA10"/>
      <c r="IVE10"/>
      <c r="IVI10"/>
      <c r="IVM10"/>
      <c r="IVQ10"/>
      <c r="IVU10"/>
      <c r="IVY10"/>
      <c r="IWC10"/>
      <c r="IWG10"/>
      <c r="IWK10"/>
      <c r="IWO10"/>
      <c r="IWS10"/>
      <c r="IWW10"/>
      <c r="IXA10"/>
      <c r="IXE10"/>
      <c r="IXI10"/>
      <c r="IXM10"/>
      <c r="IXQ10"/>
      <c r="IXU10"/>
      <c r="IXY10"/>
      <c r="IYC10"/>
      <c r="IYG10"/>
      <c r="IYK10"/>
      <c r="IYO10"/>
      <c r="IYS10"/>
      <c r="IYW10"/>
      <c r="IZA10"/>
      <c r="IZE10"/>
      <c r="IZI10"/>
      <c r="IZM10"/>
      <c r="IZQ10"/>
      <c r="IZU10"/>
      <c r="IZY10"/>
      <c r="JAC10"/>
      <c r="JAG10"/>
      <c r="JAK10"/>
      <c r="JAO10"/>
      <c r="JAS10"/>
      <c r="JAW10"/>
      <c r="JBA10"/>
      <c r="JBE10"/>
      <c r="JBI10"/>
      <c r="JBM10"/>
      <c r="JBQ10"/>
      <c r="JBU10"/>
      <c r="JBY10"/>
      <c r="JCC10"/>
      <c r="JCG10"/>
      <c r="JCK10"/>
      <c r="JCO10"/>
      <c r="JCS10"/>
      <c r="JCW10"/>
      <c r="JDA10"/>
      <c r="JDE10"/>
      <c r="JDI10"/>
      <c r="JDM10"/>
      <c r="JDQ10"/>
      <c r="JDU10"/>
      <c r="JDY10"/>
      <c r="JEC10"/>
      <c r="JEG10"/>
      <c r="JEK10"/>
      <c r="JEO10"/>
      <c r="JES10"/>
      <c r="JEW10"/>
      <c r="JFA10"/>
      <c r="JFE10"/>
      <c r="JFI10"/>
      <c r="JFM10"/>
      <c r="JFQ10"/>
      <c r="JFU10"/>
      <c r="JFY10"/>
      <c r="JGC10"/>
      <c r="JGG10"/>
      <c r="JGK10"/>
      <c r="JGO10"/>
      <c r="JGS10"/>
      <c r="JGW10"/>
      <c r="JHA10"/>
      <c r="JHE10"/>
      <c r="JHI10"/>
      <c r="JHM10"/>
      <c r="JHQ10"/>
      <c r="JHU10"/>
      <c r="JHY10"/>
      <c r="JIC10"/>
      <c r="JIG10"/>
      <c r="JIK10"/>
      <c r="JIO10"/>
      <c r="JIS10"/>
      <c r="JIW10"/>
      <c r="JJA10"/>
      <c r="JJE10"/>
      <c r="JJI10"/>
      <c r="JJM10"/>
      <c r="JJQ10"/>
      <c r="JJU10"/>
      <c r="JJY10"/>
      <c r="JKC10"/>
      <c r="JKG10"/>
      <c r="JKK10"/>
      <c r="JKO10"/>
      <c r="JKS10"/>
      <c r="JKW10"/>
      <c r="JLA10"/>
      <c r="JLE10"/>
      <c r="JLI10"/>
      <c r="JLM10"/>
      <c r="JLQ10"/>
      <c r="JLU10"/>
      <c r="JLY10"/>
      <c r="JMC10"/>
      <c r="JMG10"/>
      <c r="JMK10"/>
      <c r="JMO10"/>
      <c r="JMS10"/>
      <c r="JMW10"/>
      <c r="JNA10"/>
      <c r="JNE10"/>
      <c r="JNI10"/>
      <c r="JNM10"/>
      <c r="JNQ10"/>
      <c r="JNU10"/>
      <c r="JNY10"/>
      <c r="JOC10"/>
      <c r="JOG10"/>
      <c r="JOK10"/>
      <c r="JOO10"/>
      <c r="JOS10"/>
      <c r="JOW10"/>
      <c r="JPA10"/>
      <c r="JPE10"/>
      <c r="JPI10"/>
      <c r="JPM10"/>
      <c r="JPQ10"/>
      <c r="JPU10"/>
      <c r="JPY10"/>
      <c r="JQC10"/>
      <c r="JQG10"/>
      <c r="JQK10"/>
      <c r="JQO10"/>
      <c r="JQS10"/>
      <c r="JQW10"/>
      <c r="JRA10"/>
      <c r="JRE10"/>
      <c r="JRI10"/>
      <c r="JRM10"/>
      <c r="JRQ10"/>
      <c r="JRU10"/>
      <c r="JRY10"/>
      <c r="JSC10"/>
      <c r="JSG10"/>
      <c r="JSK10"/>
      <c r="JSO10"/>
      <c r="JSS10"/>
      <c r="JSW10"/>
      <c r="JTA10"/>
      <c r="JTE10"/>
      <c r="JTI10"/>
      <c r="JTM10"/>
      <c r="JTQ10"/>
      <c r="JTU10"/>
      <c r="JTY10"/>
      <c r="JUC10"/>
      <c r="JUG10"/>
      <c r="JUK10"/>
      <c r="JUO10"/>
      <c r="JUS10"/>
      <c r="JUW10"/>
      <c r="JVA10"/>
      <c r="JVE10"/>
      <c r="JVI10"/>
      <c r="JVM10"/>
      <c r="JVQ10"/>
      <c r="JVU10"/>
      <c r="JVY10"/>
      <c r="JWC10"/>
      <c r="JWG10"/>
      <c r="JWK10"/>
      <c r="JWO10"/>
      <c r="JWS10"/>
      <c r="JWW10"/>
      <c r="JXA10"/>
      <c r="JXE10"/>
      <c r="JXI10"/>
      <c r="JXM10"/>
      <c r="JXQ10"/>
      <c r="JXU10"/>
      <c r="JXY10"/>
      <c r="JYC10"/>
      <c r="JYG10"/>
      <c r="JYK10"/>
      <c r="JYO10"/>
      <c r="JYS10"/>
      <c r="JYW10"/>
      <c r="JZA10"/>
      <c r="JZE10"/>
      <c r="JZI10"/>
      <c r="JZM10"/>
      <c r="JZQ10"/>
      <c r="JZU10"/>
      <c r="JZY10"/>
      <c r="KAC10"/>
      <c r="KAG10"/>
      <c r="KAK10"/>
      <c r="KAO10"/>
      <c r="KAS10"/>
      <c r="KAW10"/>
      <c r="KBA10"/>
      <c r="KBE10"/>
      <c r="KBI10"/>
      <c r="KBM10"/>
      <c r="KBQ10"/>
      <c r="KBU10"/>
      <c r="KBY10"/>
      <c r="KCC10"/>
      <c r="KCG10"/>
      <c r="KCK10"/>
      <c r="KCO10"/>
      <c r="KCS10"/>
      <c r="KCW10"/>
      <c r="KDA10"/>
      <c r="KDE10"/>
      <c r="KDI10"/>
      <c r="KDM10"/>
      <c r="KDQ10"/>
      <c r="KDU10"/>
      <c r="KDY10"/>
      <c r="KEC10"/>
      <c r="KEG10"/>
      <c r="KEK10"/>
      <c r="KEO10"/>
      <c r="KES10"/>
      <c r="KEW10"/>
      <c r="KFA10"/>
      <c r="KFE10"/>
      <c r="KFI10"/>
      <c r="KFM10"/>
      <c r="KFQ10"/>
      <c r="KFU10"/>
      <c r="KFY10"/>
      <c r="KGC10"/>
      <c r="KGG10"/>
      <c r="KGK10"/>
      <c r="KGO10"/>
      <c r="KGS10"/>
      <c r="KGW10"/>
      <c r="KHA10"/>
      <c r="KHE10"/>
      <c r="KHI10"/>
      <c r="KHM10"/>
      <c r="KHQ10"/>
      <c r="KHU10"/>
      <c r="KHY10"/>
      <c r="KIC10"/>
      <c r="KIG10"/>
      <c r="KIK10"/>
      <c r="KIO10"/>
      <c r="KIS10"/>
      <c r="KIW10"/>
      <c r="KJA10"/>
      <c r="KJE10"/>
      <c r="KJI10"/>
      <c r="KJM10"/>
      <c r="KJQ10"/>
      <c r="KJU10"/>
      <c r="KJY10"/>
      <c r="KKC10"/>
      <c r="KKG10"/>
      <c r="KKK10"/>
      <c r="KKO10"/>
      <c r="KKS10"/>
      <c r="KKW10"/>
      <c r="KLA10"/>
      <c r="KLE10"/>
      <c r="KLI10"/>
      <c r="KLM10"/>
      <c r="KLQ10"/>
      <c r="KLU10"/>
      <c r="KLY10"/>
      <c r="KMC10"/>
      <c r="KMG10"/>
      <c r="KMK10"/>
      <c r="KMO10"/>
      <c r="KMS10"/>
      <c r="KMW10"/>
      <c r="KNA10"/>
      <c r="KNE10"/>
      <c r="KNI10"/>
      <c r="KNM10"/>
      <c r="KNQ10"/>
      <c r="KNU10"/>
      <c r="KNY10"/>
      <c r="KOC10"/>
      <c r="KOG10"/>
      <c r="KOK10"/>
      <c r="KOO10"/>
      <c r="KOS10"/>
      <c r="KOW10"/>
      <c r="KPA10"/>
      <c r="KPE10"/>
      <c r="KPI10"/>
      <c r="KPM10"/>
      <c r="KPQ10"/>
      <c r="KPU10"/>
      <c r="KPY10"/>
      <c r="KQC10"/>
      <c r="KQG10"/>
      <c r="KQK10"/>
      <c r="KQO10"/>
      <c r="KQS10"/>
      <c r="KQW10"/>
      <c r="KRA10"/>
      <c r="KRE10"/>
      <c r="KRI10"/>
      <c r="KRM10"/>
      <c r="KRQ10"/>
      <c r="KRU10"/>
      <c r="KRY10"/>
      <c r="KSC10"/>
      <c r="KSG10"/>
      <c r="KSK10"/>
      <c r="KSO10"/>
      <c r="KSS10"/>
      <c r="KSW10"/>
      <c r="KTA10"/>
      <c r="KTE10"/>
      <c r="KTI10"/>
      <c r="KTM10"/>
      <c r="KTQ10"/>
      <c r="KTU10"/>
      <c r="KTY10"/>
      <c r="KUC10"/>
      <c r="KUG10"/>
      <c r="KUK10"/>
      <c r="KUO10"/>
      <c r="KUS10"/>
      <c r="KUW10"/>
      <c r="KVA10"/>
      <c r="KVE10"/>
      <c r="KVI10"/>
      <c r="KVM10"/>
      <c r="KVQ10"/>
      <c r="KVU10"/>
      <c r="KVY10"/>
      <c r="KWC10"/>
      <c r="KWG10"/>
      <c r="KWK10"/>
      <c r="KWO10"/>
      <c r="KWS10"/>
      <c r="KWW10"/>
      <c r="KXA10"/>
      <c r="KXE10"/>
      <c r="KXI10"/>
      <c r="KXM10"/>
      <c r="KXQ10"/>
      <c r="KXU10"/>
      <c r="KXY10"/>
      <c r="KYC10"/>
      <c r="KYG10"/>
      <c r="KYK10"/>
      <c r="KYO10"/>
      <c r="KYS10"/>
      <c r="KYW10"/>
      <c r="KZA10"/>
      <c r="KZE10"/>
      <c r="KZI10"/>
      <c r="KZM10"/>
      <c r="KZQ10"/>
      <c r="KZU10"/>
      <c r="KZY10"/>
      <c r="LAC10"/>
      <c r="LAG10"/>
      <c r="LAK10"/>
      <c r="LAO10"/>
      <c r="LAS10"/>
      <c r="LAW10"/>
      <c r="LBA10"/>
      <c r="LBE10"/>
      <c r="LBI10"/>
      <c r="LBM10"/>
      <c r="LBQ10"/>
      <c r="LBU10"/>
      <c r="LBY10"/>
      <c r="LCC10"/>
      <c r="LCG10"/>
      <c r="LCK10"/>
      <c r="LCO10"/>
      <c r="LCS10"/>
      <c r="LCW10"/>
      <c r="LDA10"/>
      <c r="LDE10"/>
      <c r="LDI10"/>
      <c r="LDM10"/>
      <c r="LDQ10"/>
      <c r="LDU10"/>
      <c r="LDY10"/>
      <c r="LEC10"/>
      <c r="LEG10"/>
      <c r="LEK10"/>
      <c r="LEO10"/>
      <c r="LES10"/>
      <c r="LEW10"/>
      <c r="LFA10"/>
      <c r="LFE10"/>
      <c r="LFI10"/>
      <c r="LFM10"/>
      <c r="LFQ10"/>
      <c r="LFU10"/>
      <c r="LFY10"/>
      <c r="LGC10"/>
      <c r="LGG10"/>
      <c r="LGK10"/>
      <c r="LGO10"/>
      <c r="LGS10"/>
      <c r="LGW10"/>
      <c r="LHA10"/>
      <c r="LHE10"/>
      <c r="LHI10"/>
      <c r="LHM10"/>
      <c r="LHQ10"/>
      <c r="LHU10"/>
      <c r="LHY10"/>
      <c r="LIC10"/>
      <c r="LIG10"/>
      <c r="LIK10"/>
      <c r="LIO10"/>
      <c r="LIS10"/>
      <c r="LIW10"/>
      <c r="LJA10"/>
      <c r="LJE10"/>
      <c r="LJI10"/>
      <c r="LJM10"/>
      <c r="LJQ10"/>
      <c r="LJU10"/>
      <c r="LJY10"/>
      <c r="LKC10"/>
      <c r="LKG10"/>
      <c r="LKK10"/>
      <c r="LKO10"/>
      <c r="LKS10"/>
      <c r="LKW10"/>
      <c r="LLA10"/>
      <c r="LLE10"/>
      <c r="LLI10"/>
      <c r="LLM10"/>
      <c r="LLQ10"/>
      <c r="LLU10"/>
      <c r="LLY10"/>
      <c r="LMC10"/>
      <c r="LMG10"/>
      <c r="LMK10"/>
      <c r="LMO10"/>
      <c r="LMS10"/>
      <c r="LMW10"/>
      <c r="LNA10"/>
      <c r="LNE10"/>
      <c r="LNI10"/>
      <c r="LNM10"/>
      <c r="LNQ10"/>
      <c r="LNU10"/>
      <c r="LNY10"/>
      <c r="LOC10"/>
      <c r="LOG10"/>
      <c r="LOK10"/>
      <c r="LOO10"/>
      <c r="LOS10"/>
      <c r="LOW10"/>
      <c r="LPA10"/>
      <c r="LPE10"/>
      <c r="LPI10"/>
      <c r="LPM10"/>
      <c r="LPQ10"/>
      <c r="LPU10"/>
      <c r="LPY10"/>
      <c r="LQC10"/>
      <c r="LQG10"/>
      <c r="LQK10"/>
      <c r="LQO10"/>
      <c r="LQS10"/>
      <c r="LQW10"/>
      <c r="LRA10"/>
      <c r="LRE10"/>
      <c r="LRI10"/>
      <c r="LRM10"/>
      <c r="LRQ10"/>
      <c r="LRU10"/>
      <c r="LRY10"/>
      <c r="LSC10"/>
      <c r="LSG10"/>
      <c r="LSK10"/>
      <c r="LSO10"/>
      <c r="LSS10"/>
      <c r="LSW10"/>
      <c r="LTA10"/>
      <c r="LTE10"/>
      <c r="LTI10"/>
      <c r="LTM10"/>
      <c r="LTQ10"/>
      <c r="LTU10"/>
      <c r="LTY10"/>
      <c r="LUC10"/>
      <c r="LUG10"/>
      <c r="LUK10"/>
      <c r="LUO10"/>
      <c r="LUS10"/>
      <c r="LUW10"/>
      <c r="LVA10"/>
      <c r="LVE10"/>
      <c r="LVI10"/>
      <c r="LVM10"/>
      <c r="LVQ10"/>
      <c r="LVU10"/>
      <c r="LVY10"/>
      <c r="LWC10"/>
      <c r="LWG10"/>
      <c r="LWK10"/>
      <c r="LWO10"/>
      <c r="LWS10"/>
      <c r="LWW10"/>
      <c r="LXA10"/>
      <c r="LXE10"/>
      <c r="LXI10"/>
      <c r="LXM10"/>
      <c r="LXQ10"/>
      <c r="LXU10"/>
      <c r="LXY10"/>
      <c r="LYC10"/>
      <c r="LYG10"/>
      <c r="LYK10"/>
      <c r="LYO10"/>
      <c r="LYS10"/>
      <c r="LYW10"/>
      <c r="LZA10"/>
      <c r="LZE10"/>
      <c r="LZI10"/>
      <c r="LZM10"/>
      <c r="LZQ10"/>
      <c r="LZU10"/>
      <c r="LZY10"/>
      <c r="MAC10"/>
      <c r="MAG10"/>
      <c r="MAK10"/>
      <c r="MAO10"/>
      <c r="MAS10"/>
      <c r="MAW10"/>
      <c r="MBA10"/>
      <c r="MBE10"/>
      <c r="MBI10"/>
      <c r="MBM10"/>
      <c r="MBQ10"/>
      <c r="MBU10"/>
      <c r="MBY10"/>
      <c r="MCC10"/>
      <c r="MCG10"/>
      <c r="MCK10"/>
      <c r="MCO10"/>
      <c r="MCS10"/>
      <c r="MCW10"/>
      <c r="MDA10"/>
      <c r="MDE10"/>
      <c r="MDI10"/>
      <c r="MDM10"/>
      <c r="MDQ10"/>
      <c r="MDU10"/>
      <c r="MDY10"/>
      <c r="MEC10"/>
      <c r="MEG10"/>
      <c r="MEK10"/>
      <c r="MEO10"/>
      <c r="MES10"/>
      <c r="MEW10"/>
      <c r="MFA10"/>
      <c r="MFE10"/>
      <c r="MFI10"/>
      <c r="MFM10"/>
      <c r="MFQ10"/>
      <c r="MFU10"/>
      <c r="MFY10"/>
      <c r="MGC10"/>
      <c r="MGG10"/>
      <c r="MGK10"/>
      <c r="MGO10"/>
      <c r="MGS10"/>
      <c r="MGW10"/>
      <c r="MHA10"/>
      <c r="MHE10"/>
      <c r="MHI10"/>
      <c r="MHM10"/>
      <c r="MHQ10"/>
      <c r="MHU10"/>
      <c r="MHY10"/>
      <c r="MIC10"/>
      <c r="MIG10"/>
      <c r="MIK10"/>
      <c r="MIO10"/>
      <c r="MIS10"/>
      <c r="MIW10"/>
      <c r="MJA10"/>
      <c r="MJE10"/>
      <c r="MJI10"/>
      <c r="MJM10"/>
      <c r="MJQ10"/>
      <c r="MJU10"/>
      <c r="MJY10"/>
      <c r="MKC10"/>
      <c r="MKG10"/>
      <c r="MKK10"/>
      <c r="MKO10"/>
      <c r="MKS10"/>
      <c r="MKW10"/>
      <c r="MLA10"/>
      <c r="MLE10"/>
      <c r="MLI10"/>
      <c r="MLM10"/>
      <c r="MLQ10"/>
      <c r="MLU10"/>
      <c r="MLY10"/>
      <c r="MMC10"/>
      <c r="MMG10"/>
      <c r="MMK10"/>
      <c r="MMO10"/>
      <c r="MMS10"/>
      <c r="MMW10"/>
      <c r="MNA10"/>
      <c r="MNE10"/>
      <c r="MNI10"/>
      <c r="MNM10"/>
      <c r="MNQ10"/>
      <c r="MNU10"/>
      <c r="MNY10"/>
      <c r="MOC10"/>
      <c r="MOG10"/>
      <c r="MOK10"/>
      <c r="MOO10"/>
      <c r="MOS10"/>
      <c r="MOW10"/>
      <c r="MPA10"/>
      <c r="MPE10"/>
      <c r="MPI10"/>
      <c r="MPM10"/>
      <c r="MPQ10"/>
      <c r="MPU10"/>
      <c r="MPY10"/>
      <c r="MQC10"/>
      <c r="MQG10"/>
      <c r="MQK10"/>
      <c r="MQO10"/>
      <c r="MQS10"/>
      <c r="MQW10"/>
      <c r="MRA10"/>
      <c r="MRE10"/>
      <c r="MRI10"/>
      <c r="MRM10"/>
      <c r="MRQ10"/>
      <c r="MRU10"/>
      <c r="MRY10"/>
      <c r="MSC10"/>
      <c r="MSG10"/>
      <c r="MSK10"/>
      <c r="MSO10"/>
      <c r="MSS10"/>
      <c r="MSW10"/>
      <c r="MTA10"/>
      <c r="MTE10"/>
      <c r="MTI10"/>
      <c r="MTM10"/>
      <c r="MTQ10"/>
      <c r="MTU10"/>
      <c r="MTY10"/>
      <c r="MUC10"/>
      <c r="MUG10"/>
      <c r="MUK10"/>
      <c r="MUO10"/>
      <c r="MUS10"/>
      <c r="MUW10"/>
      <c r="MVA10"/>
      <c r="MVE10"/>
      <c r="MVI10"/>
      <c r="MVM10"/>
      <c r="MVQ10"/>
      <c r="MVU10"/>
      <c r="MVY10"/>
      <c r="MWC10"/>
      <c r="MWG10"/>
      <c r="MWK10"/>
      <c r="MWO10"/>
      <c r="MWS10"/>
      <c r="MWW10"/>
      <c r="MXA10"/>
      <c r="MXE10"/>
      <c r="MXI10"/>
      <c r="MXM10"/>
      <c r="MXQ10"/>
      <c r="MXU10"/>
      <c r="MXY10"/>
      <c r="MYC10"/>
      <c r="MYG10"/>
      <c r="MYK10"/>
      <c r="MYO10"/>
      <c r="MYS10"/>
      <c r="MYW10"/>
      <c r="MZA10"/>
      <c r="MZE10"/>
      <c r="MZI10"/>
      <c r="MZM10"/>
      <c r="MZQ10"/>
      <c r="MZU10"/>
      <c r="MZY10"/>
      <c r="NAC10"/>
      <c r="NAG10"/>
      <c r="NAK10"/>
      <c r="NAO10"/>
      <c r="NAS10"/>
      <c r="NAW10"/>
      <c r="NBA10"/>
      <c r="NBE10"/>
      <c r="NBI10"/>
      <c r="NBM10"/>
      <c r="NBQ10"/>
      <c r="NBU10"/>
      <c r="NBY10"/>
      <c r="NCC10"/>
      <c r="NCG10"/>
      <c r="NCK10"/>
      <c r="NCO10"/>
      <c r="NCS10"/>
      <c r="NCW10"/>
      <c r="NDA10"/>
      <c r="NDE10"/>
      <c r="NDI10"/>
      <c r="NDM10"/>
      <c r="NDQ10"/>
      <c r="NDU10"/>
      <c r="NDY10"/>
      <c r="NEC10"/>
      <c r="NEG10"/>
      <c r="NEK10"/>
      <c r="NEO10"/>
      <c r="NES10"/>
      <c r="NEW10"/>
      <c r="NFA10"/>
      <c r="NFE10"/>
      <c r="NFI10"/>
      <c r="NFM10"/>
      <c r="NFQ10"/>
      <c r="NFU10"/>
      <c r="NFY10"/>
      <c r="NGC10"/>
      <c r="NGG10"/>
      <c r="NGK10"/>
      <c r="NGO10"/>
      <c r="NGS10"/>
      <c r="NGW10"/>
      <c r="NHA10"/>
      <c r="NHE10"/>
      <c r="NHI10"/>
      <c r="NHM10"/>
      <c r="NHQ10"/>
      <c r="NHU10"/>
      <c r="NHY10"/>
      <c r="NIC10"/>
      <c r="NIG10"/>
      <c r="NIK10"/>
      <c r="NIO10"/>
      <c r="NIS10"/>
      <c r="NIW10"/>
      <c r="NJA10"/>
      <c r="NJE10"/>
      <c r="NJI10"/>
      <c r="NJM10"/>
      <c r="NJQ10"/>
      <c r="NJU10"/>
      <c r="NJY10"/>
      <c r="NKC10"/>
      <c r="NKG10"/>
      <c r="NKK10"/>
      <c r="NKO10"/>
      <c r="NKS10"/>
      <c r="NKW10"/>
      <c r="NLA10"/>
      <c r="NLE10"/>
      <c r="NLI10"/>
      <c r="NLM10"/>
      <c r="NLQ10"/>
      <c r="NLU10"/>
      <c r="NLY10"/>
      <c r="NMC10"/>
      <c r="NMG10"/>
      <c r="NMK10"/>
      <c r="NMO10"/>
      <c r="NMS10"/>
      <c r="NMW10"/>
      <c r="NNA10"/>
      <c r="NNE10"/>
      <c r="NNI10"/>
      <c r="NNM10"/>
      <c r="NNQ10"/>
      <c r="NNU10"/>
      <c r="NNY10"/>
      <c r="NOC10"/>
      <c r="NOG10"/>
      <c r="NOK10"/>
      <c r="NOO10"/>
      <c r="NOS10"/>
      <c r="NOW10"/>
      <c r="NPA10"/>
      <c r="NPE10"/>
      <c r="NPI10"/>
      <c r="NPM10"/>
      <c r="NPQ10"/>
      <c r="NPU10"/>
      <c r="NPY10"/>
      <c r="NQC10"/>
      <c r="NQG10"/>
      <c r="NQK10"/>
      <c r="NQO10"/>
      <c r="NQS10"/>
      <c r="NQW10"/>
      <c r="NRA10"/>
      <c r="NRE10"/>
      <c r="NRI10"/>
      <c r="NRM10"/>
      <c r="NRQ10"/>
      <c r="NRU10"/>
      <c r="NRY10"/>
      <c r="NSC10"/>
      <c r="NSG10"/>
      <c r="NSK10"/>
      <c r="NSO10"/>
      <c r="NSS10"/>
      <c r="NSW10"/>
      <c r="NTA10"/>
      <c r="NTE10"/>
      <c r="NTI10"/>
      <c r="NTM10"/>
      <c r="NTQ10"/>
      <c r="NTU10"/>
      <c r="NTY10"/>
      <c r="NUC10"/>
      <c r="NUG10"/>
      <c r="NUK10"/>
      <c r="NUO10"/>
      <c r="NUS10"/>
      <c r="NUW10"/>
      <c r="NVA10"/>
      <c r="NVE10"/>
      <c r="NVI10"/>
      <c r="NVM10"/>
      <c r="NVQ10"/>
      <c r="NVU10"/>
      <c r="NVY10"/>
      <c r="NWC10"/>
      <c r="NWG10"/>
      <c r="NWK10"/>
      <c r="NWO10"/>
      <c r="NWS10"/>
      <c r="NWW10"/>
      <c r="NXA10"/>
      <c r="NXE10"/>
      <c r="NXI10"/>
      <c r="NXM10"/>
      <c r="NXQ10"/>
      <c r="NXU10"/>
      <c r="NXY10"/>
      <c r="NYC10"/>
      <c r="NYG10"/>
      <c r="NYK10"/>
      <c r="NYO10"/>
      <c r="NYS10"/>
      <c r="NYW10"/>
      <c r="NZA10"/>
      <c r="NZE10"/>
      <c r="NZI10"/>
      <c r="NZM10"/>
      <c r="NZQ10"/>
      <c r="NZU10"/>
      <c r="NZY10"/>
      <c r="OAC10"/>
      <c r="OAG10"/>
      <c r="OAK10"/>
      <c r="OAO10"/>
      <c r="OAS10"/>
      <c r="OAW10"/>
      <c r="OBA10"/>
      <c r="OBE10"/>
      <c r="OBI10"/>
      <c r="OBM10"/>
      <c r="OBQ10"/>
      <c r="OBU10"/>
      <c r="OBY10"/>
      <c r="OCC10"/>
      <c r="OCG10"/>
      <c r="OCK10"/>
      <c r="OCO10"/>
      <c r="OCS10"/>
      <c r="OCW10"/>
      <c r="ODA10"/>
      <c r="ODE10"/>
      <c r="ODI10"/>
      <c r="ODM10"/>
      <c r="ODQ10"/>
      <c r="ODU10"/>
      <c r="ODY10"/>
      <c r="OEC10"/>
      <c r="OEG10"/>
      <c r="OEK10"/>
      <c r="OEO10"/>
      <c r="OES10"/>
      <c r="OEW10"/>
      <c r="OFA10"/>
      <c r="OFE10"/>
      <c r="OFI10"/>
      <c r="OFM10"/>
      <c r="OFQ10"/>
      <c r="OFU10"/>
      <c r="OFY10"/>
      <c r="OGC10"/>
      <c r="OGG10"/>
      <c r="OGK10"/>
      <c r="OGO10"/>
      <c r="OGS10"/>
      <c r="OGW10"/>
      <c r="OHA10"/>
      <c r="OHE10"/>
      <c r="OHI10"/>
      <c r="OHM10"/>
      <c r="OHQ10"/>
      <c r="OHU10"/>
      <c r="OHY10"/>
      <c r="OIC10"/>
      <c r="OIG10"/>
      <c r="OIK10"/>
      <c r="OIO10"/>
      <c r="OIS10"/>
      <c r="OIW10"/>
      <c r="OJA10"/>
      <c r="OJE10"/>
      <c r="OJI10"/>
      <c r="OJM10"/>
      <c r="OJQ10"/>
      <c r="OJU10"/>
      <c r="OJY10"/>
      <c r="OKC10"/>
      <c r="OKG10"/>
      <c r="OKK10"/>
      <c r="OKO10"/>
      <c r="OKS10"/>
      <c r="OKW10"/>
      <c r="OLA10"/>
      <c r="OLE10"/>
      <c r="OLI10"/>
      <c r="OLM10"/>
      <c r="OLQ10"/>
      <c r="OLU10"/>
      <c r="OLY10"/>
      <c r="OMC10"/>
      <c r="OMG10"/>
      <c r="OMK10"/>
      <c r="OMO10"/>
      <c r="OMS10"/>
      <c r="OMW10"/>
      <c r="ONA10"/>
      <c r="ONE10"/>
      <c r="ONI10"/>
      <c r="ONM10"/>
      <c r="ONQ10"/>
      <c r="ONU10"/>
      <c r="ONY10"/>
      <c r="OOC10"/>
      <c r="OOG10"/>
      <c r="OOK10"/>
      <c r="OOO10"/>
      <c r="OOS10"/>
      <c r="OOW10"/>
      <c r="OPA10"/>
      <c r="OPE10"/>
      <c r="OPI10"/>
      <c r="OPM10"/>
      <c r="OPQ10"/>
      <c r="OPU10"/>
      <c r="OPY10"/>
      <c r="OQC10"/>
      <c r="OQG10"/>
      <c r="OQK10"/>
      <c r="OQO10"/>
      <c r="OQS10"/>
      <c r="OQW10"/>
      <c r="ORA10"/>
      <c r="ORE10"/>
      <c r="ORI10"/>
      <c r="ORM10"/>
      <c r="ORQ10"/>
      <c r="ORU10"/>
      <c r="ORY10"/>
      <c r="OSC10"/>
      <c r="OSG10"/>
      <c r="OSK10"/>
      <c r="OSO10"/>
      <c r="OSS10"/>
      <c r="OSW10"/>
      <c r="OTA10"/>
      <c r="OTE10"/>
      <c r="OTI10"/>
      <c r="OTM10"/>
      <c r="OTQ10"/>
      <c r="OTU10"/>
      <c r="OTY10"/>
      <c r="OUC10"/>
      <c r="OUG10"/>
      <c r="OUK10"/>
      <c r="OUO10"/>
      <c r="OUS10"/>
      <c r="OUW10"/>
      <c r="OVA10"/>
      <c r="OVE10"/>
      <c r="OVI10"/>
      <c r="OVM10"/>
      <c r="OVQ10"/>
      <c r="OVU10"/>
      <c r="OVY10"/>
      <c r="OWC10"/>
      <c r="OWG10"/>
      <c r="OWK10"/>
      <c r="OWO10"/>
      <c r="OWS10"/>
      <c r="OWW10"/>
      <c r="OXA10"/>
      <c r="OXE10"/>
      <c r="OXI10"/>
      <c r="OXM10"/>
      <c r="OXQ10"/>
      <c r="OXU10"/>
      <c r="OXY10"/>
      <c r="OYC10"/>
      <c r="OYG10"/>
      <c r="OYK10"/>
      <c r="OYO10"/>
      <c r="OYS10"/>
      <c r="OYW10"/>
      <c r="OZA10"/>
      <c r="OZE10"/>
      <c r="OZI10"/>
      <c r="OZM10"/>
      <c r="OZQ10"/>
      <c r="OZU10"/>
      <c r="OZY10"/>
      <c r="PAC10"/>
      <c r="PAG10"/>
      <c r="PAK10"/>
      <c r="PAO10"/>
      <c r="PAS10"/>
      <c r="PAW10"/>
      <c r="PBA10"/>
      <c r="PBE10"/>
      <c r="PBI10"/>
      <c r="PBM10"/>
      <c r="PBQ10"/>
      <c r="PBU10"/>
      <c r="PBY10"/>
      <c r="PCC10"/>
      <c r="PCG10"/>
      <c r="PCK10"/>
      <c r="PCO10"/>
      <c r="PCS10"/>
      <c r="PCW10"/>
      <c r="PDA10"/>
      <c r="PDE10"/>
      <c r="PDI10"/>
      <c r="PDM10"/>
      <c r="PDQ10"/>
      <c r="PDU10"/>
      <c r="PDY10"/>
      <c r="PEC10"/>
      <c r="PEG10"/>
      <c r="PEK10"/>
      <c r="PEO10"/>
      <c r="PES10"/>
      <c r="PEW10"/>
      <c r="PFA10"/>
      <c r="PFE10"/>
      <c r="PFI10"/>
      <c r="PFM10"/>
      <c r="PFQ10"/>
      <c r="PFU10"/>
      <c r="PFY10"/>
      <c r="PGC10"/>
      <c r="PGG10"/>
      <c r="PGK10"/>
      <c r="PGO10"/>
      <c r="PGS10"/>
      <c r="PGW10"/>
      <c r="PHA10"/>
      <c r="PHE10"/>
      <c r="PHI10"/>
      <c r="PHM10"/>
      <c r="PHQ10"/>
      <c r="PHU10"/>
      <c r="PHY10"/>
      <c r="PIC10"/>
      <c r="PIG10"/>
      <c r="PIK10"/>
      <c r="PIO10"/>
      <c r="PIS10"/>
      <c r="PIW10"/>
      <c r="PJA10"/>
      <c r="PJE10"/>
      <c r="PJI10"/>
      <c r="PJM10"/>
      <c r="PJQ10"/>
      <c r="PJU10"/>
      <c r="PJY10"/>
      <c r="PKC10"/>
      <c r="PKG10"/>
      <c r="PKK10"/>
      <c r="PKO10"/>
      <c r="PKS10"/>
      <c r="PKW10"/>
      <c r="PLA10"/>
      <c r="PLE10"/>
      <c r="PLI10"/>
      <c r="PLM10"/>
      <c r="PLQ10"/>
      <c r="PLU10"/>
      <c r="PLY10"/>
      <c r="PMC10"/>
      <c r="PMG10"/>
      <c r="PMK10"/>
      <c r="PMO10"/>
      <c r="PMS10"/>
      <c r="PMW10"/>
      <c r="PNA10"/>
      <c r="PNE10"/>
      <c r="PNI10"/>
      <c r="PNM10"/>
      <c r="PNQ10"/>
      <c r="PNU10"/>
      <c r="PNY10"/>
      <c r="POC10"/>
      <c r="POG10"/>
      <c r="POK10"/>
      <c r="POO10"/>
      <c r="POS10"/>
      <c r="POW10"/>
      <c r="PPA10"/>
      <c r="PPE10"/>
      <c r="PPI10"/>
      <c r="PPM10"/>
      <c r="PPQ10"/>
      <c r="PPU10"/>
      <c r="PPY10"/>
      <c r="PQC10"/>
      <c r="PQG10"/>
      <c r="PQK10"/>
      <c r="PQO10"/>
      <c r="PQS10"/>
      <c r="PQW10"/>
      <c r="PRA10"/>
      <c r="PRE10"/>
      <c r="PRI10"/>
      <c r="PRM10"/>
      <c r="PRQ10"/>
      <c r="PRU10"/>
      <c r="PRY10"/>
      <c r="PSC10"/>
      <c r="PSG10"/>
      <c r="PSK10"/>
      <c r="PSO10"/>
      <c r="PSS10"/>
      <c r="PSW10"/>
      <c r="PTA10"/>
      <c r="PTE10"/>
      <c r="PTI10"/>
      <c r="PTM10"/>
      <c r="PTQ10"/>
      <c r="PTU10"/>
      <c r="PTY10"/>
      <c r="PUC10"/>
      <c r="PUG10"/>
      <c r="PUK10"/>
      <c r="PUO10"/>
      <c r="PUS10"/>
      <c r="PUW10"/>
      <c r="PVA10"/>
      <c r="PVE10"/>
      <c r="PVI10"/>
      <c r="PVM10"/>
      <c r="PVQ10"/>
      <c r="PVU10"/>
      <c r="PVY10"/>
      <c r="PWC10"/>
      <c r="PWG10"/>
      <c r="PWK10"/>
      <c r="PWO10"/>
      <c r="PWS10"/>
      <c r="PWW10"/>
      <c r="PXA10"/>
      <c r="PXE10"/>
      <c r="PXI10"/>
      <c r="PXM10"/>
      <c r="PXQ10"/>
      <c r="PXU10"/>
      <c r="PXY10"/>
      <c r="PYC10"/>
      <c r="PYG10"/>
      <c r="PYK10"/>
      <c r="PYO10"/>
      <c r="PYS10"/>
      <c r="PYW10"/>
      <c r="PZA10"/>
      <c r="PZE10"/>
      <c r="PZI10"/>
      <c r="PZM10"/>
      <c r="PZQ10"/>
      <c r="PZU10"/>
      <c r="PZY10"/>
      <c r="QAC10"/>
      <c r="QAG10"/>
      <c r="QAK10"/>
      <c r="QAO10"/>
      <c r="QAS10"/>
      <c r="QAW10"/>
      <c r="QBA10"/>
      <c r="QBE10"/>
      <c r="QBI10"/>
      <c r="QBM10"/>
      <c r="QBQ10"/>
      <c r="QBU10"/>
      <c r="QBY10"/>
      <c r="QCC10"/>
      <c r="QCG10"/>
      <c r="QCK10"/>
      <c r="QCO10"/>
      <c r="QCS10"/>
      <c r="QCW10"/>
      <c r="QDA10"/>
      <c r="QDE10"/>
      <c r="QDI10"/>
      <c r="QDM10"/>
      <c r="QDQ10"/>
      <c r="QDU10"/>
      <c r="QDY10"/>
      <c r="QEC10"/>
      <c r="QEG10"/>
      <c r="QEK10"/>
      <c r="QEO10"/>
      <c r="QES10"/>
      <c r="QEW10"/>
      <c r="QFA10"/>
      <c r="QFE10"/>
      <c r="QFI10"/>
      <c r="QFM10"/>
      <c r="QFQ10"/>
      <c r="QFU10"/>
      <c r="QFY10"/>
      <c r="QGC10"/>
      <c r="QGG10"/>
      <c r="QGK10"/>
      <c r="QGO10"/>
      <c r="QGS10"/>
      <c r="QGW10"/>
      <c r="QHA10"/>
      <c r="QHE10"/>
      <c r="QHI10"/>
      <c r="QHM10"/>
      <c r="QHQ10"/>
      <c r="QHU10"/>
      <c r="QHY10"/>
      <c r="QIC10"/>
      <c r="QIG10"/>
      <c r="QIK10"/>
      <c r="QIO10"/>
      <c r="QIS10"/>
      <c r="QIW10"/>
      <c r="QJA10"/>
      <c r="QJE10"/>
      <c r="QJI10"/>
      <c r="QJM10"/>
      <c r="QJQ10"/>
      <c r="QJU10"/>
      <c r="QJY10"/>
      <c r="QKC10"/>
      <c r="QKG10"/>
      <c r="QKK10"/>
      <c r="QKO10"/>
      <c r="QKS10"/>
      <c r="QKW10"/>
      <c r="QLA10"/>
      <c r="QLE10"/>
      <c r="QLI10"/>
      <c r="QLM10"/>
      <c r="QLQ10"/>
      <c r="QLU10"/>
      <c r="QLY10"/>
      <c r="QMC10"/>
      <c r="QMG10"/>
      <c r="QMK10"/>
      <c r="QMO10"/>
      <c r="QMS10"/>
      <c r="QMW10"/>
      <c r="QNA10"/>
      <c r="QNE10"/>
      <c r="QNI10"/>
      <c r="QNM10"/>
      <c r="QNQ10"/>
      <c r="QNU10"/>
      <c r="QNY10"/>
      <c r="QOC10"/>
      <c r="QOG10"/>
      <c r="QOK10"/>
      <c r="QOO10"/>
      <c r="QOS10"/>
      <c r="QOW10"/>
      <c r="QPA10"/>
      <c r="QPE10"/>
      <c r="QPI10"/>
      <c r="QPM10"/>
      <c r="QPQ10"/>
      <c r="QPU10"/>
      <c r="QPY10"/>
      <c r="QQC10"/>
      <c r="QQG10"/>
      <c r="QQK10"/>
      <c r="QQO10"/>
      <c r="QQS10"/>
      <c r="QQW10"/>
      <c r="QRA10"/>
      <c r="QRE10"/>
      <c r="QRI10"/>
      <c r="QRM10"/>
      <c r="QRQ10"/>
      <c r="QRU10"/>
      <c r="QRY10"/>
      <c r="QSC10"/>
      <c r="QSG10"/>
      <c r="QSK10"/>
      <c r="QSO10"/>
      <c r="QSS10"/>
      <c r="QSW10"/>
      <c r="QTA10"/>
      <c r="QTE10"/>
      <c r="QTI10"/>
      <c r="QTM10"/>
      <c r="QTQ10"/>
      <c r="QTU10"/>
      <c r="QTY10"/>
      <c r="QUC10"/>
      <c r="QUG10"/>
      <c r="QUK10"/>
      <c r="QUO10"/>
      <c r="QUS10"/>
      <c r="QUW10"/>
      <c r="QVA10"/>
      <c r="QVE10"/>
      <c r="QVI10"/>
      <c r="QVM10"/>
      <c r="QVQ10"/>
      <c r="QVU10"/>
      <c r="QVY10"/>
      <c r="QWC10"/>
      <c r="QWG10"/>
      <c r="QWK10"/>
      <c r="QWO10"/>
      <c r="QWS10"/>
      <c r="QWW10"/>
      <c r="QXA10"/>
      <c r="QXE10"/>
      <c r="QXI10"/>
      <c r="QXM10"/>
      <c r="QXQ10"/>
      <c r="QXU10"/>
      <c r="QXY10"/>
      <c r="QYC10"/>
      <c r="QYG10"/>
      <c r="QYK10"/>
      <c r="QYO10"/>
      <c r="QYS10"/>
      <c r="QYW10"/>
      <c r="QZA10"/>
      <c r="QZE10"/>
      <c r="QZI10"/>
      <c r="QZM10"/>
      <c r="QZQ10"/>
      <c r="QZU10"/>
      <c r="QZY10"/>
      <c r="RAC10"/>
      <c r="RAG10"/>
      <c r="RAK10"/>
      <c r="RAO10"/>
      <c r="RAS10"/>
      <c r="RAW10"/>
      <c r="RBA10"/>
      <c r="RBE10"/>
      <c r="RBI10"/>
      <c r="RBM10"/>
      <c r="RBQ10"/>
      <c r="RBU10"/>
      <c r="RBY10"/>
      <c r="RCC10"/>
      <c r="RCG10"/>
      <c r="RCK10"/>
      <c r="RCO10"/>
      <c r="RCS10"/>
      <c r="RCW10"/>
      <c r="RDA10"/>
      <c r="RDE10"/>
      <c r="RDI10"/>
      <c r="RDM10"/>
      <c r="RDQ10"/>
      <c r="RDU10"/>
      <c r="RDY10"/>
      <c r="REC10"/>
      <c r="REG10"/>
      <c r="REK10"/>
      <c r="REO10"/>
      <c r="RES10"/>
      <c r="REW10"/>
      <c r="RFA10"/>
      <c r="RFE10"/>
      <c r="RFI10"/>
      <c r="RFM10"/>
      <c r="RFQ10"/>
      <c r="RFU10"/>
      <c r="RFY10"/>
      <c r="RGC10"/>
      <c r="RGG10"/>
      <c r="RGK10"/>
      <c r="RGO10"/>
      <c r="RGS10"/>
      <c r="RGW10"/>
      <c r="RHA10"/>
      <c r="RHE10"/>
      <c r="RHI10"/>
      <c r="RHM10"/>
      <c r="RHQ10"/>
      <c r="RHU10"/>
      <c r="RHY10"/>
      <c r="RIC10"/>
      <c r="RIG10"/>
      <c r="RIK10"/>
      <c r="RIO10"/>
      <c r="RIS10"/>
      <c r="RIW10"/>
      <c r="RJA10"/>
      <c r="RJE10"/>
      <c r="RJI10"/>
      <c r="RJM10"/>
      <c r="RJQ10"/>
      <c r="RJU10"/>
      <c r="RJY10"/>
      <c r="RKC10"/>
      <c r="RKG10"/>
      <c r="RKK10"/>
      <c r="RKO10"/>
      <c r="RKS10"/>
      <c r="RKW10"/>
      <c r="RLA10"/>
      <c r="RLE10"/>
      <c r="RLI10"/>
      <c r="RLM10"/>
      <c r="RLQ10"/>
      <c r="RLU10"/>
      <c r="RLY10"/>
      <c r="RMC10"/>
      <c r="RMG10"/>
      <c r="RMK10"/>
      <c r="RMO10"/>
      <c r="RMS10"/>
      <c r="RMW10"/>
      <c r="RNA10"/>
      <c r="RNE10"/>
      <c r="RNI10"/>
      <c r="RNM10"/>
      <c r="RNQ10"/>
      <c r="RNU10"/>
      <c r="RNY10"/>
      <c r="ROC10"/>
      <c r="ROG10"/>
      <c r="ROK10"/>
      <c r="ROO10"/>
      <c r="ROS10"/>
      <c r="ROW10"/>
      <c r="RPA10"/>
      <c r="RPE10"/>
      <c r="RPI10"/>
      <c r="RPM10"/>
      <c r="RPQ10"/>
      <c r="RPU10"/>
      <c r="RPY10"/>
      <c r="RQC10"/>
      <c r="RQG10"/>
      <c r="RQK10"/>
      <c r="RQO10"/>
      <c r="RQS10"/>
      <c r="RQW10"/>
      <c r="RRA10"/>
      <c r="RRE10"/>
      <c r="RRI10"/>
      <c r="RRM10"/>
      <c r="RRQ10"/>
      <c r="RRU10"/>
      <c r="RRY10"/>
      <c r="RSC10"/>
      <c r="RSG10"/>
      <c r="RSK10"/>
      <c r="RSO10"/>
      <c r="RSS10"/>
      <c r="RSW10"/>
      <c r="RTA10"/>
      <c r="RTE10"/>
      <c r="RTI10"/>
      <c r="RTM10"/>
      <c r="RTQ10"/>
      <c r="RTU10"/>
      <c r="RTY10"/>
      <c r="RUC10"/>
      <c r="RUG10"/>
      <c r="RUK10"/>
      <c r="RUO10"/>
      <c r="RUS10"/>
      <c r="RUW10"/>
      <c r="RVA10"/>
      <c r="RVE10"/>
      <c r="RVI10"/>
      <c r="RVM10"/>
      <c r="RVQ10"/>
      <c r="RVU10"/>
      <c r="RVY10"/>
      <c r="RWC10"/>
      <c r="RWG10"/>
      <c r="RWK10"/>
      <c r="RWO10"/>
      <c r="RWS10"/>
      <c r="RWW10"/>
      <c r="RXA10"/>
      <c r="RXE10"/>
      <c r="RXI10"/>
      <c r="RXM10"/>
      <c r="RXQ10"/>
      <c r="RXU10"/>
      <c r="RXY10"/>
      <c r="RYC10"/>
      <c r="RYG10"/>
      <c r="RYK10"/>
      <c r="RYO10"/>
      <c r="RYS10"/>
      <c r="RYW10"/>
      <c r="RZA10"/>
      <c r="RZE10"/>
      <c r="RZI10"/>
      <c r="RZM10"/>
      <c r="RZQ10"/>
      <c r="RZU10"/>
      <c r="RZY10"/>
      <c r="SAC10"/>
      <c r="SAG10"/>
      <c r="SAK10"/>
      <c r="SAO10"/>
      <c r="SAS10"/>
      <c r="SAW10"/>
      <c r="SBA10"/>
      <c r="SBE10"/>
      <c r="SBI10"/>
      <c r="SBM10"/>
      <c r="SBQ10"/>
      <c r="SBU10"/>
      <c r="SBY10"/>
      <c r="SCC10"/>
      <c r="SCG10"/>
      <c r="SCK10"/>
      <c r="SCO10"/>
      <c r="SCS10"/>
      <c r="SCW10"/>
      <c r="SDA10"/>
      <c r="SDE10"/>
      <c r="SDI10"/>
      <c r="SDM10"/>
      <c r="SDQ10"/>
      <c r="SDU10"/>
      <c r="SDY10"/>
      <c r="SEC10"/>
      <c r="SEG10"/>
      <c r="SEK10"/>
      <c r="SEO10"/>
      <c r="SES10"/>
      <c r="SEW10"/>
      <c r="SFA10"/>
      <c r="SFE10"/>
      <c r="SFI10"/>
      <c r="SFM10"/>
      <c r="SFQ10"/>
      <c r="SFU10"/>
      <c r="SFY10"/>
      <c r="SGC10"/>
      <c r="SGG10"/>
      <c r="SGK10"/>
      <c r="SGO10"/>
      <c r="SGS10"/>
      <c r="SGW10"/>
      <c r="SHA10"/>
      <c r="SHE10"/>
      <c r="SHI10"/>
      <c r="SHM10"/>
      <c r="SHQ10"/>
      <c r="SHU10"/>
      <c r="SHY10"/>
      <c r="SIC10"/>
      <c r="SIG10"/>
      <c r="SIK10"/>
      <c r="SIO10"/>
      <c r="SIS10"/>
      <c r="SIW10"/>
      <c r="SJA10"/>
      <c r="SJE10"/>
      <c r="SJI10"/>
      <c r="SJM10"/>
      <c r="SJQ10"/>
      <c r="SJU10"/>
      <c r="SJY10"/>
      <c r="SKC10"/>
      <c r="SKG10"/>
      <c r="SKK10"/>
      <c r="SKO10"/>
      <c r="SKS10"/>
      <c r="SKW10"/>
      <c r="SLA10"/>
      <c r="SLE10"/>
      <c r="SLI10"/>
      <c r="SLM10"/>
      <c r="SLQ10"/>
      <c r="SLU10"/>
      <c r="SLY10"/>
      <c r="SMC10"/>
      <c r="SMG10"/>
      <c r="SMK10"/>
      <c r="SMO10"/>
      <c r="SMS10"/>
      <c r="SMW10"/>
      <c r="SNA10"/>
      <c r="SNE10"/>
      <c r="SNI10"/>
      <c r="SNM10"/>
      <c r="SNQ10"/>
      <c r="SNU10"/>
      <c r="SNY10"/>
      <c r="SOC10"/>
      <c r="SOG10"/>
      <c r="SOK10"/>
      <c r="SOO10"/>
      <c r="SOS10"/>
      <c r="SOW10"/>
      <c r="SPA10"/>
      <c r="SPE10"/>
      <c r="SPI10"/>
      <c r="SPM10"/>
      <c r="SPQ10"/>
      <c r="SPU10"/>
      <c r="SPY10"/>
      <c r="SQC10"/>
      <c r="SQG10"/>
      <c r="SQK10"/>
      <c r="SQO10"/>
      <c r="SQS10"/>
      <c r="SQW10"/>
      <c r="SRA10"/>
      <c r="SRE10"/>
      <c r="SRI10"/>
      <c r="SRM10"/>
      <c r="SRQ10"/>
      <c r="SRU10"/>
      <c r="SRY10"/>
      <c r="SSC10"/>
      <c r="SSG10"/>
      <c r="SSK10"/>
      <c r="SSO10"/>
      <c r="SSS10"/>
      <c r="SSW10"/>
      <c r="STA10"/>
      <c r="STE10"/>
      <c r="STI10"/>
      <c r="STM10"/>
      <c r="STQ10"/>
      <c r="STU10"/>
      <c r="STY10"/>
      <c r="SUC10"/>
      <c r="SUG10"/>
      <c r="SUK10"/>
      <c r="SUO10"/>
      <c r="SUS10"/>
      <c r="SUW10"/>
      <c r="SVA10"/>
      <c r="SVE10"/>
      <c r="SVI10"/>
      <c r="SVM10"/>
      <c r="SVQ10"/>
      <c r="SVU10"/>
      <c r="SVY10"/>
      <c r="SWC10"/>
      <c r="SWG10"/>
      <c r="SWK10"/>
      <c r="SWO10"/>
      <c r="SWS10"/>
      <c r="SWW10"/>
      <c r="SXA10"/>
      <c r="SXE10"/>
      <c r="SXI10"/>
      <c r="SXM10"/>
      <c r="SXQ10"/>
      <c r="SXU10"/>
      <c r="SXY10"/>
      <c r="SYC10"/>
      <c r="SYG10"/>
      <c r="SYK10"/>
      <c r="SYO10"/>
      <c r="SYS10"/>
      <c r="SYW10"/>
      <c r="SZA10"/>
      <c r="SZE10"/>
      <c r="SZI10"/>
      <c r="SZM10"/>
      <c r="SZQ10"/>
      <c r="SZU10"/>
      <c r="SZY10"/>
      <c r="TAC10"/>
      <c r="TAG10"/>
      <c r="TAK10"/>
      <c r="TAO10"/>
      <c r="TAS10"/>
      <c r="TAW10"/>
      <c r="TBA10"/>
      <c r="TBE10"/>
      <c r="TBI10"/>
      <c r="TBM10"/>
      <c r="TBQ10"/>
      <c r="TBU10"/>
      <c r="TBY10"/>
      <c r="TCC10"/>
      <c r="TCG10"/>
      <c r="TCK10"/>
      <c r="TCO10"/>
      <c r="TCS10"/>
      <c r="TCW10"/>
      <c r="TDA10"/>
      <c r="TDE10"/>
      <c r="TDI10"/>
      <c r="TDM10"/>
      <c r="TDQ10"/>
      <c r="TDU10"/>
      <c r="TDY10"/>
      <c r="TEC10"/>
      <c r="TEG10"/>
      <c r="TEK10"/>
      <c r="TEO10"/>
      <c r="TES10"/>
      <c r="TEW10"/>
      <c r="TFA10"/>
      <c r="TFE10"/>
      <c r="TFI10"/>
      <c r="TFM10"/>
      <c r="TFQ10"/>
      <c r="TFU10"/>
      <c r="TFY10"/>
      <c r="TGC10"/>
      <c r="TGG10"/>
      <c r="TGK10"/>
      <c r="TGO10"/>
      <c r="TGS10"/>
      <c r="TGW10"/>
      <c r="THA10"/>
      <c r="THE10"/>
      <c r="THI10"/>
      <c r="THM10"/>
      <c r="THQ10"/>
      <c r="THU10"/>
      <c r="THY10"/>
      <c r="TIC10"/>
      <c r="TIG10"/>
      <c r="TIK10"/>
      <c r="TIO10"/>
      <c r="TIS10"/>
      <c r="TIW10"/>
      <c r="TJA10"/>
      <c r="TJE10"/>
      <c r="TJI10"/>
      <c r="TJM10"/>
      <c r="TJQ10"/>
      <c r="TJU10"/>
      <c r="TJY10"/>
      <c r="TKC10"/>
      <c r="TKG10"/>
      <c r="TKK10"/>
      <c r="TKO10"/>
      <c r="TKS10"/>
      <c r="TKW10"/>
      <c r="TLA10"/>
      <c r="TLE10"/>
      <c r="TLI10"/>
      <c r="TLM10"/>
      <c r="TLQ10"/>
      <c r="TLU10"/>
      <c r="TLY10"/>
      <c r="TMC10"/>
      <c r="TMG10"/>
      <c r="TMK10"/>
      <c r="TMO10"/>
      <c r="TMS10"/>
      <c r="TMW10"/>
      <c r="TNA10"/>
      <c r="TNE10"/>
      <c r="TNI10"/>
      <c r="TNM10"/>
      <c r="TNQ10"/>
      <c r="TNU10"/>
      <c r="TNY10"/>
      <c r="TOC10"/>
      <c r="TOG10"/>
      <c r="TOK10"/>
      <c r="TOO10"/>
      <c r="TOS10"/>
      <c r="TOW10"/>
      <c r="TPA10"/>
      <c r="TPE10"/>
      <c r="TPI10"/>
      <c r="TPM10"/>
      <c r="TPQ10"/>
      <c r="TPU10"/>
      <c r="TPY10"/>
      <c r="TQC10"/>
      <c r="TQG10"/>
      <c r="TQK10"/>
      <c r="TQO10"/>
      <c r="TQS10"/>
      <c r="TQW10"/>
      <c r="TRA10"/>
      <c r="TRE10"/>
      <c r="TRI10"/>
      <c r="TRM10"/>
      <c r="TRQ10"/>
      <c r="TRU10"/>
      <c r="TRY10"/>
      <c r="TSC10"/>
      <c r="TSG10"/>
      <c r="TSK10"/>
      <c r="TSO10"/>
      <c r="TSS10"/>
      <c r="TSW10"/>
      <c r="TTA10"/>
      <c r="TTE10"/>
      <c r="TTI10"/>
      <c r="TTM10"/>
      <c r="TTQ10"/>
      <c r="TTU10"/>
      <c r="TTY10"/>
      <c r="TUC10"/>
      <c r="TUG10"/>
      <c r="TUK10"/>
      <c r="TUO10"/>
      <c r="TUS10"/>
      <c r="TUW10"/>
      <c r="TVA10"/>
      <c r="TVE10"/>
      <c r="TVI10"/>
      <c r="TVM10"/>
      <c r="TVQ10"/>
      <c r="TVU10"/>
      <c r="TVY10"/>
      <c r="TWC10"/>
      <c r="TWG10"/>
      <c r="TWK10"/>
      <c r="TWO10"/>
      <c r="TWS10"/>
      <c r="TWW10"/>
      <c r="TXA10"/>
      <c r="TXE10"/>
      <c r="TXI10"/>
      <c r="TXM10"/>
      <c r="TXQ10"/>
      <c r="TXU10"/>
      <c r="TXY10"/>
      <c r="TYC10"/>
      <c r="TYG10"/>
      <c r="TYK10"/>
      <c r="TYO10"/>
      <c r="TYS10"/>
      <c r="TYW10"/>
      <c r="TZA10"/>
      <c r="TZE10"/>
      <c r="TZI10"/>
      <c r="TZM10"/>
      <c r="TZQ10"/>
      <c r="TZU10"/>
      <c r="TZY10"/>
      <c r="UAC10"/>
      <c r="UAG10"/>
      <c r="UAK10"/>
      <c r="UAO10"/>
      <c r="UAS10"/>
      <c r="UAW10"/>
      <c r="UBA10"/>
      <c r="UBE10"/>
      <c r="UBI10"/>
      <c r="UBM10"/>
      <c r="UBQ10"/>
      <c r="UBU10"/>
      <c r="UBY10"/>
      <c r="UCC10"/>
      <c r="UCG10"/>
      <c r="UCK10"/>
      <c r="UCO10"/>
      <c r="UCS10"/>
      <c r="UCW10"/>
      <c r="UDA10"/>
      <c r="UDE10"/>
      <c r="UDI10"/>
      <c r="UDM10"/>
      <c r="UDQ10"/>
      <c r="UDU10"/>
      <c r="UDY10"/>
      <c r="UEC10"/>
      <c r="UEG10"/>
      <c r="UEK10"/>
      <c r="UEO10"/>
      <c r="UES10"/>
      <c r="UEW10"/>
      <c r="UFA10"/>
      <c r="UFE10"/>
      <c r="UFI10"/>
      <c r="UFM10"/>
      <c r="UFQ10"/>
      <c r="UFU10"/>
      <c r="UFY10"/>
      <c r="UGC10"/>
      <c r="UGG10"/>
      <c r="UGK10"/>
      <c r="UGO10"/>
      <c r="UGS10"/>
      <c r="UGW10"/>
      <c r="UHA10"/>
      <c r="UHE10"/>
      <c r="UHI10"/>
      <c r="UHM10"/>
      <c r="UHQ10"/>
      <c r="UHU10"/>
      <c r="UHY10"/>
      <c r="UIC10"/>
      <c r="UIG10"/>
      <c r="UIK10"/>
      <c r="UIO10"/>
      <c r="UIS10"/>
      <c r="UIW10"/>
      <c r="UJA10"/>
      <c r="UJE10"/>
      <c r="UJI10"/>
      <c r="UJM10"/>
      <c r="UJQ10"/>
      <c r="UJU10"/>
      <c r="UJY10"/>
      <c r="UKC10"/>
      <c r="UKG10"/>
      <c r="UKK10"/>
      <c r="UKO10"/>
      <c r="UKS10"/>
      <c r="UKW10"/>
      <c r="ULA10"/>
      <c r="ULE10"/>
      <c r="ULI10"/>
      <c r="ULM10"/>
      <c r="ULQ10"/>
      <c r="ULU10"/>
      <c r="ULY10"/>
      <c r="UMC10"/>
      <c r="UMG10"/>
      <c r="UMK10"/>
      <c r="UMO10"/>
      <c r="UMS10"/>
      <c r="UMW10"/>
      <c r="UNA10"/>
      <c r="UNE10"/>
      <c r="UNI10"/>
      <c r="UNM10"/>
      <c r="UNQ10"/>
      <c r="UNU10"/>
      <c r="UNY10"/>
      <c r="UOC10"/>
      <c r="UOG10"/>
      <c r="UOK10"/>
      <c r="UOO10"/>
      <c r="UOS10"/>
      <c r="UOW10"/>
      <c r="UPA10"/>
      <c r="UPE10"/>
      <c r="UPI10"/>
      <c r="UPM10"/>
      <c r="UPQ10"/>
      <c r="UPU10"/>
      <c r="UPY10"/>
      <c r="UQC10"/>
      <c r="UQG10"/>
      <c r="UQK10"/>
      <c r="UQO10"/>
      <c r="UQS10"/>
      <c r="UQW10"/>
      <c r="URA10"/>
      <c r="URE10"/>
      <c r="URI10"/>
      <c r="URM10"/>
      <c r="URQ10"/>
      <c r="URU10"/>
      <c r="URY10"/>
      <c r="USC10"/>
      <c r="USG10"/>
      <c r="USK10"/>
      <c r="USO10"/>
      <c r="USS10"/>
      <c r="USW10"/>
      <c r="UTA10"/>
      <c r="UTE10"/>
      <c r="UTI10"/>
      <c r="UTM10"/>
      <c r="UTQ10"/>
      <c r="UTU10"/>
      <c r="UTY10"/>
      <c r="UUC10"/>
      <c r="UUG10"/>
      <c r="UUK10"/>
      <c r="UUO10"/>
      <c r="UUS10"/>
      <c r="UUW10"/>
      <c r="UVA10"/>
      <c r="UVE10"/>
      <c r="UVI10"/>
      <c r="UVM10"/>
      <c r="UVQ10"/>
      <c r="UVU10"/>
      <c r="UVY10"/>
      <c r="UWC10"/>
      <c r="UWG10"/>
      <c r="UWK10"/>
      <c r="UWO10"/>
      <c r="UWS10"/>
      <c r="UWW10"/>
      <c r="UXA10"/>
      <c r="UXE10"/>
      <c r="UXI10"/>
      <c r="UXM10"/>
      <c r="UXQ10"/>
      <c r="UXU10"/>
      <c r="UXY10"/>
      <c r="UYC10"/>
      <c r="UYG10"/>
      <c r="UYK10"/>
      <c r="UYO10"/>
      <c r="UYS10"/>
      <c r="UYW10"/>
      <c r="UZA10"/>
      <c r="UZE10"/>
      <c r="UZI10"/>
      <c r="UZM10"/>
      <c r="UZQ10"/>
      <c r="UZU10"/>
      <c r="UZY10"/>
      <c r="VAC10"/>
      <c r="VAG10"/>
      <c r="VAK10"/>
      <c r="VAO10"/>
      <c r="VAS10"/>
      <c r="VAW10"/>
      <c r="VBA10"/>
      <c r="VBE10"/>
      <c r="VBI10"/>
      <c r="VBM10"/>
      <c r="VBQ10"/>
      <c r="VBU10"/>
      <c r="VBY10"/>
      <c r="VCC10"/>
      <c r="VCG10"/>
      <c r="VCK10"/>
      <c r="VCO10"/>
      <c r="VCS10"/>
      <c r="VCW10"/>
      <c r="VDA10"/>
      <c r="VDE10"/>
      <c r="VDI10"/>
      <c r="VDM10"/>
      <c r="VDQ10"/>
      <c r="VDU10"/>
      <c r="VDY10"/>
      <c r="VEC10"/>
      <c r="VEG10"/>
      <c r="VEK10"/>
      <c r="VEO10"/>
      <c r="VES10"/>
      <c r="VEW10"/>
      <c r="VFA10"/>
      <c r="VFE10"/>
      <c r="VFI10"/>
      <c r="VFM10"/>
      <c r="VFQ10"/>
      <c r="VFU10"/>
      <c r="VFY10"/>
      <c r="VGC10"/>
      <c r="VGG10"/>
      <c r="VGK10"/>
      <c r="VGO10"/>
      <c r="VGS10"/>
      <c r="VGW10"/>
      <c r="VHA10"/>
      <c r="VHE10"/>
      <c r="VHI10"/>
      <c r="VHM10"/>
      <c r="VHQ10"/>
      <c r="VHU10"/>
      <c r="VHY10"/>
      <c r="VIC10"/>
      <c r="VIG10"/>
      <c r="VIK10"/>
      <c r="VIO10"/>
      <c r="VIS10"/>
      <c r="VIW10"/>
      <c r="VJA10"/>
      <c r="VJE10"/>
      <c r="VJI10"/>
      <c r="VJM10"/>
      <c r="VJQ10"/>
      <c r="VJU10"/>
      <c r="VJY10"/>
      <c r="VKC10"/>
      <c r="VKG10"/>
      <c r="VKK10"/>
      <c r="VKO10"/>
      <c r="VKS10"/>
      <c r="VKW10"/>
      <c r="VLA10"/>
      <c r="VLE10"/>
      <c r="VLI10"/>
      <c r="VLM10"/>
      <c r="VLQ10"/>
      <c r="VLU10"/>
      <c r="VLY10"/>
      <c r="VMC10"/>
      <c r="VMG10"/>
      <c r="VMK10"/>
      <c r="VMO10"/>
      <c r="VMS10"/>
      <c r="VMW10"/>
      <c r="VNA10"/>
      <c r="VNE10"/>
      <c r="VNI10"/>
      <c r="VNM10"/>
      <c r="VNQ10"/>
      <c r="VNU10"/>
      <c r="VNY10"/>
      <c r="VOC10"/>
      <c r="VOG10"/>
      <c r="VOK10"/>
      <c r="VOO10"/>
      <c r="VOS10"/>
      <c r="VOW10"/>
      <c r="VPA10"/>
      <c r="VPE10"/>
      <c r="VPI10"/>
      <c r="VPM10"/>
      <c r="VPQ10"/>
      <c r="VPU10"/>
      <c r="VPY10"/>
      <c r="VQC10"/>
      <c r="VQG10"/>
      <c r="VQK10"/>
      <c r="VQO10"/>
      <c r="VQS10"/>
      <c r="VQW10"/>
      <c r="VRA10"/>
      <c r="VRE10"/>
      <c r="VRI10"/>
      <c r="VRM10"/>
      <c r="VRQ10"/>
      <c r="VRU10"/>
      <c r="VRY10"/>
      <c r="VSC10"/>
      <c r="VSG10"/>
      <c r="VSK10"/>
      <c r="VSO10"/>
      <c r="VSS10"/>
      <c r="VSW10"/>
      <c r="VTA10"/>
      <c r="VTE10"/>
      <c r="VTI10"/>
      <c r="VTM10"/>
      <c r="VTQ10"/>
      <c r="VTU10"/>
      <c r="VTY10"/>
      <c r="VUC10"/>
      <c r="VUG10"/>
      <c r="VUK10"/>
      <c r="VUO10"/>
      <c r="VUS10"/>
      <c r="VUW10"/>
      <c r="VVA10"/>
      <c r="VVE10"/>
      <c r="VVI10"/>
      <c r="VVM10"/>
      <c r="VVQ10"/>
      <c r="VVU10"/>
      <c r="VVY10"/>
      <c r="VWC10"/>
      <c r="VWG10"/>
      <c r="VWK10"/>
      <c r="VWO10"/>
      <c r="VWS10"/>
      <c r="VWW10"/>
      <c r="VXA10"/>
      <c r="VXE10"/>
      <c r="VXI10"/>
      <c r="VXM10"/>
      <c r="VXQ10"/>
      <c r="VXU10"/>
      <c r="VXY10"/>
      <c r="VYC10"/>
      <c r="VYG10"/>
      <c r="VYK10"/>
      <c r="VYO10"/>
      <c r="VYS10"/>
      <c r="VYW10"/>
      <c r="VZA10"/>
      <c r="VZE10"/>
      <c r="VZI10"/>
      <c r="VZM10"/>
      <c r="VZQ10"/>
      <c r="VZU10"/>
      <c r="VZY10"/>
      <c r="WAC10"/>
      <c r="WAG10"/>
      <c r="WAK10"/>
      <c r="WAO10"/>
      <c r="WAS10"/>
      <c r="WAW10"/>
      <c r="WBA10"/>
      <c r="WBE10"/>
      <c r="WBI10"/>
      <c r="WBM10"/>
      <c r="WBQ10"/>
      <c r="WBU10"/>
      <c r="WBY10"/>
      <c r="WCC10"/>
      <c r="WCG10"/>
      <c r="WCK10"/>
      <c r="WCO10"/>
      <c r="WCS10"/>
      <c r="WCW10"/>
      <c r="WDA10"/>
      <c r="WDE10"/>
      <c r="WDI10"/>
      <c r="WDM10"/>
      <c r="WDQ10"/>
      <c r="WDU10"/>
      <c r="WDY10"/>
      <c r="WEC10"/>
      <c r="WEG10"/>
      <c r="WEK10"/>
      <c r="WEO10"/>
      <c r="WES10"/>
      <c r="WEW10"/>
      <c r="WFA10"/>
      <c r="WFE10"/>
      <c r="WFI10"/>
      <c r="WFM10"/>
      <c r="WFQ10"/>
      <c r="WFU10"/>
      <c r="WFY10"/>
      <c r="WGC10"/>
      <c r="WGG10"/>
      <c r="WGK10"/>
      <c r="WGO10"/>
      <c r="WGS10"/>
      <c r="WGW10"/>
      <c r="WHA10"/>
      <c r="WHE10"/>
      <c r="WHI10"/>
      <c r="WHM10"/>
      <c r="WHQ10"/>
      <c r="WHU10"/>
      <c r="WHY10"/>
      <c r="WIC10"/>
      <c r="WIG10"/>
      <c r="WIK10"/>
      <c r="WIO10"/>
      <c r="WIS10"/>
      <c r="WIW10"/>
      <c r="WJA10"/>
      <c r="WJE10"/>
      <c r="WJI10"/>
      <c r="WJM10"/>
      <c r="WJQ10"/>
      <c r="WJU10"/>
      <c r="WJY10"/>
      <c r="WKC10"/>
      <c r="WKG10"/>
      <c r="WKK10"/>
      <c r="WKO10"/>
      <c r="WKS10"/>
      <c r="WKW10"/>
      <c r="WLA10"/>
      <c r="WLE10"/>
      <c r="WLI10"/>
      <c r="WLM10"/>
      <c r="WLQ10"/>
      <c r="WLU10"/>
      <c r="WLY10"/>
      <c r="WMC10"/>
      <c r="WMG10"/>
      <c r="WMK10"/>
      <c r="WMO10"/>
      <c r="WMS10"/>
      <c r="WMW10"/>
      <c r="WNA10"/>
      <c r="WNE10"/>
      <c r="WNI10"/>
      <c r="WNM10"/>
      <c r="WNQ10"/>
      <c r="WNU10"/>
      <c r="WNY10"/>
      <c r="WOC10"/>
      <c r="WOG10"/>
      <c r="WOK10"/>
      <c r="WOO10"/>
      <c r="WOS10"/>
      <c r="WOW10"/>
      <c r="WPA10"/>
      <c r="WPE10"/>
      <c r="WPI10"/>
      <c r="WPM10"/>
      <c r="WPQ10"/>
      <c r="WPU10"/>
      <c r="WPY10"/>
      <c r="WQC10"/>
      <c r="WQG10"/>
      <c r="WQK10"/>
      <c r="WQO10"/>
      <c r="WQS10"/>
      <c r="WQW10"/>
      <c r="WRA10"/>
      <c r="WRE10"/>
      <c r="WRI10"/>
      <c r="WRM10"/>
      <c r="WRQ10"/>
      <c r="WRU10"/>
      <c r="WRY10"/>
      <c r="WSC10"/>
      <c r="WSG10"/>
      <c r="WSK10"/>
      <c r="WSO10"/>
      <c r="WSS10"/>
      <c r="WSW10"/>
      <c r="WTA10"/>
      <c r="WTE10"/>
      <c r="WTI10"/>
      <c r="WTM10"/>
      <c r="WTQ10"/>
      <c r="WTU10"/>
      <c r="WTY10"/>
      <c r="WUC10"/>
      <c r="WUG10"/>
      <c r="WUK10"/>
      <c r="WUO10"/>
      <c r="WUS10"/>
      <c r="WUW10"/>
      <c r="WVA10"/>
      <c r="WVE10"/>
      <c r="WVI10"/>
      <c r="WVM10"/>
      <c r="WVQ10"/>
      <c r="WVU10"/>
      <c r="WVY10"/>
      <c r="WWC10"/>
      <c r="WWG10"/>
      <c r="WWK10"/>
      <c r="WWO10"/>
      <c r="WWS10"/>
      <c r="WWW10"/>
      <c r="WXA10"/>
      <c r="WXE10"/>
      <c r="WXI10"/>
      <c r="WXM10"/>
      <c r="WXQ10"/>
      <c r="WXU10"/>
      <c r="WXY10"/>
      <c r="WYC10"/>
      <c r="WYG10"/>
      <c r="WYK10"/>
      <c r="WYO10"/>
      <c r="WYS10"/>
      <c r="WYW10"/>
      <c r="WZA10"/>
      <c r="WZE10"/>
      <c r="WZI10"/>
      <c r="WZM10"/>
      <c r="WZQ10"/>
      <c r="WZU10"/>
      <c r="WZY10"/>
      <c r="XAC10"/>
      <c r="XAG10"/>
      <c r="XAK10"/>
      <c r="XAO10"/>
      <c r="XAS10"/>
      <c r="XAW10"/>
      <c r="XBA10"/>
      <c r="XBE10"/>
      <c r="XBI10"/>
      <c r="XBM10"/>
      <c r="XBQ10"/>
      <c r="XBU10"/>
      <c r="XBY10"/>
      <c r="XCC10"/>
      <c r="XCG10"/>
      <c r="XCK10"/>
      <c r="XCO10"/>
      <c r="XCS10"/>
      <c r="XCW10"/>
      <c r="XDA10"/>
      <c r="XDE10"/>
      <c r="XDI10"/>
      <c r="XDM10"/>
      <c r="XDQ10"/>
      <c r="XDU10"/>
      <c r="XDY10"/>
      <c r="XEC10"/>
      <c r="XEG10"/>
      <c r="XEK10"/>
      <c r="XEO10"/>
      <c r="XES10"/>
      <c r="XEW10"/>
      <c r="XFA10"/>
    </row>
    <row r="11" spans="1:1021 1025:2045 2049:3069 3073:4093 4097:5117 5121:6141 6145:7165 7169:8189 8193:9213 9217:10237 10241:11261 11265:12285 12289:13309 13313:14333 14337:15357 15361:16381" s="1" customFormat="1" x14ac:dyDescent="0.35">
      <c r="A11" s="21">
        <v>1</v>
      </c>
      <c r="B11" s="21">
        <v>7</v>
      </c>
      <c r="C11" s="1" t="str">
        <f xml:space="preserve"> IF('Master Player List'!L9=1,'Master Player List'!C9,"")</f>
        <v xml:space="preserve">Darter, Bret </v>
      </c>
      <c r="D11" s="1" t="str">
        <f xml:space="preserve"> IF('Master Player List'!L9=1,'Master Player List'!F9,"")</f>
        <v xml:space="preserve">Caldwell, Trey </v>
      </c>
      <c r="E11" s="21">
        <f xml:space="preserve"> IF('Master Player List'!L9=1,'Master Player List'!I9,"")</f>
        <v>4.0999999999999996</v>
      </c>
      <c r="F11" s="22"/>
      <c r="I11" s="21"/>
      <c r="J11" s="22"/>
      <c r="M11"/>
      <c r="Q11"/>
      <c r="U11"/>
      <c r="Y11"/>
      <c r="AC11"/>
      <c r="AG11"/>
      <c r="AK11"/>
      <c r="AO11"/>
      <c r="AS11"/>
      <c r="AW11"/>
      <c r="BA11"/>
      <c r="BE11"/>
      <c r="BI11"/>
      <c r="BM11"/>
      <c r="BQ11"/>
      <c r="BU11"/>
      <c r="BY11"/>
      <c r="CC11"/>
      <c r="CG11"/>
      <c r="CK11"/>
      <c r="CO11"/>
      <c r="CS11"/>
      <c r="CW11"/>
      <c r="DA11"/>
      <c r="DE11"/>
      <c r="DI11"/>
      <c r="DM11"/>
      <c r="DQ11"/>
      <c r="DU11"/>
      <c r="DY11"/>
      <c r="EC11"/>
      <c r="EG11"/>
      <c r="EK11"/>
      <c r="EO11"/>
      <c r="ES11"/>
      <c r="EW11"/>
      <c r="FA11"/>
      <c r="FE11"/>
      <c r="FI11"/>
      <c r="FM11"/>
      <c r="FQ11"/>
      <c r="FU11"/>
      <c r="FY11"/>
      <c r="GC11"/>
      <c r="GG11"/>
      <c r="GK11"/>
      <c r="GO11"/>
      <c r="GS11"/>
      <c r="GW11"/>
      <c r="HA11"/>
      <c r="HE11"/>
      <c r="HI11"/>
      <c r="HM11"/>
      <c r="HQ11"/>
      <c r="HU11"/>
      <c r="HY11"/>
      <c r="IC11"/>
      <c r="IG11"/>
      <c r="IK11"/>
      <c r="IO11"/>
      <c r="IS11"/>
      <c r="IW11"/>
      <c r="JA11"/>
      <c r="JE11"/>
      <c r="JI11"/>
      <c r="JM11"/>
      <c r="JQ11"/>
      <c r="JU11"/>
      <c r="JY11"/>
      <c r="KC11"/>
      <c r="KG11"/>
      <c r="KK11"/>
      <c r="KO11"/>
      <c r="KS11"/>
      <c r="KW11"/>
      <c r="LA11"/>
      <c r="LE11"/>
      <c r="LI11"/>
      <c r="LM11"/>
      <c r="LQ11"/>
      <c r="LU11"/>
      <c r="LY11"/>
      <c r="MC11"/>
      <c r="MG11"/>
      <c r="MK11"/>
      <c r="MO11"/>
      <c r="MS11"/>
      <c r="MW11"/>
      <c r="NA11"/>
      <c r="NE11"/>
      <c r="NI11"/>
      <c r="NM11"/>
      <c r="NQ11"/>
      <c r="NU11"/>
      <c r="NY11"/>
      <c r="OC11"/>
      <c r="OG11"/>
      <c r="OK11"/>
      <c r="OO11"/>
      <c r="OS11"/>
      <c r="OW11"/>
      <c r="PA11"/>
      <c r="PE11"/>
      <c r="PI11"/>
      <c r="PM11"/>
      <c r="PQ11"/>
      <c r="PU11"/>
      <c r="PY11"/>
      <c r="QC11"/>
      <c r="QG11"/>
      <c r="QK11"/>
      <c r="QO11"/>
      <c r="QS11"/>
      <c r="QW11"/>
      <c r="RA11"/>
      <c r="RE11"/>
      <c r="RI11"/>
      <c r="RM11"/>
      <c r="RQ11"/>
      <c r="RU11"/>
      <c r="RY11"/>
      <c r="SC11"/>
      <c r="SG11"/>
      <c r="SK11"/>
      <c r="SO11"/>
      <c r="SS11"/>
      <c r="SW11"/>
      <c r="TA11"/>
      <c r="TE11"/>
      <c r="TI11"/>
      <c r="TM11"/>
      <c r="TQ11"/>
      <c r="TU11"/>
      <c r="TY11"/>
      <c r="UC11"/>
      <c r="UG11"/>
      <c r="UK11"/>
      <c r="UO11"/>
      <c r="US11"/>
      <c r="UW11"/>
      <c r="VA11"/>
      <c r="VE11"/>
      <c r="VI11"/>
      <c r="VM11"/>
      <c r="VQ11"/>
      <c r="VU11"/>
      <c r="VY11"/>
      <c r="WC11"/>
      <c r="WG11"/>
      <c r="WK11"/>
      <c r="WO11"/>
      <c r="WS11"/>
      <c r="WW11"/>
      <c r="XA11"/>
      <c r="XE11"/>
      <c r="XI11"/>
      <c r="XM11"/>
      <c r="XQ11"/>
      <c r="XU11"/>
      <c r="XY11"/>
      <c r="YC11"/>
      <c r="YG11"/>
      <c r="YK11"/>
      <c r="YO11"/>
      <c r="YS11"/>
      <c r="YW11"/>
      <c r="ZA11"/>
      <c r="ZE11"/>
      <c r="ZI11"/>
      <c r="ZM11"/>
      <c r="ZQ11"/>
      <c r="ZU11"/>
      <c r="ZY11"/>
      <c r="AAC11"/>
      <c r="AAG11"/>
      <c r="AAK11"/>
      <c r="AAO11"/>
      <c r="AAS11"/>
      <c r="AAW11"/>
      <c r="ABA11"/>
      <c r="ABE11"/>
      <c r="ABI11"/>
      <c r="ABM11"/>
      <c r="ABQ11"/>
      <c r="ABU11"/>
      <c r="ABY11"/>
      <c r="ACC11"/>
      <c r="ACG11"/>
      <c r="ACK11"/>
      <c r="ACO11"/>
      <c r="ACS11"/>
      <c r="ACW11"/>
      <c r="ADA11"/>
      <c r="ADE11"/>
      <c r="ADI11"/>
      <c r="ADM11"/>
      <c r="ADQ11"/>
      <c r="ADU11"/>
      <c r="ADY11"/>
      <c r="AEC11"/>
      <c r="AEG11"/>
      <c r="AEK11"/>
      <c r="AEO11"/>
      <c r="AES11"/>
      <c r="AEW11"/>
      <c r="AFA11"/>
      <c r="AFE11"/>
      <c r="AFI11"/>
      <c r="AFM11"/>
      <c r="AFQ11"/>
      <c r="AFU11"/>
      <c r="AFY11"/>
      <c r="AGC11"/>
      <c r="AGG11"/>
      <c r="AGK11"/>
      <c r="AGO11"/>
      <c r="AGS11"/>
      <c r="AGW11"/>
      <c r="AHA11"/>
      <c r="AHE11"/>
      <c r="AHI11"/>
      <c r="AHM11"/>
      <c r="AHQ11"/>
      <c r="AHU11"/>
      <c r="AHY11"/>
      <c r="AIC11"/>
      <c r="AIG11"/>
      <c r="AIK11"/>
      <c r="AIO11"/>
      <c r="AIS11"/>
      <c r="AIW11"/>
      <c r="AJA11"/>
      <c r="AJE11"/>
      <c r="AJI11"/>
      <c r="AJM11"/>
      <c r="AJQ11"/>
      <c r="AJU11"/>
      <c r="AJY11"/>
      <c r="AKC11"/>
      <c r="AKG11"/>
      <c r="AKK11"/>
      <c r="AKO11"/>
      <c r="AKS11"/>
      <c r="AKW11"/>
      <c r="ALA11"/>
      <c r="ALE11"/>
      <c r="ALI11"/>
      <c r="ALM11"/>
      <c r="ALQ11"/>
      <c r="ALU11"/>
      <c r="ALY11"/>
      <c r="AMC11"/>
      <c r="AMG11"/>
      <c r="AMK11"/>
      <c r="AMO11"/>
      <c r="AMS11"/>
      <c r="AMW11"/>
      <c r="ANA11"/>
      <c r="ANE11"/>
      <c r="ANI11"/>
      <c r="ANM11"/>
      <c r="ANQ11"/>
      <c r="ANU11"/>
      <c r="ANY11"/>
      <c r="AOC11"/>
      <c r="AOG11"/>
      <c r="AOK11"/>
      <c r="AOO11"/>
      <c r="AOS11"/>
      <c r="AOW11"/>
      <c r="APA11"/>
      <c r="APE11"/>
      <c r="API11"/>
      <c r="APM11"/>
      <c r="APQ11"/>
      <c r="APU11"/>
      <c r="APY11"/>
      <c r="AQC11"/>
      <c r="AQG11"/>
      <c r="AQK11"/>
      <c r="AQO11"/>
      <c r="AQS11"/>
      <c r="AQW11"/>
      <c r="ARA11"/>
      <c r="ARE11"/>
      <c r="ARI11"/>
      <c r="ARM11"/>
      <c r="ARQ11"/>
      <c r="ARU11"/>
      <c r="ARY11"/>
      <c r="ASC11"/>
      <c r="ASG11"/>
      <c r="ASK11"/>
      <c r="ASO11"/>
      <c r="ASS11"/>
      <c r="ASW11"/>
      <c r="ATA11"/>
      <c r="ATE11"/>
      <c r="ATI11"/>
      <c r="ATM11"/>
      <c r="ATQ11"/>
      <c r="ATU11"/>
      <c r="ATY11"/>
      <c r="AUC11"/>
      <c r="AUG11"/>
      <c r="AUK11"/>
      <c r="AUO11"/>
      <c r="AUS11"/>
      <c r="AUW11"/>
      <c r="AVA11"/>
      <c r="AVE11"/>
      <c r="AVI11"/>
      <c r="AVM11"/>
      <c r="AVQ11"/>
      <c r="AVU11"/>
      <c r="AVY11"/>
      <c r="AWC11"/>
      <c r="AWG11"/>
      <c r="AWK11"/>
      <c r="AWO11"/>
      <c r="AWS11"/>
      <c r="AWW11"/>
      <c r="AXA11"/>
      <c r="AXE11"/>
      <c r="AXI11"/>
      <c r="AXM11"/>
      <c r="AXQ11"/>
      <c r="AXU11"/>
      <c r="AXY11"/>
      <c r="AYC11"/>
      <c r="AYG11"/>
      <c r="AYK11"/>
      <c r="AYO11"/>
      <c r="AYS11"/>
      <c r="AYW11"/>
      <c r="AZA11"/>
      <c r="AZE11"/>
      <c r="AZI11"/>
      <c r="AZM11"/>
      <c r="AZQ11"/>
      <c r="AZU11"/>
      <c r="AZY11"/>
      <c r="BAC11"/>
      <c r="BAG11"/>
      <c r="BAK11"/>
      <c r="BAO11"/>
      <c r="BAS11"/>
      <c r="BAW11"/>
      <c r="BBA11"/>
      <c r="BBE11"/>
      <c r="BBI11"/>
      <c r="BBM11"/>
      <c r="BBQ11"/>
      <c r="BBU11"/>
      <c r="BBY11"/>
      <c r="BCC11"/>
      <c r="BCG11"/>
      <c r="BCK11"/>
      <c r="BCO11"/>
      <c r="BCS11"/>
      <c r="BCW11"/>
      <c r="BDA11"/>
      <c r="BDE11"/>
      <c r="BDI11"/>
      <c r="BDM11"/>
      <c r="BDQ11"/>
      <c r="BDU11"/>
      <c r="BDY11"/>
      <c r="BEC11"/>
      <c r="BEG11"/>
      <c r="BEK11"/>
      <c r="BEO11"/>
      <c r="BES11"/>
      <c r="BEW11"/>
      <c r="BFA11"/>
      <c r="BFE11"/>
      <c r="BFI11"/>
      <c r="BFM11"/>
      <c r="BFQ11"/>
      <c r="BFU11"/>
      <c r="BFY11"/>
      <c r="BGC11"/>
      <c r="BGG11"/>
      <c r="BGK11"/>
      <c r="BGO11"/>
      <c r="BGS11"/>
      <c r="BGW11"/>
      <c r="BHA11"/>
      <c r="BHE11"/>
      <c r="BHI11"/>
      <c r="BHM11"/>
      <c r="BHQ11"/>
      <c r="BHU11"/>
      <c r="BHY11"/>
      <c r="BIC11"/>
      <c r="BIG11"/>
      <c r="BIK11"/>
      <c r="BIO11"/>
      <c r="BIS11"/>
      <c r="BIW11"/>
      <c r="BJA11"/>
      <c r="BJE11"/>
      <c r="BJI11"/>
      <c r="BJM11"/>
      <c r="BJQ11"/>
      <c r="BJU11"/>
      <c r="BJY11"/>
      <c r="BKC11"/>
      <c r="BKG11"/>
      <c r="BKK11"/>
      <c r="BKO11"/>
      <c r="BKS11"/>
      <c r="BKW11"/>
      <c r="BLA11"/>
      <c r="BLE11"/>
      <c r="BLI11"/>
      <c r="BLM11"/>
      <c r="BLQ11"/>
      <c r="BLU11"/>
      <c r="BLY11"/>
      <c r="BMC11"/>
      <c r="BMG11"/>
      <c r="BMK11"/>
      <c r="BMO11"/>
      <c r="BMS11"/>
      <c r="BMW11"/>
      <c r="BNA11"/>
      <c r="BNE11"/>
      <c r="BNI11"/>
      <c r="BNM11"/>
      <c r="BNQ11"/>
      <c r="BNU11"/>
      <c r="BNY11"/>
      <c r="BOC11"/>
      <c r="BOG11"/>
      <c r="BOK11"/>
      <c r="BOO11"/>
      <c r="BOS11"/>
      <c r="BOW11"/>
      <c r="BPA11"/>
      <c r="BPE11"/>
      <c r="BPI11"/>
      <c r="BPM11"/>
      <c r="BPQ11"/>
      <c r="BPU11"/>
      <c r="BPY11"/>
      <c r="BQC11"/>
      <c r="BQG11"/>
      <c r="BQK11"/>
      <c r="BQO11"/>
      <c r="BQS11"/>
      <c r="BQW11"/>
      <c r="BRA11"/>
      <c r="BRE11"/>
      <c r="BRI11"/>
      <c r="BRM11"/>
      <c r="BRQ11"/>
      <c r="BRU11"/>
      <c r="BRY11"/>
      <c r="BSC11"/>
      <c r="BSG11"/>
      <c r="BSK11"/>
      <c r="BSO11"/>
      <c r="BSS11"/>
      <c r="BSW11"/>
      <c r="BTA11"/>
      <c r="BTE11"/>
      <c r="BTI11"/>
      <c r="BTM11"/>
      <c r="BTQ11"/>
      <c r="BTU11"/>
      <c r="BTY11"/>
      <c r="BUC11"/>
      <c r="BUG11"/>
      <c r="BUK11"/>
      <c r="BUO11"/>
      <c r="BUS11"/>
      <c r="BUW11"/>
      <c r="BVA11"/>
      <c r="BVE11"/>
      <c r="BVI11"/>
      <c r="BVM11"/>
      <c r="BVQ11"/>
      <c r="BVU11"/>
      <c r="BVY11"/>
      <c r="BWC11"/>
      <c r="BWG11"/>
      <c r="BWK11"/>
      <c r="BWO11"/>
      <c r="BWS11"/>
      <c r="BWW11"/>
      <c r="BXA11"/>
      <c r="BXE11"/>
      <c r="BXI11"/>
      <c r="BXM11"/>
      <c r="BXQ11"/>
      <c r="BXU11"/>
      <c r="BXY11"/>
      <c r="BYC11"/>
      <c r="BYG11"/>
      <c r="BYK11"/>
      <c r="BYO11"/>
      <c r="BYS11"/>
      <c r="BYW11"/>
      <c r="BZA11"/>
      <c r="BZE11"/>
      <c r="BZI11"/>
      <c r="BZM11"/>
      <c r="BZQ11"/>
      <c r="BZU11"/>
      <c r="BZY11"/>
      <c r="CAC11"/>
      <c r="CAG11"/>
      <c r="CAK11"/>
      <c r="CAO11"/>
      <c r="CAS11"/>
      <c r="CAW11"/>
      <c r="CBA11"/>
      <c r="CBE11"/>
      <c r="CBI11"/>
      <c r="CBM11"/>
      <c r="CBQ11"/>
      <c r="CBU11"/>
      <c r="CBY11"/>
      <c r="CCC11"/>
      <c r="CCG11"/>
      <c r="CCK11"/>
      <c r="CCO11"/>
      <c r="CCS11"/>
      <c r="CCW11"/>
      <c r="CDA11"/>
      <c r="CDE11"/>
      <c r="CDI11"/>
      <c r="CDM11"/>
      <c r="CDQ11"/>
      <c r="CDU11"/>
      <c r="CDY11"/>
      <c r="CEC11"/>
      <c r="CEG11"/>
      <c r="CEK11"/>
      <c r="CEO11"/>
      <c r="CES11"/>
      <c r="CEW11"/>
      <c r="CFA11"/>
      <c r="CFE11"/>
      <c r="CFI11"/>
      <c r="CFM11"/>
      <c r="CFQ11"/>
      <c r="CFU11"/>
      <c r="CFY11"/>
      <c r="CGC11"/>
      <c r="CGG11"/>
      <c r="CGK11"/>
      <c r="CGO11"/>
      <c r="CGS11"/>
      <c r="CGW11"/>
      <c r="CHA11"/>
      <c r="CHE11"/>
      <c r="CHI11"/>
      <c r="CHM11"/>
      <c r="CHQ11"/>
      <c r="CHU11"/>
      <c r="CHY11"/>
      <c r="CIC11"/>
      <c r="CIG11"/>
      <c r="CIK11"/>
      <c r="CIO11"/>
      <c r="CIS11"/>
      <c r="CIW11"/>
      <c r="CJA11"/>
      <c r="CJE11"/>
      <c r="CJI11"/>
      <c r="CJM11"/>
      <c r="CJQ11"/>
      <c r="CJU11"/>
      <c r="CJY11"/>
      <c r="CKC11"/>
      <c r="CKG11"/>
      <c r="CKK11"/>
      <c r="CKO11"/>
      <c r="CKS11"/>
      <c r="CKW11"/>
      <c r="CLA11"/>
      <c r="CLE11"/>
      <c r="CLI11"/>
      <c r="CLM11"/>
      <c r="CLQ11"/>
      <c r="CLU11"/>
      <c r="CLY11"/>
      <c r="CMC11"/>
      <c r="CMG11"/>
      <c r="CMK11"/>
      <c r="CMO11"/>
      <c r="CMS11"/>
      <c r="CMW11"/>
      <c r="CNA11"/>
      <c r="CNE11"/>
      <c r="CNI11"/>
      <c r="CNM11"/>
      <c r="CNQ11"/>
      <c r="CNU11"/>
      <c r="CNY11"/>
      <c r="COC11"/>
      <c r="COG11"/>
      <c r="COK11"/>
      <c r="COO11"/>
      <c r="COS11"/>
      <c r="COW11"/>
      <c r="CPA11"/>
      <c r="CPE11"/>
      <c r="CPI11"/>
      <c r="CPM11"/>
      <c r="CPQ11"/>
      <c r="CPU11"/>
      <c r="CPY11"/>
      <c r="CQC11"/>
      <c r="CQG11"/>
      <c r="CQK11"/>
      <c r="CQO11"/>
      <c r="CQS11"/>
      <c r="CQW11"/>
      <c r="CRA11"/>
      <c r="CRE11"/>
      <c r="CRI11"/>
      <c r="CRM11"/>
      <c r="CRQ11"/>
      <c r="CRU11"/>
      <c r="CRY11"/>
      <c r="CSC11"/>
      <c r="CSG11"/>
      <c r="CSK11"/>
      <c r="CSO11"/>
      <c r="CSS11"/>
      <c r="CSW11"/>
      <c r="CTA11"/>
      <c r="CTE11"/>
      <c r="CTI11"/>
      <c r="CTM11"/>
      <c r="CTQ11"/>
      <c r="CTU11"/>
      <c r="CTY11"/>
      <c r="CUC11"/>
      <c r="CUG11"/>
      <c r="CUK11"/>
      <c r="CUO11"/>
      <c r="CUS11"/>
      <c r="CUW11"/>
      <c r="CVA11"/>
      <c r="CVE11"/>
      <c r="CVI11"/>
      <c r="CVM11"/>
      <c r="CVQ11"/>
      <c r="CVU11"/>
      <c r="CVY11"/>
      <c r="CWC11"/>
      <c r="CWG11"/>
      <c r="CWK11"/>
      <c r="CWO11"/>
      <c r="CWS11"/>
      <c r="CWW11"/>
      <c r="CXA11"/>
      <c r="CXE11"/>
      <c r="CXI11"/>
      <c r="CXM11"/>
      <c r="CXQ11"/>
      <c r="CXU11"/>
      <c r="CXY11"/>
      <c r="CYC11"/>
      <c r="CYG11"/>
      <c r="CYK11"/>
      <c r="CYO11"/>
      <c r="CYS11"/>
      <c r="CYW11"/>
      <c r="CZA11"/>
      <c r="CZE11"/>
      <c r="CZI11"/>
      <c r="CZM11"/>
      <c r="CZQ11"/>
      <c r="CZU11"/>
      <c r="CZY11"/>
      <c r="DAC11"/>
      <c r="DAG11"/>
      <c r="DAK11"/>
      <c r="DAO11"/>
      <c r="DAS11"/>
      <c r="DAW11"/>
      <c r="DBA11"/>
      <c r="DBE11"/>
      <c r="DBI11"/>
      <c r="DBM11"/>
      <c r="DBQ11"/>
      <c r="DBU11"/>
      <c r="DBY11"/>
      <c r="DCC11"/>
      <c r="DCG11"/>
      <c r="DCK11"/>
      <c r="DCO11"/>
      <c r="DCS11"/>
      <c r="DCW11"/>
      <c r="DDA11"/>
      <c r="DDE11"/>
      <c r="DDI11"/>
      <c r="DDM11"/>
      <c r="DDQ11"/>
      <c r="DDU11"/>
      <c r="DDY11"/>
      <c r="DEC11"/>
      <c r="DEG11"/>
      <c r="DEK11"/>
      <c r="DEO11"/>
      <c r="DES11"/>
      <c r="DEW11"/>
      <c r="DFA11"/>
      <c r="DFE11"/>
      <c r="DFI11"/>
      <c r="DFM11"/>
      <c r="DFQ11"/>
      <c r="DFU11"/>
      <c r="DFY11"/>
      <c r="DGC11"/>
      <c r="DGG11"/>
      <c r="DGK11"/>
      <c r="DGO11"/>
      <c r="DGS11"/>
      <c r="DGW11"/>
      <c r="DHA11"/>
      <c r="DHE11"/>
      <c r="DHI11"/>
      <c r="DHM11"/>
      <c r="DHQ11"/>
      <c r="DHU11"/>
      <c r="DHY11"/>
      <c r="DIC11"/>
      <c r="DIG11"/>
      <c r="DIK11"/>
      <c r="DIO11"/>
      <c r="DIS11"/>
      <c r="DIW11"/>
      <c r="DJA11"/>
      <c r="DJE11"/>
      <c r="DJI11"/>
      <c r="DJM11"/>
      <c r="DJQ11"/>
      <c r="DJU11"/>
      <c r="DJY11"/>
      <c r="DKC11"/>
      <c r="DKG11"/>
      <c r="DKK11"/>
      <c r="DKO11"/>
      <c r="DKS11"/>
      <c r="DKW11"/>
      <c r="DLA11"/>
      <c r="DLE11"/>
      <c r="DLI11"/>
      <c r="DLM11"/>
      <c r="DLQ11"/>
      <c r="DLU11"/>
      <c r="DLY11"/>
      <c r="DMC11"/>
      <c r="DMG11"/>
      <c r="DMK11"/>
      <c r="DMO11"/>
      <c r="DMS11"/>
      <c r="DMW11"/>
      <c r="DNA11"/>
      <c r="DNE11"/>
      <c r="DNI11"/>
      <c r="DNM11"/>
      <c r="DNQ11"/>
      <c r="DNU11"/>
      <c r="DNY11"/>
      <c r="DOC11"/>
      <c r="DOG11"/>
      <c r="DOK11"/>
      <c r="DOO11"/>
      <c r="DOS11"/>
      <c r="DOW11"/>
      <c r="DPA11"/>
      <c r="DPE11"/>
      <c r="DPI11"/>
      <c r="DPM11"/>
      <c r="DPQ11"/>
      <c r="DPU11"/>
      <c r="DPY11"/>
      <c r="DQC11"/>
      <c r="DQG11"/>
      <c r="DQK11"/>
      <c r="DQO11"/>
      <c r="DQS11"/>
      <c r="DQW11"/>
      <c r="DRA11"/>
      <c r="DRE11"/>
      <c r="DRI11"/>
      <c r="DRM11"/>
      <c r="DRQ11"/>
      <c r="DRU11"/>
      <c r="DRY11"/>
      <c r="DSC11"/>
      <c r="DSG11"/>
      <c r="DSK11"/>
      <c r="DSO11"/>
      <c r="DSS11"/>
      <c r="DSW11"/>
      <c r="DTA11"/>
      <c r="DTE11"/>
      <c r="DTI11"/>
      <c r="DTM11"/>
      <c r="DTQ11"/>
      <c r="DTU11"/>
      <c r="DTY11"/>
      <c r="DUC11"/>
      <c r="DUG11"/>
      <c r="DUK11"/>
      <c r="DUO11"/>
      <c r="DUS11"/>
      <c r="DUW11"/>
      <c r="DVA11"/>
      <c r="DVE11"/>
      <c r="DVI11"/>
      <c r="DVM11"/>
      <c r="DVQ11"/>
      <c r="DVU11"/>
      <c r="DVY11"/>
      <c r="DWC11"/>
      <c r="DWG11"/>
      <c r="DWK11"/>
      <c r="DWO11"/>
      <c r="DWS11"/>
      <c r="DWW11"/>
      <c r="DXA11"/>
      <c r="DXE11"/>
      <c r="DXI11"/>
      <c r="DXM11"/>
      <c r="DXQ11"/>
      <c r="DXU11"/>
      <c r="DXY11"/>
      <c r="DYC11"/>
      <c r="DYG11"/>
      <c r="DYK11"/>
      <c r="DYO11"/>
      <c r="DYS11"/>
      <c r="DYW11"/>
      <c r="DZA11"/>
      <c r="DZE11"/>
      <c r="DZI11"/>
      <c r="DZM11"/>
      <c r="DZQ11"/>
      <c r="DZU11"/>
      <c r="DZY11"/>
      <c r="EAC11"/>
      <c r="EAG11"/>
      <c r="EAK11"/>
      <c r="EAO11"/>
      <c r="EAS11"/>
      <c r="EAW11"/>
      <c r="EBA11"/>
      <c r="EBE11"/>
      <c r="EBI11"/>
      <c r="EBM11"/>
      <c r="EBQ11"/>
      <c r="EBU11"/>
      <c r="EBY11"/>
      <c r="ECC11"/>
      <c r="ECG11"/>
      <c r="ECK11"/>
      <c r="ECO11"/>
      <c r="ECS11"/>
      <c r="ECW11"/>
      <c r="EDA11"/>
      <c r="EDE11"/>
      <c r="EDI11"/>
      <c r="EDM11"/>
      <c r="EDQ11"/>
      <c r="EDU11"/>
      <c r="EDY11"/>
      <c r="EEC11"/>
      <c r="EEG11"/>
      <c r="EEK11"/>
      <c r="EEO11"/>
      <c r="EES11"/>
      <c r="EEW11"/>
      <c r="EFA11"/>
      <c r="EFE11"/>
      <c r="EFI11"/>
      <c r="EFM11"/>
      <c r="EFQ11"/>
      <c r="EFU11"/>
      <c r="EFY11"/>
      <c r="EGC11"/>
      <c r="EGG11"/>
      <c r="EGK11"/>
      <c r="EGO11"/>
      <c r="EGS11"/>
      <c r="EGW11"/>
      <c r="EHA11"/>
      <c r="EHE11"/>
      <c r="EHI11"/>
      <c r="EHM11"/>
      <c r="EHQ11"/>
      <c r="EHU11"/>
      <c r="EHY11"/>
      <c r="EIC11"/>
      <c r="EIG11"/>
      <c r="EIK11"/>
      <c r="EIO11"/>
      <c r="EIS11"/>
      <c r="EIW11"/>
      <c r="EJA11"/>
      <c r="EJE11"/>
      <c r="EJI11"/>
      <c r="EJM11"/>
      <c r="EJQ11"/>
      <c r="EJU11"/>
      <c r="EJY11"/>
      <c r="EKC11"/>
      <c r="EKG11"/>
      <c r="EKK11"/>
      <c r="EKO11"/>
      <c r="EKS11"/>
      <c r="EKW11"/>
      <c r="ELA11"/>
      <c r="ELE11"/>
      <c r="ELI11"/>
      <c r="ELM11"/>
      <c r="ELQ11"/>
      <c r="ELU11"/>
      <c r="ELY11"/>
      <c r="EMC11"/>
      <c r="EMG11"/>
      <c r="EMK11"/>
      <c r="EMO11"/>
      <c r="EMS11"/>
      <c r="EMW11"/>
      <c r="ENA11"/>
      <c r="ENE11"/>
      <c r="ENI11"/>
      <c r="ENM11"/>
      <c r="ENQ11"/>
      <c r="ENU11"/>
      <c r="ENY11"/>
      <c r="EOC11"/>
      <c r="EOG11"/>
      <c r="EOK11"/>
      <c r="EOO11"/>
      <c r="EOS11"/>
      <c r="EOW11"/>
      <c r="EPA11"/>
      <c r="EPE11"/>
      <c r="EPI11"/>
      <c r="EPM11"/>
      <c r="EPQ11"/>
      <c r="EPU11"/>
      <c r="EPY11"/>
      <c r="EQC11"/>
      <c r="EQG11"/>
      <c r="EQK11"/>
      <c r="EQO11"/>
      <c r="EQS11"/>
      <c r="EQW11"/>
      <c r="ERA11"/>
      <c r="ERE11"/>
      <c r="ERI11"/>
      <c r="ERM11"/>
      <c r="ERQ11"/>
      <c r="ERU11"/>
      <c r="ERY11"/>
      <c r="ESC11"/>
      <c r="ESG11"/>
      <c r="ESK11"/>
      <c r="ESO11"/>
      <c r="ESS11"/>
      <c r="ESW11"/>
      <c r="ETA11"/>
      <c r="ETE11"/>
      <c r="ETI11"/>
      <c r="ETM11"/>
      <c r="ETQ11"/>
      <c r="ETU11"/>
      <c r="ETY11"/>
      <c r="EUC11"/>
      <c r="EUG11"/>
      <c r="EUK11"/>
      <c r="EUO11"/>
      <c r="EUS11"/>
      <c r="EUW11"/>
      <c r="EVA11"/>
      <c r="EVE11"/>
      <c r="EVI11"/>
      <c r="EVM11"/>
      <c r="EVQ11"/>
      <c r="EVU11"/>
      <c r="EVY11"/>
      <c r="EWC11"/>
      <c r="EWG11"/>
      <c r="EWK11"/>
      <c r="EWO11"/>
      <c r="EWS11"/>
      <c r="EWW11"/>
      <c r="EXA11"/>
      <c r="EXE11"/>
      <c r="EXI11"/>
      <c r="EXM11"/>
      <c r="EXQ11"/>
      <c r="EXU11"/>
      <c r="EXY11"/>
      <c r="EYC11"/>
      <c r="EYG11"/>
      <c r="EYK11"/>
      <c r="EYO11"/>
      <c r="EYS11"/>
      <c r="EYW11"/>
      <c r="EZA11"/>
      <c r="EZE11"/>
      <c r="EZI11"/>
      <c r="EZM11"/>
      <c r="EZQ11"/>
      <c r="EZU11"/>
      <c r="EZY11"/>
      <c r="FAC11"/>
      <c r="FAG11"/>
      <c r="FAK11"/>
      <c r="FAO11"/>
      <c r="FAS11"/>
      <c r="FAW11"/>
      <c r="FBA11"/>
      <c r="FBE11"/>
      <c r="FBI11"/>
      <c r="FBM11"/>
      <c r="FBQ11"/>
      <c r="FBU11"/>
      <c r="FBY11"/>
      <c r="FCC11"/>
      <c r="FCG11"/>
      <c r="FCK11"/>
      <c r="FCO11"/>
      <c r="FCS11"/>
      <c r="FCW11"/>
      <c r="FDA11"/>
      <c r="FDE11"/>
      <c r="FDI11"/>
      <c r="FDM11"/>
      <c r="FDQ11"/>
      <c r="FDU11"/>
      <c r="FDY11"/>
      <c r="FEC11"/>
      <c r="FEG11"/>
      <c r="FEK11"/>
      <c r="FEO11"/>
      <c r="FES11"/>
      <c r="FEW11"/>
      <c r="FFA11"/>
      <c r="FFE11"/>
      <c r="FFI11"/>
      <c r="FFM11"/>
      <c r="FFQ11"/>
      <c r="FFU11"/>
      <c r="FFY11"/>
      <c r="FGC11"/>
      <c r="FGG11"/>
      <c r="FGK11"/>
      <c r="FGO11"/>
      <c r="FGS11"/>
      <c r="FGW11"/>
      <c r="FHA11"/>
      <c r="FHE11"/>
      <c r="FHI11"/>
      <c r="FHM11"/>
      <c r="FHQ11"/>
      <c r="FHU11"/>
      <c r="FHY11"/>
      <c r="FIC11"/>
      <c r="FIG11"/>
      <c r="FIK11"/>
      <c r="FIO11"/>
      <c r="FIS11"/>
      <c r="FIW11"/>
      <c r="FJA11"/>
      <c r="FJE11"/>
      <c r="FJI11"/>
      <c r="FJM11"/>
      <c r="FJQ11"/>
      <c r="FJU11"/>
      <c r="FJY11"/>
      <c r="FKC11"/>
      <c r="FKG11"/>
      <c r="FKK11"/>
      <c r="FKO11"/>
      <c r="FKS11"/>
      <c r="FKW11"/>
      <c r="FLA11"/>
      <c r="FLE11"/>
      <c r="FLI11"/>
      <c r="FLM11"/>
      <c r="FLQ11"/>
      <c r="FLU11"/>
      <c r="FLY11"/>
      <c r="FMC11"/>
      <c r="FMG11"/>
      <c r="FMK11"/>
      <c r="FMO11"/>
      <c r="FMS11"/>
      <c r="FMW11"/>
      <c r="FNA11"/>
      <c r="FNE11"/>
      <c r="FNI11"/>
      <c r="FNM11"/>
      <c r="FNQ11"/>
      <c r="FNU11"/>
      <c r="FNY11"/>
      <c r="FOC11"/>
      <c r="FOG11"/>
      <c r="FOK11"/>
      <c r="FOO11"/>
      <c r="FOS11"/>
      <c r="FOW11"/>
      <c r="FPA11"/>
      <c r="FPE11"/>
      <c r="FPI11"/>
      <c r="FPM11"/>
      <c r="FPQ11"/>
      <c r="FPU11"/>
      <c r="FPY11"/>
      <c r="FQC11"/>
      <c r="FQG11"/>
      <c r="FQK11"/>
      <c r="FQO11"/>
      <c r="FQS11"/>
      <c r="FQW11"/>
      <c r="FRA11"/>
      <c r="FRE11"/>
      <c r="FRI11"/>
      <c r="FRM11"/>
      <c r="FRQ11"/>
      <c r="FRU11"/>
      <c r="FRY11"/>
      <c r="FSC11"/>
      <c r="FSG11"/>
      <c r="FSK11"/>
      <c r="FSO11"/>
      <c r="FSS11"/>
      <c r="FSW11"/>
      <c r="FTA11"/>
      <c r="FTE11"/>
      <c r="FTI11"/>
      <c r="FTM11"/>
      <c r="FTQ11"/>
      <c r="FTU11"/>
      <c r="FTY11"/>
      <c r="FUC11"/>
      <c r="FUG11"/>
      <c r="FUK11"/>
      <c r="FUO11"/>
      <c r="FUS11"/>
      <c r="FUW11"/>
      <c r="FVA11"/>
      <c r="FVE11"/>
      <c r="FVI11"/>
      <c r="FVM11"/>
      <c r="FVQ11"/>
      <c r="FVU11"/>
      <c r="FVY11"/>
      <c r="FWC11"/>
      <c r="FWG11"/>
      <c r="FWK11"/>
      <c r="FWO11"/>
      <c r="FWS11"/>
      <c r="FWW11"/>
      <c r="FXA11"/>
      <c r="FXE11"/>
      <c r="FXI11"/>
      <c r="FXM11"/>
      <c r="FXQ11"/>
      <c r="FXU11"/>
      <c r="FXY11"/>
      <c r="FYC11"/>
      <c r="FYG11"/>
      <c r="FYK11"/>
      <c r="FYO11"/>
      <c r="FYS11"/>
      <c r="FYW11"/>
      <c r="FZA11"/>
      <c r="FZE11"/>
      <c r="FZI11"/>
      <c r="FZM11"/>
      <c r="FZQ11"/>
      <c r="FZU11"/>
      <c r="FZY11"/>
      <c r="GAC11"/>
      <c r="GAG11"/>
      <c r="GAK11"/>
      <c r="GAO11"/>
      <c r="GAS11"/>
      <c r="GAW11"/>
      <c r="GBA11"/>
      <c r="GBE11"/>
      <c r="GBI11"/>
      <c r="GBM11"/>
      <c r="GBQ11"/>
      <c r="GBU11"/>
      <c r="GBY11"/>
      <c r="GCC11"/>
      <c r="GCG11"/>
      <c r="GCK11"/>
      <c r="GCO11"/>
      <c r="GCS11"/>
      <c r="GCW11"/>
      <c r="GDA11"/>
      <c r="GDE11"/>
      <c r="GDI11"/>
      <c r="GDM11"/>
      <c r="GDQ11"/>
      <c r="GDU11"/>
      <c r="GDY11"/>
      <c r="GEC11"/>
      <c r="GEG11"/>
      <c r="GEK11"/>
      <c r="GEO11"/>
      <c r="GES11"/>
      <c r="GEW11"/>
      <c r="GFA11"/>
      <c r="GFE11"/>
      <c r="GFI11"/>
      <c r="GFM11"/>
      <c r="GFQ11"/>
      <c r="GFU11"/>
      <c r="GFY11"/>
      <c r="GGC11"/>
      <c r="GGG11"/>
      <c r="GGK11"/>
      <c r="GGO11"/>
      <c r="GGS11"/>
      <c r="GGW11"/>
      <c r="GHA11"/>
      <c r="GHE11"/>
      <c r="GHI11"/>
      <c r="GHM11"/>
      <c r="GHQ11"/>
      <c r="GHU11"/>
      <c r="GHY11"/>
      <c r="GIC11"/>
      <c r="GIG11"/>
      <c r="GIK11"/>
      <c r="GIO11"/>
      <c r="GIS11"/>
      <c r="GIW11"/>
      <c r="GJA11"/>
      <c r="GJE11"/>
      <c r="GJI11"/>
      <c r="GJM11"/>
      <c r="GJQ11"/>
      <c r="GJU11"/>
      <c r="GJY11"/>
      <c r="GKC11"/>
      <c r="GKG11"/>
      <c r="GKK11"/>
      <c r="GKO11"/>
      <c r="GKS11"/>
      <c r="GKW11"/>
      <c r="GLA11"/>
      <c r="GLE11"/>
      <c r="GLI11"/>
      <c r="GLM11"/>
      <c r="GLQ11"/>
      <c r="GLU11"/>
      <c r="GLY11"/>
      <c r="GMC11"/>
      <c r="GMG11"/>
      <c r="GMK11"/>
      <c r="GMO11"/>
      <c r="GMS11"/>
      <c r="GMW11"/>
      <c r="GNA11"/>
      <c r="GNE11"/>
      <c r="GNI11"/>
      <c r="GNM11"/>
      <c r="GNQ11"/>
      <c r="GNU11"/>
      <c r="GNY11"/>
      <c r="GOC11"/>
      <c r="GOG11"/>
      <c r="GOK11"/>
      <c r="GOO11"/>
      <c r="GOS11"/>
      <c r="GOW11"/>
      <c r="GPA11"/>
      <c r="GPE11"/>
      <c r="GPI11"/>
      <c r="GPM11"/>
      <c r="GPQ11"/>
      <c r="GPU11"/>
      <c r="GPY11"/>
      <c r="GQC11"/>
      <c r="GQG11"/>
      <c r="GQK11"/>
      <c r="GQO11"/>
      <c r="GQS11"/>
      <c r="GQW11"/>
      <c r="GRA11"/>
      <c r="GRE11"/>
      <c r="GRI11"/>
      <c r="GRM11"/>
      <c r="GRQ11"/>
      <c r="GRU11"/>
      <c r="GRY11"/>
      <c r="GSC11"/>
      <c r="GSG11"/>
      <c r="GSK11"/>
      <c r="GSO11"/>
      <c r="GSS11"/>
      <c r="GSW11"/>
      <c r="GTA11"/>
      <c r="GTE11"/>
      <c r="GTI11"/>
      <c r="GTM11"/>
      <c r="GTQ11"/>
      <c r="GTU11"/>
      <c r="GTY11"/>
      <c r="GUC11"/>
      <c r="GUG11"/>
      <c r="GUK11"/>
      <c r="GUO11"/>
      <c r="GUS11"/>
      <c r="GUW11"/>
      <c r="GVA11"/>
      <c r="GVE11"/>
      <c r="GVI11"/>
      <c r="GVM11"/>
      <c r="GVQ11"/>
      <c r="GVU11"/>
      <c r="GVY11"/>
      <c r="GWC11"/>
      <c r="GWG11"/>
      <c r="GWK11"/>
      <c r="GWO11"/>
      <c r="GWS11"/>
      <c r="GWW11"/>
      <c r="GXA11"/>
      <c r="GXE11"/>
      <c r="GXI11"/>
      <c r="GXM11"/>
      <c r="GXQ11"/>
      <c r="GXU11"/>
      <c r="GXY11"/>
      <c r="GYC11"/>
      <c r="GYG11"/>
      <c r="GYK11"/>
      <c r="GYO11"/>
      <c r="GYS11"/>
      <c r="GYW11"/>
      <c r="GZA11"/>
      <c r="GZE11"/>
      <c r="GZI11"/>
      <c r="GZM11"/>
      <c r="GZQ11"/>
      <c r="GZU11"/>
      <c r="GZY11"/>
      <c r="HAC11"/>
      <c r="HAG11"/>
      <c r="HAK11"/>
      <c r="HAO11"/>
      <c r="HAS11"/>
      <c r="HAW11"/>
      <c r="HBA11"/>
      <c r="HBE11"/>
      <c r="HBI11"/>
      <c r="HBM11"/>
      <c r="HBQ11"/>
      <c r="HBU11"/>
      <c r="HBY11"/>
      <c r="HCC11"/>
      <c r="HCG11"/>
      <c r="HCK11"/>
      <c r="HCO11"/>
      <c r="HCS11"/>
      <c r="HCW11"/>
      <c r="HDA11"/>
      <c r="HDE11"/>
      <c r="HDI11"/>
      <c r="HDM11"/>
      <c r="HDQ11"/>
      <c r="HDU11"/>
      <c r="HDY11"/>
      <c r="HEC11"/>
      <c r="HEG11"/>
      <c r="HEK11"/>
      <c r="HEO11"/>
      <c r="HES11"/>
      <c r="HEW11"/>
      <c r="HFA11"/>
      <c r="HFE11"/>
      <c r="HFI11"/>
      <c r="HFM11"/>
      <c r="HFQ11"/>
      <c r="HFU11"/>
      <c r="HFY11"/>
      <c r="HGC11"/>
      <c r="HGG11"/>
      <c r="HGK11"/>
      <c r="HGO11"/>
      <c r="HGS11"/>
      <c r="HGW11"/>
      <c r="HHA11"/>
      <c r="HHE11"/>
      <c r="HHI11"/>
      <c r="HHM11"/>
      <c r="HHQ11"/>
      <c r="HHU11"/>
      <c r="HHY11"/>
      <c r="HIC11"/>
      <c r="HIG11"/>
      <c r="HIK11"/>
      <c r="HIO11"/>
      <c r="HIS11"/>
      <c r="HIW11"/>
      <c r="HJA11"/>
      <c r="HJE11"/>
      <c r="HJI11"/>
      <c r="HJM11"/>
      <c r="HJQ11"/>
      <c r="HJU11"/>
      <c r="HJY11"/>
      <c r="HKC11"/>
      <c r="HKG11"/>
      <c r="HKK11"/>
      <c r="HKO11"/>
      <c r="HKS11"/>
      <c r="HKW11"/>
      <c r="HLA11"/>
      <c r="HLE11"/>
      <c r="HLI11"/>
      <c r="HLM11"/>
      <c r="HLQ11"/>
      <c r="HLU11"/>
      <c r="HLY11"/>
      <c r="HMC11"/>
      <c r="HMG11"/>
      <c r="HMK11"/>
      <c r="HMO11"/>
      <c r="HMS11"/>
      <c r="HMW11"/>
      <c r="HNA11"/>
      <c r="HNE11"/>
      <c r="HNI11"/>
      <c r="HNM11"/>
      <c r="HNQ11"/>
      <c r="HNU11"/>
      <c r="HNY11"/>
      <c r="HOC11"/>
      <c r="HOG11"/>
      <c r="HOK11"/>
      <c r="HOO11"/>
      <c r="HOS11"/>
      <c r="HOW11"/>
      <c r="HPA11"/>
      <c r="HPE11"/>
      <c r="HPI11"/>
      <c r="HPM11"/>
      <c r="HPQ11"/>
      <c r="HPU11"/>
      <c r="HPY11"/>
      <c r="HQC11"/>
      <c r="HQG11"/>
      <c r="HQK11"/>
      <c r="HQO11"/>
      <c r="HQS11"/>
      <c r="HQW11"/>
      <c r="HRA11"/>
      <c r="HRE11"/>
      <c r="HRI11"/>
      <c r="HRM11"/>
      <c r="HRQ11"/>
      <c r="HRU11"/>
      <c r="HRY11"/>
      <c r="HSC11"/>
      <c r="HSG11"/>
      <c r="HSK11"/>
      <c r="HSO11"/>
      <c r="HSS11"/>
      <c r="HSW11"/>
      <c r="HTA11"/>
      <c r="HTE11"/>
      <c r="HTI11"/>
      <c r="HTM11"/>
      <c r="HTQ11"/>
      <c r="HTU11"/>
      <c r="HTY11"/>
      <c r="HUC11"/>
      <c r="HUG11"/>
      <c r="HUK11"/>
      <c r="HUO11"/>
      <c r="HUS11"/>
      <c r="HUW11"/>
      <c r="HVA11"/>
      <c r="HVE11"/>
      <c r="HVI11"/>
      <c r="HVM11"/>
      <c r="HVQ11"/>
      <c r="HVU11"/>
      <c r="HVY11"/>
      <c r="HWC11"/>
      <c r="HWG11"/>
      <c r="HWK11"/>
      <c r="HWO11"/>
      <c r="HWS11"/>
      <c r="HWW11"/>
      <c r="HXA11"/>
      <c r="HXE11"/>
      <c r="HXI11"/>
      <c r="HXM11"/>
      <c r="HXQ11"/>
      <c r="HXU11"/>
      <c r="HXY11"/>
      <c r="HYC11"/>
      <c r="HYG11"/>
      <c r="HYK11"/>
      <c r="HYO11"/>
      <c r="HYS11"/>
      <c r="HYW11"/>
      <c r="HZA11"/>
      <c r="HZE11"/>
      <c r="HZI11"/>
      <c r="HZM11"/>
      <c r="HZQ11"/>
      <c r="HZU11"/>
      <c r="HZY11"/>
      <c r="IAC11"/>
      <c r="IAG11"/>
      <c r="IAK11"/>
      <c r="IAO11"/>
      <c r="IAS11"/>
      <c r="IAW11"/>
      <c r="IBA11"/>
      <c r="IBE11"/>
      <c r="IBI11"/>
      <c r="IBM11"/>
      <c r="IBQ11"/>
      <c r="IBU11"/>
      <c r="IBY11"/>
      <c r="ICC11"/>
      <c r="ICG11"/>
      <c r="ICK11"/>
      <c r="ICO11"/>
      <c r="ICS11"/>
      <c r="ICW11"/>
      <c r="IDA11"/>
      <c r="IDE11"/>
      <c r="IDI11"/>
      <c r="IDM11"/>
      <c r="IDQ11"/>
      <c r="IDU11"/>
      <c r="IDY11"/>
      <c r="IEC11"/>
      <c r="IEG11"/>
      <c r="IEK11"/>
      <c r="IEO11"/>
      <c r="IES11"/>
      <c r="IEW11"/>
      <c r="IFA11"/>
      <c r="IFE11"/>
      <c r="IFI11"/>
      <c r="IFM11"/>
      <c r="IFQ11"/>
      <c r="IFU11"/>
      <c r="IFY11"/>
      <c r="IGC11"/>
      <c r="IGG11"/>
      <c r="IGK11"/>
      <c r="IGO11"/>
      <c r="IGS11"/>
      <c r="IGW11"/>
      <c r="IHA11"/>
      <c r="IHE11"/>
      <c r="IHI11"/>
      <c r="IHM11"/>
      <c r="IHQ11"/>
      <c r="IHU11"/>
      <c r="IHY11"/>
      <c r="IIC11"/>
      <c r="IIG11"/>
      <c r="IIK11"/>
      <c r="IIO11"/>
      <c r="IIS11"/>
      <c r="IIW11"/>
      <c r="IJA11"/>
      <c r="IJE11"/>
      <c r="IJI11"/>
      <c r="IJM11"/>
      <c r="IJQ11"/>
      <c r="IJU11"/>
      <c r="IJY11"/>
      <c r="IKC11"/>
      <c r="IKG11"/>
      <c r="IKK11"/>
      <c r="IKO11"/>
      <c r="IKS11"/>
      <c r="IKW11"/>
      <c r="ILA11"/>
      <c r="ILE11"/>
      <c r="ILI11"/>
      <c r="ILM11"/>
      <c r="ILQ11"/>
      <c r="ILU11"/>
      <c r="ILY11"/>
      <c r="IMC11"/>
      <c r="IMG11"/>
      <c r="IMK11"/>
      <c r="IMO11"/>
      <c r="IMS11"/>
      <c r="IMW11"/>
      <c r="INA11"/>
      <c r="INE11"/>
      <c r="INI11"/>
      <c r="INM11"/>
      <c r="INQ11"/>
      <c r="INU11"/>
      <c r="INY11"/>
      <c r="IOC11"/>
      <c r="IOG11"/>
      <c r="IOK11"/>
      <c r="IOO11"/>
      <c r="IOS11"/>
      <c r="IOW11"/>
      <c r="IPA11"/>
      <c r="IPE11"/>
      <c r="IPI11"/>
      <c r="IPM11"/>
      <c r="IPQ11"/>
      <c r="IPU11"/>
      <c r="IPY11"/>
      <c r="IQC11"/>
      <c r="IQG11"/>
      <c r="IQK11"/>
      <c r="IQO11"/>
      <c r="IQS11"/>
      <c r="IQW11"/>
      <c r="IRA11"/>
      <c r="IRE11"/>
      <c r="IRI11"/>
      <c r="IRM11"/>
      <c r="IRQ11"/>
      <c r="IRU11"/>
      <c r="IRY11"/>
      <c r="ISC11"/>
      <c r="ISG11"/>
      <c r="ISK11"/>
      <c r="ISO11"/>
      <c r="ISS11"/>
      <c r="ISW11"/>
      <c r="ITA11"/>
      <c r="ITE11"/>
      <c r="ITI11"/>
      <c r="ITM11"/>
      <c r="ITQ11"/>
      <c r="ITU11"/>
      <c r="ITY11"/>
      <c r="IUC11"/>
      <c r="IUG11"/>
      <c r="IUK11"/>
      <c r="IUO11"/>
      <c r="IUS11"/>
      <c r="IUW11"/>
      <c r="IVA11"/>
      <c r="IVE11"/>
      <c r="IVI11"/>
      <c r="IVM11"/>
      <c r="IVQ11"/>
      <c r="IVU11"/>
      <c r="IVY11"/>
      <c r="IWC11"/>
      <c r="IWG11"/>
      <c r="IWK11"/>
      <c r="IWO11"/>
      <c r="IWS11"/>
      <c r="IWW11"/>
      <c r="IXA11"/>
      <c r="IXE11"/>
      <c r="IXI11"/>
      <c r="IXM11"/>
      <c r="IXQ11"/>
      <c r="IXU11"/>
      <c r="IXY11"/>
      <c r="IYC11"/>
      <c r="IYG11"/>
      <c r="IYK11"/>
      <c r="IYO11"/>
      <c r="IYS11"/>
      <c r="IYW11"/>
      <c r="IZA11"/>
      <c r="IZE11"/>
      <c r="IZI11"/>
      <c r="IZM11"/>
      <c r="IZQ11"/>
      <c r="IZU11"/>
      <c r="IZY11"/>
      <c r="JAC11"/>
      <c r="JAG11"/>
      <c r="JAK11"/>
      <c r="JAO11"/>
      <c r="JAS11"/>
      <c r="JAW11"/>
      <c r="JBA11"/>
      <c r="JBE11"/>
      <c r="JBI11"/>
      <c r="JBM11"/>
      <c r="JBQ11"/>
      <c r="JBU11"/>
      <c r="JBY11"/>
      <c r="JCC11"/>
      <c r="JCG11"/>
      <c r="JCK11"/>
      <c r="JCO11"/>
      <c r="JCS11"/>
      <c r="JCW11"/>
      <c r="JDA11"/>
      <c r="JDE11"/>
      <c r="JDI11"/>
      <c r="JDM11"/>
      <c r="JDQ11"/>
      <c r="JDU11"/>
      <c r="JDY11"/>
      <c r="JEC11"/>
      <c r="JEG11"/>
      <c r="JEK11"/>
      <c r="JEO11"/>
      <c r="JES11"/>
      <c r="JEW11"/>
      <c r="JFA11"/>
      <c r="JFE11"/>
      <c r="JFI11"/>
      <c r="JFM11"/>
      <c r="JFQ11"/>
      <c r="JFU11"/>
      <c r="JFY11"/>
      <c r="JGC11"/>
      <c r="JGG11"/>
      <c r="JGK11"/>
      <c r="JGO11"/>
      <c r="JGS11"/>
      <c r="JGW11"/>
      <c r="JHA11"/>
      <c r="JHE11"/>
      <c r="JHI11"/>
      <c r="JHM11"/>
      <c r="JHQ11"/>
      <c r="JHU11"/>
      <c r="JHY11"/>
      <c r="JIC11"/>
      <c r="JIG11"/>
      <c r="JIK11"/>
      <c r="JIO11"/>
      <c r="JIS11"/>
      <c r="JIW11"/>
      <c r="JJA11"/>
      <c r="JJE11"/>
      <c r="JJI11"/>
      <c r="JJM11"/>
      <c r="JJQ11"/>
      <c r="JJU11"/>
      <c r="JJY11"/>
      <c r="JKC11"/>
      <c r="JKG11"/>
      <c r="JKK11"/>
      <c r="JKO11"/>
      <c r="JKS11"/>
      <c r="JKW11"/>
      <c r="JLA11"/>
      <c r="JLE11"/>
      <c r="JLI11"/>
      <c r="JLM11"/>
      <c r="JLQ11"/>
      <c r="JLU11"/>
      <c r="JLY11"/>
      <c r="JMC11"/>
      <c r="JMG11"/>
      <c r="JMK11"/>
      <c r="JMO11"/>
      <c r="JMS11"/>
      <c r="JMW11"/>
      <c r="JNA11"/>
      <c r="JNE11"/>
      <c r="JNI11"/>
      <c r="JNM11"/>
      <c r="JNQ11"/>
      <c r="JNU11"/>
      <c r="JNY11"/>
      <c r="JOC11"/>
      <c r="JOG11"/>
      <c r="JOK11"/>
      <c r="JOO11"/>
      <c r="JOS11"/>
      <c r="JOW11"/>
      <c r="JPA11"/>
      <c r="JPE11"/>
      <c r="JPI11"/>
      <c r="JPM11"/>
      <c r="JPQ11"/>
      <c r="JPU11"/>
      <c r="JPY11"/>
      <c r="JQC11"/>
      <c r="JQG11"/>
      <c r="JQK11"/>
      <c r="JQO11"/>
      <c r="JQS11"/>
      <c r="JQW11"/>
      <c r="JRA11"/>
      <c r="JRE11"/>
      <c r="JRI11"/>
      <c r="JRM11"/>
      <c r="JRQ11"/>
      <c r="JRU11"/>
      <c r="JRY11"/>
      <c r="JSC11"/>
      <c r="JSG11"/>
      <c r="JSK11"/>
      <c r="JSO11"/>
      <c r="JSS11"/>
      <c r="JSW11"/>
      <c r="JTA11"/>
      <c r="JTE11"/>
      <c r="JTI11"/>
      <c r="JTM11"/>
      <c r="JTQ11"/>
      <c r="JTU11"/>
      <c r="JTY11"/>
      <c r="JUC11"/>
      <c r="JUG11"/>
      <c r="JUK11"/>
      <c r="JUO11"/>
      <c r="JUS11"/>
      <c r="JUW11"/>
      <c r="JVA11"/>
      <c r="JVE11"/>
      <c r="JVI11"/>
      <c r="JVM11"/>
      <c r="JVQ11"/>
      <c r="JVU11"/>
      <c r="JVY11"/>
      <c r="JWC11"/>
      <c r="JWG11"/>
      <c r="JWK11"/>
      <c r="JWO11"/>
      <c r="JWS11"/>
      <c r="JWW11"/>
      <c r="JXA11"/>
      <c r="JXE11"/>
      <c r="JXI11"/>
      <c r="JXM11"/>
      <c r="JXQ11"/>
      <c r="JXU11"/>
      <c r="JXY11"/>
      <c r="JYC11"/>
      <c r="JYG11"/>
      <c r="JYK11"/>
      <c r="JYO11"/>
      <c r="JYS11"/>
      <c r="JYW11"/>
      <c r="JZA11"/>
      <c r="JZE11"/>
      <c r="JZI11"/>
      <c r="JZM11"/>
      <c r="JZQ11"/>
      <c r="JZU11"/>
      <c r="JZY11"/>
      <c r="KAC11"/>
      <c r="KAG11"/>
      <c r="KAK11"/>
      <c r="KAO11"/>
      <c r="KAS11"/>
      <c r="KAW11"/>
      <c r="KBA11"/>
      <c r="KBE11"/>
      <c r="KBI11"/>
      <c r="KBM11"/>
      <c r="KBQ11"/>
      <c r="KBU11"/>
      <c r="KBY11"/>
      <c r="KCC11"/>
      <c r="KCG11"/>
      <c r="KCK11"/>
      <c r="KCO11"/>
      <c r="KCS11"/>
      <c r="KCW11"/>
      <c r="KDA11"/>
      <c r="KDE11"/>
      <c r="KDI11"/>
      <c r="KDM11"/>
      <c r="KDQ11"/>
      <c r="KDU11"/>
      <c r="KDY11"/>
      <c r="KEC11"/>
      <c r="KEG11"/>
      <c r="KEK11"/>
      <c r="KEO11"/>
      <c r="KES11"/>
      <c r="KEW11"/>
      <c r="KFA11"/>
      <c r="KFE11"/>
      <c r="KFI11"/>
      <c r="KFM11"/>
      <c r="KFQ11"/>
      <c r="KFU11"/>
      <c r="KFY11"/>
      <c r="KGC11"/>
      <c r="KGG11"/>
      <c r="KGK11"/>
      <c r="KGO11"/>
      <c r="KGS11"/>
      <c r="KGW11"/>
      <c r="KHA11"/>
      <c r="KHE11"/>
      <c r="KHI11"/>
      <c r="KHM11"/>
      <c r="KHQ11"/>
      <c r="KHU11"/>
      <c r="KHY11"/>
      <c r="KIC11"/>
      <c r="KIG11"/>
      <c r="KIK11"/>
      <c r="KIO11"/>
      <c r="KIS11"/>
      <c r="KIW11"/>
      <c r="KJA11"/>
      <c r="KJE11"/>
      <c r="KJI11"/>
      <c r="KJM11"/>
      <c r="KJQ11"/>
      <c r="KJU11"/>
      <c r="KJY11"/>
      <c r="KKC11"/>
      <c r="KKG11"/>
      <c r="KKK11"/>
      <c r="KKO11"/>
      <c r="KKS11"/>
      <c r="KKW11"/>
      <c r="KLA11"/>
      <c r="KLE11"/>
      <c r="KLI11"/>
      <c r="KLM11"/>
      <c r="KLQ11"/>
      <c r="KLU11"/>
      <c r="KLY11"/>
      <c r="KMC11"/>
      <c r="KMG11"/>
      <c r="KMK11"/>
      <c r="KMO11"/>
      <c r="KMS11"/>
      <c r="KMW11"/>
      <c r="KNA11"/>
      <c r="KNE11"/>
      <c r="KNI11"/>
      <c r="KNM11"/>
      <c r="KNQ11"/>
      <c r="KNU11"/>
      <c r="KNY11"/>
      <c r="KOC11"/>
      <c r="KOG11"/>
      <c r="KOK11"/>
      <c r="KOO11"/>
      <c r="KOS11"/>
      <c r="KOW11"/>
      <c r="KPA11"/>
      <c r="KPE11"/>
      <c r="KPI11"/>
      <c r="KPM11"/>
      <c r="KPQ11"/>
      <c r="KPU11"/>
      <c r="KPY11"/>
      <c r="KQC11"/>
      <c r="KQG11"/>
      <c r="KQK11"/>
      <c r="KQO11"/>
      <c r="KQS11"/>
      <c r="KQW11"/>
      <c r="KRA11"/>
      <c r="KRE11"/>
      <c r="KRI11"/>
      <c r="KRM11"/>
      <c r="KRQ11"/>
      <c r="KRU11"/>
      <c r="KRY11"/>
      <c r="KSC11"/>
      <c r="KSG11"/>
      <c r="KSK11"/>
      <c r="KSO11"/>
      <c r="KSS11"/>
      <c r="KSW11"/>
      <c r="KTA11"/>
      <c r="KTE11"/>
      <c r="KTI11"/>
      <c r="KTM11"/>
      <c r="KTQ11"/>
      <c r="KTU11"/>
      <c r="KTY11"/>
      <c r="KUC11"/>
      <c r="KUG11"/>
      <c r="KUK11"/>
      <c r="KUO11"/>
      <c r="KUS11"/>
      <c r="KUW11"/>
      <c r="KVA11"/>
      <c r="KVE11"/>
      <c r="KVI11"/>
      <c r="KVM11"/>
      <c r="KVQ11"/>
      <c r="KVU11"/>
      <c r="KVY11"/>
      <c r="KWC11"/>
      <c r="KWG11"/>
      <c r="KWK11"/>
      <c r="KWO11"/>
      <c r="KWS11"/>
      <c r="KWW11"/>
      <c r="KXA11"/>
      <c r="KXE11"/>
      <c r="KXI11"/>
      <c r="KXM11"/>
      <c r="KXQ11"/>
      <c r="KXU11"/>
      <c r="KXY11"/>
      <c r="KYC11"/>
      <c r="KYG11"/>
      <c r="KYK11"/>
      <c r="KYO11"/>
      <c r="KYS11"/>
      <c r="KYW11"/>
      <c r="KZA11"/>
      <c r="KZE11"/>
      <c r="KZI11"/>
      <c r="KZM11"/>
      <c r="KZQ11"/>
      <c r="KZU11"/>
      <c r="KZY11"/>
      <c r="LAC11"/>
      <c r="LAG11"/>
      <c r="LAK11"/>
      <c r="LAO11"/>
      <c r="LAS11"/>
      <c r="LAW11"/>
      <c r="LBA11"/>
      <c r="LBE11"/>
      <c r="LBI11"/>
      <c r="LBM11"/>
      <c r="LBQ11"/>
      <c r="LBU11"/>
      <c r="LBY11"/>
      <c r="LCC11"/>
      <c r="LCG11"/>
      <c r="LCK11"/>
      <c r="LCO11"/>
      <c r="LCS11"/>
      <c r="LCW11"/>
      <c r="LDA11"/>
      <c r="LDE11"/>
      <c r="LDI11"/>
      <c r="LDM11"/>
      <c r="LDQ11"/>
      <c r="LDU11"/>
      <c r="LDY11"/>
      <c r="LEC11"/>
      <c r="LEG11"/>
      <c r="LEK11"/>
      <c r="LEO11"/>
      <c r="LES11"/>
      <c r="LEW11"/>
      <c r="LFA11"/>
      <c r="LFE11"/>
      <c r="LFI11"/>
      <c r="LFM11"/>
      <c r="LFQ11"/>
      <c r="LFU11"/>
      <c r="LFY11"/>
      <c r="LGC11"/>
      <c r="LGG11"/>
      <c r="LGK11"/>
      <c r="LGO11"/>
      <c r="LGS11"/>
      <c r="LGW11"/>
      <c r="LHA11"/>
      <c r="LHE11"/>
      <c r="LHI11"/>
      <c r="LHM11"/>
      <c r="LHQ11"/>
      <c r="LHU11"/>
      <c r="LHY11"/>
      <c r="LIC11"/>
      <c r="LIG11"/>
      <c r="LIK11"/>
      <c r="LIO11"/>
      <c r="LIS11"/>
      <c r="LIW11"/>
      <c r="LJA11"/>
      <c r="LJE11"/>
      <c r="LJI11"/>
      <c r="LJM11"/>
      <c r="LJQ11"/>
      <c r="LJU11"/>
      <c r="LJY11"/>
      <c r="LKC11"/>
      <c r="LKG11"/>
      <c r="LKK11"/>
      <c r="LKO11"/>
      <c r="LKS11"/>
      <c r="LKW11"/>
      <c r="LLA11"/>
      <c r="LLE11"/>
      <c r="LLI11"/>
      <c r="LLM11"/>
      <c r="LLQ11"/>
      <c r="LLU11"/>
      <c r="LLY11"/>
      <c r="LMC11"/>
      <c r="LMG11"/>
      <c r="LMK11"/>
      <c r="LMO11"/>
      <c r="LMS11"/>
      <c r="LMW11"/>
      <c r="LNA11"/>
      <c r="LNE11"/>
      <c r="LNI11"/>
      <c r="LNM11"/>
      <c r="LNQ11"/>
      <c r="LNU11"/>
      <c r="LNY11"/>
      <c r="LOC11"/>
      <c r="LOG11"/>
      <c r="LOK11"/>
      <c r="LOO11"/>
      <c r="LOS11"/>
      <c r="LOW11"/>
      <c r="LPA11"/>
      <c r="LPE11"/>
      <c r="LPI11"/>
      <c r="LPM11"/>
      <c r="LPQ11"/>
      <c r="LPU11"/>
      <c r="LPY11"/>
      <c r="LQC11"/>
      <c r="LQG11"/>
      <c r="LQK11"/>
      <c r="LQO11"/>
      <c r="LQS11"/>
      <c r="LQW11"/>
      <c r="LRA11"/>
      <c r="LRE11"/>
      <c r="LRI11"/>
      <c r="LRM11"/>
      <c r="LRQ11"/>
      <c r="LRU11"/>
      <c r="LRY11"/>
      <c r="LSC11"/>
      <c r="LSG11"/>
      <c r="LSK11"/>
      <c r="LSO11"/>
      <c r="LSS11"/>
      <c r="LSW11"/>
      <c r="LTA11"/>
      <c r="LTE11"/>
      <c r="LTI11"/>
      <c r="LTM11"/>
      <c r="LTQ11"/>
      <c r="LTU11"/>
      <c r="LTY11"/>
      <c r="LUC11"/>
      <c r="LUG11"/>
      <c r="LUK11"/>
      <c r="LUO11"/>
      <c r="LUS11"/>
      <c r="LUW11"/>
      <c r="LVA11"/>
      <c r="LVE11"/>
      <c r="LVI11"/>
      <c r="LVM11"/>
      <c r="LVQ11"/>
      <c r="LVU11"/>
      <c r="LVY11"/>
      <c r="LWC11"/>
      <c r="LWG11"/>
      <c r="LWK11"/>
      <c r="LWO11"/>
      <c r="LWS11"/>
      <c r="LWW11"/>
      <c r="LXA11"/>
      <c r="LXE11"/>
      <c r="LXI11"/>
      <c r="LXM11"/>
      <c r="LXQ11"/>
      <c r="LXU11"/>
      <c r="LXY11"/>
      <c r="LYC11"/>
      <c r="LYG11"/>
      <c r="LYK11"/>
      <c r="LYO11"/>
      <c r="LYS11"/>
      <c r="LYW11"/>
      <c r="LZA11"/>
      <c r="LZE11"/>
      <c r="LZI11"/>
      <c r="LZM11"/>
      <c r="LZQ11"/>
      <c r="LZU11"/>
      <c r="LZY11"/>
      <c r="MAC11"/>
      <c r="MAG11"/>
      <c r="MAK11"/>
      <c r="MAO11"/>
      <c r="MAS11"/>
      <c r="MAW11"/>
      <c r="MBA11"/>
      <c r="MBE11"/>
      <c r="MBI11"/>
      <c r="MBM11"/>
      <c r="MBQ11"/>
      <c r="MBU11"/>
      <c r="MBY11"/>
      <c r="MCC11"/>
      <c r="MCG11"/>
      <c r="MCK11"/>
      <c r="MCO11"/>
      <c r="MCS11"/>
      <c r="MCW11"/>
      <c r="MDA11"/>
      <c r="MDE11"/>
      <c r="MDI11"/>
      <c r="MDM11"/>
      <c r="MDQ11"/>
      <c r="MDU11"/>
      <c r="MDY11"/>
      <c r="MEC11"/>
      <c r="MEG11"/>
      <c r="MEK11"/>
      <c r="MEO11"/>
      <c r="MES11"/>
      <c r="MEW11"/>
      <c r="MFA11"/>
      <c r="MFE11"/>
      <c r="MFI11"/>
      <c r="MFM11"/>
      <c r="MFQ11"/>
      <c r="MFU11"/>
      <c r="MFY11"/>
      <c r="MGC11"/>
      <c r="MGG11"/>
      <c r="MGK11"/>
      <c r="MGO11"/>
      <c r="MGS11"/>
      <c r="MGW11"/>
      <c r="MHA11"/>
      <c r="MHE11"/>
      <c r="MHI11"/>
      <c r="MHM11"/>
      <c r="MHQ11"/>
      <c r="MHU11"/>
      <c r="MHY11"/>
      <c r="MIC11"/>
      <c r="MIG11"/>
      <c r="MIK11"/>
      <c r="MIO11"/>
      <c r="MIS11"/>
      <c r="MIW11"/>
      <c r="MJA11"/>
      <c r="MJE11"/>
      <c r="MJI11"/>
      <c r="MJM11"/>
      <c r="MJQ11"/>
      <c r="MJU11"/>
      <c r="MJY11"/>
      <c r="MKC11"/>
      <c r="MKG11"/>
      <c r="MKK11"/>
      <c r="MKO11"/>
      <c r="MKS11"/>
      <c r="MKW11"/>
      <c r="MLA11"/>
      <c r="MLE11"/>
      <c r="MLI11"/>
      <c r="MLM11"/>
      <c r="MLQ11"/>
      <c r="MLU11"/>
      <c r="MLY11"/>
      <c r="MMC11"/>
      <c r="MMG11"/>
      <c r="MMK11"/>
      <c r="MMO11"/>
      <c r="MMS11"/>
      <c r="MMW11"/>
      <c r="MNA11"/>
      <c r="MNE11"/>
      <c r="MNI11"/>
      <c r="MNM11"/>
      <c r="MNQ11"/>
      <c r="MNU11"/>
      <c r="MNY11"/>
      <c r="MOC11"/>
      <c r="MOG11"/>
      <c r="MOK11"/>
      <c r="MOO11"/>
      <c r="MOS11"/>
      <c r="MOW11"/>
      <c r="MPA11"/>
      <c r="MPE11"/>
      <c r="MPI11"/>
      <c r="MPM11"/>
      <c r="MPQ11"/>
      <c r="MPU11"/>
      <c r="MPY11"/>
      <c r="MQC11"/>
      <c r="MQG11"/>
      <c r="MQK11"/>
      <c r="MQO11"/>
      <c r="MQS11"/>
      <c r="MQW11"/>
      <c r="MRA11"/>
      <c r="MRE11"/>
      <c r="MRI11"/>
      <c r="MRM11"/>
      <c r="MRQ11"/>
      <c r="MRU11"/>
      <c r="MRY11"/>
      <c r="MSC11"/>
      <c r="MSG11"/>
      <c r="MSK11"/>
      <c r="MSO11"/>
      <c r="MSS11"/>
      <c r="MSW11"/>
      <c r="MTA11"/>
      <c r="MTE11"/>
      <c r="MTI11"/>
      <c r="MTM11"/>
      <c r="MTQ11"/>
      <c r="MTU11"/>
      <c r="MTY11"/>
      <c r="MUC11"/>
      <c r="MUG11"/>
      <c r="MUK11"/>
      <c r="MUO11"/>
      <c r="MUS11"/>
      <c r="MUW11"/>
      <c r="MVA11"/>
      <c r="MVE11"/>
      <c r="MVI11"/>
      <c r="MVM11"/>
      <c r="MVQ11"/>
      <c r="MVU11"/>
      <c r="MVY11"/>
      <c r="MWC11"/>
      <c r="MWG11"/>
      <c r="MWK11"/>
      <c r="MWO11"/>
      <c r="MWS11"/>
      <c r="MWW11"/>
      <c r="MXA11"/>
      <c r="MXE11"/>
      <c r="MXI11"/>
      <c r="MXM11"/>
      <c r="MXQ11"/>
      <c r="MXU11"/>
      <c r="MXY11"/>
      <c r="MYC11"/>
      <c r="MYG11"/>
      <c r="MYK11"/>
      <c r="MYO11"/>
      <c r="MYS11"/>
      <c r="MYW11"/>
      <c r="MZA11"/>
      <c r="MZE11"/>
      <c r="MZI11"/>
      <c r="MZM11"/>
      <c r="MZQ11"/>
      <c r="MZU11"/>
      <c r="MZY11"/>
      <c r="NAC11"/>
      <c r="NAG11"/>
      <c r="NAK11"/>
      <c r="NAO11"/>
      <c r="NAS11"/>
      <c r="NAW11"/>
      <c r="NBA11"/>
      <c r="NBE11"/>
      <c r="NBI11"/>
      <c r="NBM11"/>
      <c r="NBQ11"/>
      <c r="NBU11"/>
      <c r="NBY11"/>
      <c r="NCC11"/>
      <c r="NCG11"/>
      <c r="NCK11"/>
      <c r="NCO11"/>
      <c r="NCS11"/>
      <c r="NCW11"/>
      <c r="NDA11"/>
      <c r="NDE11"/>
      <c r="NDI11"/>
      <c r="NDM11"/>
      <c r="NDQ11"/>
      <c r="NDU11"/>
      <c r="NDY11"/>
      <c r="NEC11"/>
      <c r="NEG11"/>
      <c r="NEK11"/>
      <c r="NEO11"/>
      <c r="NES11"/>
      <c r="NEW11"/>
      <c r="NFA11"/>
      <c r="NFE11"/>
      <c r="NFI11"/>
      <c r="NFM11"/>
      <c r="NFQ11"/>
      <c r="NFU11"/>
      <c r="NFY11"/>
      <c r="NGC11"/>
      <c r="NGG11"/>
      <c r="NGK11"/>
      <c r="NGO11"/>
      <c r="NGS11"/>
      <c r="NGW11"/>
      <c r="NHA11"/>
      <c r="NHE11"/>
      <c r="NHI11"/>
      <c r="NHM11"/>
      <c r="NHQ11"/>
      <c r="NHU11"/>
      <c r="NHY11"/>
      <c r="NIC11"/>
      <c r="NIG11"/>
      <c r="NIK11"/>
      <c r="NIO11"/>
      <c r="NIS11"/>
      <c r="NIW11"/>
      <c r="NJA11"/>
      <c r="NJE11"/>
      <c r="NJI11"/>
      <c r="NJM11"/>
      <c r="NJQ11"/>
      <c r="NJU11"/>
      <c r="NJY11"/>
      <c r="NKC11"/>
      <c r="NKG11"/>
      <c r="NKK11"/>
      <c r="NKO11"/>
      <c r="NKS11"/>
      <c r="NKW11"/>
      <c r="NLA11"/>
      <c r="NLE11"/>
      <c r="NLI11"/>
      <c r="NLM11"/>
      <c r="NLQ11"/>
      <c r="NLU11"/>
      <c r="NLY11"/>
      <c r="NMC11"/>
      <c r="NMG11"/>
      <c r="NMK11"/>
      <c r="NMO11"/>
      <c r="NMS11"/>
      <c r="NMW11"/>
      <c r="NNA11"/>
      <c r="NNE11"/>
      <c r="NNI11"/>
      <c r="NNM11"/>
      <c r="NNQ11"/>
      <c r="NNU11"/>
      <c r="NNY11"/>
      <c r="NOC11"/>
      <c r="NOG11"/>
      <c r="NOK11"/>
      <c r="NOO11"/>
      <c r="NOS11"/>
      <c r="NOW11"/>
      <c r="NPA11"/>
      <c r="NPE11"/>
      <c r="NPI11"/>
      <c r="NPM11"/>
      <c r="NPQ11"/>
      <c r="NPU11"/>
      <c r="NPY11"/>
      <c r="NQC11"/>
      <c r="NQG11"/>
      <c r="NQK11"/>
      <c r="NQO11"/>
      <c r="NQS11"/>
      <c r="NQW11"/>
      <c r="NRA11"/>
      <c r="NRE11"/>
      <c r="NRI11"/>
      <c r="NRM11"/>
      <c r="NRQ11"/>
      <c r="NRU11"/>
      <c r="NRY11"/>
      <c r="NSC11"/>
      <c r="NSG11"/>
      <c r="NSK11"/>
      <c r="NSO11"/>
      <c r="NSS11"/>
      <c r="NSW11"/>
      <c r="NTA11"/>
      <c r="NTE11"/>
      <c r="NTI11"/>
      <c r="NTM11"/>
      <c r="NTQ11"/>
      <c r="NTU11"/>
      <c r="NTY11"/>
      <c r="NUC11"/>
      <c r="NUG11"/>
      <c r="NUK11"/>
      <c r="NUO11"/>
      <c r="NUS11"/>
      <c r="NUW11"/>
      <c r="NVA11"/>
      <c r="NVE11"/>
      <c r="NVI11"/>
      <c r="NVM11"/>
      <c r="NVQ11"/>
      <c r="NVU11"/>
      <c r="NVY11"/>
      <c r="NWC11"/>
      <c r="NWG11"/>
      <c r="NWK11"/>
      <c r="NWO11"/>
      <c r="NWS11"/>
      <c r="NWW11"/>
      <c r="NXA11"/>
      <c r="NXE11"/>
      <c r="NXI11"/>
      <c r="NXM11"/>
      <c r="NXQ11"/>
      <c r="NXU11"/>
      <c r="NXY11"/>
      <c r="NYC11"/>
      <c r="NYG11"/>
      <c r="NYK11"/>
      <c r="NYO11"/>
      <c r="NYS11"/>
      <c r="NYW11"/>
      <c r="NZA11"/>
      <c r="NZE11"/>
      <c r="NZI11"/>
      <c r="NZM11"/>
      <c r="NZQ11"/>
      <c r="NZU11"/>
      <c r="NZY11"/>
      <c r="OAC11"/>
      <c r="OAG11"/>
      <c r="OAK11"/>
      <c r="OAO11"/>
      <c r="OAS11"/>
      <c r="OAW11"/>
      <c r="OBA11"/>
      <c r="OBE11"/>
      <c r="OBI11"/>
      <c r="OBM11"/>
      <c r="OBQ11"/>
      <c r="OBU11"/>
      <c r="OBY11"/>
      <c r="OCC11"/>
      <c r="OCG11"/>
      <c r="OCK11"/>
      <c r="OCO11"/>
      <c r="OCS11"/>
      <c r="OCW11"/>
      <c r="ODA11"/>
      <c r="ODE11"/>
      <c r="ODI11"/>
      <c r="ODM11"/>
      <c r="ODQ11"/>
      <c r="ODU11"/>
      <c r="ODY11"/>
      <c r="OEC11"/>
      <c r="OEG11"/>
      <c r="OEK11"/>
      <c r="OEO11"/>
      <c r="OES11"/>
      <c r="OEW11"/>
      <c r="OFA11"/>
      <c r="OFE11"/>
      <c r="OFI11"/>
      <c r="OFM11"/>
      <c r="OFQ11"/>
      <c r="OFU11"/>
      <c r="OFY11"/>
      <c r="OGC11"/>
      <c r="OGG11"/>
      <c r="OGK11"/>
      <c r="OGO11"/>
      <c r="OGS11"/>
      <c r="OGW11"/>
      <c r="OHA11"/>
      <c r="OHE11"/>
      <c r="OHI11"/>
      <c r="OHM11"/>
      <c r="OHQ11"/>
      <c r="OHU11"/>
      <c r="OHY11"/>
      <c r="OIC11"/>
      <c r="OIG11"/>
      <c r="OIK11"/>
      <c r="OIO11"/>
      <c r="OIS11"/>
      <c r="OIW11"/>
      <c r="OJA11"/>
      <c r="OJE11"/>
      <c r="OJI11"/>
      <c r="OJM11"/>
      <c r="OJQ11"/>
      <c r="OJU11"/>
      <c r="OJY11"/>
      <c r="OKC11"/>
      <c r="OKG11"/>
      <c r="OKK11"/>
      <c r="OKO11"/>
      <c r="OKS11"/>
      <c r="OKW11"/>
      <c r="OLA11"/>
      <c r="OLE11"/>
      <c r="OLI11"/>
      <c r="OLM11"/>
      <c r="OLQ11"/>
      <c r="OLU11"/>
      <c r="OLY11"/>
      <c r="OMC11"/>
      <c r="OMG11"/>
      <c r="OMK11"/>
      <c r="OMO11"/>
      <c r="OMS11"/>
      <c r="OMW11"/>
      <c r="ONA11"/>
      <c r="ONE11"/>
      <c r="ONI11"/>
      <c r="ONM11"/>
      <c r="ONQ11"/>
      <c r="ONU11"/>
      <c r="ONY11"/>
      <c r="OOC11"/>
      <c r="OOG11"/>
      <c r="OOK11"/>
      <c r="OOO11"/>
      <c r="OOS11"/>
      <c r="OOW11"/>
      <c r="OPA11"/>
      <c r="OPE11"/>
      <c r="OPI11"/>
      <c r="OPM11"/>
      <c r="OPQ11"/>
      <c r="OPU11"/>
      <c r="OPY11"/>
      <c r="OQC11"/>
      <c r="OQG11"/>
      <c r="OQK11"/>
      <c r="OQO11"/>
      <c r="OQS11"/>
      <c r="OQW11"/>
      <c r="ORA11"/>
      <c r="ORE11"/>
      <c r="ORI11"/>
      <c r="ORM11"/>
      <c r="ORQ11"/>
      <c r="ORU11"/>
      <c r="ORY11"/>
      <c r="OSC11"/>
      <c r="OSG11"/>
      <c r="OSK11"/>
      <c r="OSO11"/>
      <c r="OSS11"/>
      <c r="OSW11"/>
      <c r="OTA11"/>
      <c r="OTE11"/>
      <c r="OTI11"/>
      <c r="OTM11"/>
      <c r="OTQ11"/>
      <c r="OTU11"/>
      <c r="OTY11"/>
      <c r="OUC11"/>
      <c r="OUG11"/>
      <c r="OUK11"/>
      <c r="OUO11"/>
      <c r="OUS11"/>
      <c r="OUW11"/>
      <c r="OVA11"/>
      <c r="OVE11"/>
      <c r="OVI11"/>
      <c r="OVM11"/>
      <c r="OVQ11"/>
      <c r="OVU11"/>
      <c r="OVY11"/>
      <c r="OWC11"/>
      <c r="OWG11"/>
      <c r="OWK11"/>
      <c r="OWO11"/>
      <c r="OWS11"/>
      <c r="OWW11"/>
      <c r="OXA11"/>
      <c r="OXE11"/>
      <c r="OXI11"/>
      <c r="OXM11"/>
      <c r="OXQ11"/>
      <c r="OXU11"/>
      <c r="OXY11"/>
      <c r="OYC11"/>
      <c r="OYG11"/>
      <c r="OYK11"/>
      <c r="OYO11"/>
      <c r="OYS11"/>
      <c r="OYW11"/>
      <c r="OZA11"/>
      <c r="OZE11"/>
      <c r="OZI11"/>
      <c r="OZM11"/>
      <c r="OZQ11"/>
      <c r="OZU11"/>
      <c r="OZY11"/>
      <c r="PAC11"/>
      <c r="PAG11"/>
      <c r="PAK11"/>
      <c r="PAO11"/>
      <c r="PAS11"/>
      <c r="PAW11"/>
      <c r="PBA11"/>
      <c r="PBE11"/>
      <c r="PBI11"/>
      <c r="PBM11"/>
      <c r="PBQ11"/>
      <c r="PBU11"/>
      <c r="PBY11"/>
      <c r="PCC11"/>
      <c r="PCG11"/>
      <c r="PCK11"/>
      <c r="PCO11"/>
      <c r="PCS11"/>
      <c r="PCW11"/>
      <c r="PDA11"/>
      <c r="PDE11"/>
      <c r="PDI11"/>
      <c r="PDM11"/>
      <c r="PDQ11"/>
      <c r="PDU11"/>
      <c r="PDY11"/>
      <c r="PEC11"/>
      <c r="PEG11"/>
      <c r="PEK11"/>
      <c r="PEO11"/>
      <c r="PES11"/>
      <c r="PEW11"/>
      <c r="PFA11"/>
      <c r="PFE11"/>
      <c r="PFI11"/>
      <c r="PFM11"/>
      <c r="PFQ11"/>
      <c r="PFU11"/>
      <c r="PFY11"/>
      <c r="PGC11"/>
      <c r="PGG11"/>
      <c r="PGK11"/>
      <c r="PGO11"/>
      <c r="PGS11"/>
      <c r="PGW11"/>
      <c r="PHA11"/>
      <c r="PHE11"/>
      <c r="PHI11"/>
      <c r="PHM11"/>
      <c r="PHQ11"/>
      <c r="PHU11"/>
      <c r="PHY11"/>
      <c r="PIC11"/>
      <c r="PIG11"/>
      <c r="PIK11"/>
      <c r="PIO11"/>
      <c r="PIS11"/>
      <c r="PIW11"/>
      <c r="PJA11"/>
      <c r="PJE11"/>
      <c r="PJI11"/>
      <c r="PJM11"/>
      <c r="PJQ11"/>
      <c r="PJU11"/>
      <c r="PJY11"/>
      <c r="PKC11"/>
      <c r="PKG11"/>
      <c r="PKK11"/>
      <c r="PKO11"/>
      <c r="PKS11"/>
      <c r="PKW11"/>
      <c r="PLA11"/>
      <c r="PLE11"/>
      <c r="PLI11"/>
      <c r="PLM11"/>
      <c r="PLQ11"/>
      <c r="PLU11"/>
      <c r="PLY11"/>
      <c r="PMC11"/>
      <c r="PMG11"/>
      <c r="PMK11"/>
      <c r="PMO11"/>
      <c r="PMS11"/>
      <c r="PMW11"/>
      <c r="PNA11"/>
      <c r="PNE11"/>
      <c r="PNI11"/>
      <c r="PNM11"/>
      <c r="PNQ11"/>
      <c r="PNU11"/>
      <c r="PNY11"/>
      <c r="POC11"/>
      <c r="POG11"/>
      <c r="POK11"/>
      <c r="POO11"/>
      <c r="POS11"/>
      <c r="POW11"/>
      <c r="PPA11"/>
      <c r="PPE11"/>
      <c r="PPI11"/>
      <c r="PPM11"/>
      <c r="PPQ11"/>
      <c r="PPU11"/>
      <c r="PPY11"/>
      <c r="PQC11"/>
      <c r="PQG11"/>
      <c r="PQK11"/>
      <c r="PQO11"/>
      <c r="PQS11"/>
      <c r="PQW11"/>
      <c r="PRA11"/>
      <c r="PRE11"/>
      <c r="PRI11"/>
      <c r="PRM11"/>
      <c r="PRQ11"/>
      <c r="PRU11"/>
      <c r="PRY11"/>
      <c r="PSC11"/>
      <c r="PSG11"/>
      <c r="PSK11"/>
      <c r="PSO11"/>
      <c r="PSS11"/>
      <c r="PSW11"/>
      <c r="PTA11"/>
      <c r="PTE11"/>
      <c r="PTI11"/>
      <c r="PTM11"/>
      <c r="PTQ11"/>
      <c r="PTU11"/>
      <c r="PTY11"/>
      <c r="PUC11"/>
      <c r="PUG11"/>
      <c r="PUK11"/>
      <c r="PUO11"/>
      <c r="PUS11"/>
      <c r="PUW11"/>
      <c r="PVA11"/>
      <c r="PVE11"/>
      <c r="PVI11"/>
      <c r="PVM11"/>
      <c r="PVQ11"/>
      <c r="PVU11"/>
      <c r="PVY11"/>
      <c r="PWC11"/>
      <c r="PWG11"/>
      <c r="PWK11"/>
      <c r="PWO11"/>
      <c r="PWS11"/>
      <c r="PWW11"/>
      <c r="PXA11"/>
      <c r="PXE11"/>
      <c r="PXI11"/>
      <c r="PXM11"/>
      <c r="PXQ11"/>
      <c r="PXU11"/>
      <c r="PXY11"/>
      <c r="PYC11"/>
      <c r="PYG11"/>
      <c r="PYK11"/>
      <c r="PYO11"/>
      <c r="PYS11"/>
      <c r="PYW11"/>
      <c r="PZA11"/>
      <c r="PZE11"/>
      <c r="PZI11"/>
      <c r="PZM11"/>
      <c r="PZQ11"/>
      <c r="PZU11"/>
      <c r="PZY11"/>
      <c r="QAC11"/>
      <c r="QAG11"/>
      <c r="QAK11"/>
      <c r="QAO11"/>
      <c r="QAS11"/>
      <c r="QAW11"/>
      <c r="QBA11"/>
      <c r="QBE11"/>
      <c r="QBI11"/>
      <c r="QBM11"/>
      <c r="QBQ11"/>
      <c r="QBU11"/>
      <c r="QBY11"/>
      <c r="QCC11"/>
      <c r="QCG11"/>
      <c r="QCK11"/>
      <c r="QCO11"/>
      <c r="QCS11"/>
      <c r="QCW11"/>
      <c r="QDA11"/>
      <c r="QDE11"/>
      <c r="QDI11"/>
      <c r="QDM11"/>
      <c r="QDQ11"/>
      <c r="QDU11"/>
      <c r="QDY11"/>
      <c r="QEC11"/>
      <c r="QEG11"/>
      <c r="QEK11"/>
      <c r="QEO11"/>
      <c r="QES11"/>
      <c r="QEW11"/>
      <c r="QFA11"/>
      <c r="QFE11"/>
      <c r="QFI11"/>
      <c r="QFM11"/>
      <c r="QFQ11"/>
      <c r="QFU11"/>
      <c r="QFY11"/>
      <c r="QGC11"/>
      <c r="QGG11"/>
      <c r="QGK11"/>
      <c r="QGO11"/>
      <c r="QGS11"/>
      <c r="QGW11"/>
      <c r="QHA11"/>
      <c r="QHE11"/>
      <c r="QHI11"/>
      <c r="QHM11"/>
      <c r="QHQ11"/>
      <c r="QHU11"/>
      <c r="QHY11"/>
      <c r="QIC11"/>
      <c r="QIG11"/>
      <c r="QIK11"/>
      <c r="QIO11"/>
      <c r="QIS11"/>
      <c r="QIW11"/>
      <c r="QJA11"/>
      <c r="QJE11"/>
      <c r="QJI11"/>
      <c r="QJM11"/>
      <c r="QJQ11"/>
      <c r="QJU11"/>
      <c r="QJY11"/>
      <c r="QKC11"/>
      <c r="QKG11"/>
      <c r="QKK11"/>
      <c r="QKO11"/>
      <c r="QKS11"/>
      <c r="QKW11"/>
      <c r="QLA11"/>
      <c r="QLE11"/>
      <c r="QLI11"/>
      <c r="QLM11"/>
      <c r="QLQ11"/>
      <c r="QLU11"/>
      <c r="QLY11"/>
      <c r="QMC11"/>
      <c r="QMG11"/>
      <c r="QMK11"/>
      <c r="QMO11"/>
      <c r="QMS11"/>
      <c r="QMW11"/>
      <c r="QNA11"/>
      <c r="QNE11"/>
      <c r="QNI11"/>
      <c r="QNM11"/>
      <c r="QNQ11"/>
      <c r="QNU11"/>
      <c r="QNY11"/>
      <c r="QOC11"/>
      <c r="QOG11"/>
      <c r="QOK11"/>
      <c r="QOO11"/>
      <c r="QOS11"/>
      <c r="QOW11"/>
      <c r="QPA11"/>
      <c r="QPE11"/>
      <c r="QPI11"/>
      <c r="QPM11"/>
      <c r="QPQ11"/>
      <c r="QPU11"/>
      <c r="QPY11"/>
      <c r="QQC11"/>
      <c r="QQG11"/>
      <c r="QQK11"/>
      <c r="QQO11"/>
      <c r="QQS11"/>
      <c r="QQW11"/>
      <c r="QRA11"/>
      <c r="QRE11"/>
      <c r="QRI11"/>
      <c r="QRM11"/>
      <c r="QRQ11"/>
      <c r="QRU11"/>
      <c r="QRY11"/>
      <c r="QSC11"/>
      <c r="QSG11"/>
      <c r="QSK11"/>
      <c r="QSO11"/>
      <c r="QSS11"/>
      <c r="QSW11"/>
      <c r="QTA11"/>
      <c r="QTE11"/>
      <c r="QTI11"/>
      <c r="QTM11"/>
      <c r="QTQ11"/>
      <c r="QTU11"/>
      <c r="QTY11"/>
      <c r="QUC11"/>
      <c r="QUG11"/>
      <c r="QUK11"/>
      <c r="QUO11"/>
      <c r="QUS11"/>
      <c r="QUW11"/>
      <c r="QVA11"/>
      <c r="QVE11"/>
      <c r="QVI11"/>
      <c r="QVM11"/>
      <c r="QVQ11"/>
      <c r="QVU11"/>
      <c r="QVY11"/>
      <c r="QWC11"/>
      <c r="QWG11"/>
      <c r="QWK11"/>
      <c r="QWO11"/>
      <c r="QWS11"/>
      <c r="QWW11"/>
      <c r="QXA11"/>
      <c r="QXE11"/>
      <c r="QXI11"/>
      <c r="QXM11"/>
      <c r="QXQ11"/>
      <c r="QXU11"/>
      <c r="QXY11"/>
      <c r="QYC11"/>
      <c r="QYG11"/>
      <c r="QYK11"/>
      <c r="QYO11"/>
      <c r="QYS11"/>
      <c r="QYW11"/>
      <c r="QZA11"/>
      <c r="QZE11"/>
      <c r="QZI11"/>
      <c r="QZM11"/>
      <c r="QZQ11"/>
      <c r="QZU11"/>
      <c r="QZY11"/>
      <c r="RAC11"/>
      <c r="RAG11"/>
      <c r="RAK11"/>
      <c r="RAO11"/>
      <c r="RAS11"/>
      <c r="RAW11"/>
      <c r="RBA11"/>
      <c r="RBE11"/>
      <c r="RBI11"/>
      <c r="RBM11"/>
      <c r="RBQ11"/>
      <c r="RBU11"/>
      <c r="RBY11"/>
      <c r="RCC11"/>
      <c r="RCG11"/>
      <c r="RCK11"/>
      <c r="RCO11"/>
      <c r="RCS11"/>
      <c r="RCW11"/>
      <c r="RDA11"/>
      <c r="RDE11"/>
      <c r="RDI11"/>
      <c r="RDM11"/>
      <c r="RDQ11"/>
      <c r="RDU11"/>
      <c r="RDY11"/>
      <c r="REC11"/>
      <c r="REG11"/>
      <c r="REK11"/>
      <c r="REO11"/>
      <c r="RES11"/>
      <c r="REW11"/>
      <c r="RFA11"/>
      <c r="RFE11"/>
      <c r="RFI11"/>
      <c r="RFM11"/>
      <c r="RFQ11"/>
      <c r="RFU11"/>
      <c r="RFY11"/>
      <c r="RGC11"/>
      <c r="RGG11"/>
      <c r="RGK11"/>
      <c r="RGO11"/>
      <c r="RGS11"/>
      <c r="RGW11"/>
      <c r="RHA11"/>
      <c r="RHE11"/>
      <c r="RHI11"/>
      <c r="RHM11"/>
      <c r="RHQ11"/>
      <c r="RHU11"/>
      <c r="RHY11"/>
      <c r="RIC11"/>
      <c r="RIG11"/>
      <c r="RIK11"/>
      <c r="RIO11"/>
      <c r="RIS11"/>
      <c r="RIW11"/>
      <c r="RJA11"/>
      <c r="RJE11"/>
      <c r="RJI11"/>
      <c r="RJM11"/>
      <c r="RJQ11"/>
      <c r="RJU11"/>
      <c r="RJY11"/>
      <c r="RKC11"/>
      <c r="RKG11"/>
      <c r="RKK11"/>
      <c r="RKO11"/>
      <c r="RKS11"/>
      <c r="RKW11"/>
      <c r="RLA11"/>
      <c r="RLE11"/>
      <c r="RLI11"/>
      <c r="RLM11"/>
      <c r="RLQ11"/>
      <c r="RLU11"/>
      <c r="RLY11"/>
      <c r="RMC11"/>
      <c r="RMG11"/>
      <c r="RMK11"/>
      <c r="RMO11"/>
      <c r="RMS11"/>
      <c r="RMW11"/>
      <c r="RNA11"/>
      <c r="RNE11"/>
      <c r="RNI11"/>
      <c r="RNM11"/>
      <c r="RNQ11"/>
      <c r="RNU11"/>
      <c r="RNY11"/>
      <c r="ROC11"/>
      <c r="ROG11"/>
      <c r="ROK11"/>
      <c r="ROO11"/>
      <c r="ROS11"/>
      <c r="ROW11"/>
      <c r="RPA11"/>
      <c r="RPE11"/>
      <c r="RPI11"/>
      <c r="RPM11"/>
      <c r="RPQ11"/>
      <c r="RPU11"/>
      <c r="RPY11"/>
      <c r="RQC11"/>
      <c r="RQG11"/>
      <c r="RQK11"/>
      <c r="RQO11"/>
      <c r="RQS11"/>
      <c r="RQW11"/>
      <c r="RRA11"/>
      <c r="RRE11"/>
      <c r="RRI11"/>
      <c r="RRM11"/>
      <c r="RRQ11"/>
      <c r="RRU11"/>
      <c r="RRY11"/>
      <c r="RSC11"/>
      <c r="RSG11"/>
      <c r="RSK11"/>
      <c r="RSO11"/>
      <c r="RSS11"/>
      <c r="RSW11"/>
      <c r="RTA11"/>
      <c r="RTE11"/>
      <c r="RTI11"/>
      <c r="RTM11"/>
      <c r="RTQ11"/>
      <c r="RTU11"/>
      <c r="RTY11"/>
      <c r="RUC11"/>
      <c r="RUG11"/>
      <c r="RUK11"/>
      <c r="RUO11"/>
      <c r="RUS11"/>
      <c r="RUW11"/>
      <c r="RVA11"/>
      <c r="RVE11"/>
      <c r="RVI11"/>
      <c r="RVM11"/>
      <c r="RVQ11"/>
      <c r="RVU11"/>
      <c r="RVY11"/>
      <c r="RWC11"/>
      <c r="RWG11"/>
      <c r="RWK11"/>
      <c r="RWO11"/>
      <c r="RWS11"/>
      <c r="RWW11"/>
      <c r="RXA11"/>
      <c r="RXE11"/>
      <c r="RXI11"/>
      <c r="RXM11"/>
      <c r="RXQ11"/>
      <c r="RXU11"/>
      <c r="RXY11"/>
      <c r="RYC11"/>
      <c r="RYG11"/>
      <c r="RYK11"/>
      <c r="RYO11"/>
      <c r="RYS11"/>
      <c r="RYW11"/>
      <c r="RZA11"/>
      <c r="RZE11"/>
      <c r="RZI11"/>
      <c r="RZM11"/>
      <c r="RZQ11"/>
      <c r="RZU11"/>
      <c r="RZY11"/>
      <c r="SAC11"/>
      <c r="SAG11"/>
      <c r="SAK11"/>
      <c r="SAO11"/>
      <c r="SAS11"/>
      <c r="SAW11"/>
      <c r="SBA11"/>
      <c r="SBE11"/>
      <c r="SBI11"/>
      <c r="SBM11"/>
      <c r="SBQ11"/>
      <c r="SBU11"/>
      <c r="SBY11"/>
      <c r="SCC11"/>
      <c r="SCG11"/>
      <c r="SCK11"/>
      <c r="SCO11"/>
      <c r="SCS11"/>
      <c r="SCW11"/>
      <c r="SDA11"/>
      <c r="SDE11"/>
      <c r="SDI11"/>
      <c r="SDM11"/>
      <c r="SDQ11"/>
      <c r="SDU11"/>
      <c r="SDY11"/>
      <c r="SEC11"/>
      <c r="SEG11"/>
      <c r="SEK11"/>
      <c r="SEO11"/>
      <c r="SES11"/>
      <c r="SEW11"/>
      <c r="SFA11"/>
      <c r="SFE11"/>
      <c r="SFI11"/>
      <c r="SFM11"/>
      <c r="SFQ11"/>
      <c r="SFU11"/>
      <c r="SFY11"/>
      <c r="SGC11"/>
      <c r="SGG11"/>
      <c r="SGK11"/>
      <c r="SGO11"/>
      <c r="SGS11"/>
      <c r="SGW11"/>
      <c r="SHA11"/>
      <c r="SHE11"/>
      <c r="SHI11"/>
      <c r="SHM11"/>
      <c r="SHQ11"/>
      <c r="SHU11"/>
      <c r="SHY11"/>
      <c r="SIC11"/>
      <c r="SIG11"/>
      <c r="SIK11"/>
      <c r="SIO11"/>
      <c r="SIS11"/>
      <c r="SIW11"/>
      <c r="SJA11"/>
      <c r="SJE11"/>
      <c r="SJI11"/>
      <c r="SJM11"/>
      <c r="SJQ11"/>
      <c r="SJU11"/>
      <c r="SJY11"/>
      <c r="SKC11"/>
      <c r="SKG11"/>
      <c r="SKK11"/>
      <c r="SKO11"/>
      <c r="SKS11"/>
      <c r="SKW11"/>
      <c r="SLA11"/>
      <c r="SLE11"/>
      <c r="SLI11"/>
      <c r="SLM11"/>
      <c r="SLQ11"/>
      <c r="SLU11"/>
      <c r="SLY11"/>
      <c r="SMC11"/>
      <c r="SMG11"/>
      <c r="SMK11"/>
      <c r="SMO11"/>
      <c r="SMS11"/>
      <c r="SMW11"/>
      <c r="SNA11"/>
      <c r="SNE11"/>
      <c r="SNI11"/>
      <c r="SNM11"/>
      <c r="SNQ11"/>
      <c r="SNU11"/>
      <c r="SNY11"/>
      <c r="SOC11"/>
      <c r="SOG11"/>
      <c r="SOK11"/>
      <c r="SOO11"/>
      <c r="SOS11"/>
      <c r="SOW11"/>
      <c r="SPA11"/>
      <c r="SPE11"/>
      <c r="SPI11"/>
      <c r="SPM11"/>
      <c r="SPQ11"/>
      <c r="SPU11"/>
      <c r="SPY11"/>
      <c r="SQC11"/>
      <c r="SQG11"/>
      <c r="SQK11"/>
      <c r="SQO11"/>
      <c r="SQS11"/>
      <c r="SQW11"/>
      <c r="SRA11"/>
      <c r="SRE11"/>
      <c r="SRI11"/>
      <c r="SRM11"/>
      <c r="SRQ11"/>
      <c r="SRU11"/>
      <c r="SRY11"/>
      <c r="SSC11"/>
      <c r="SSG11"/>
      <c r="SSK11"/>
      <c r="SSO11"/>
      <c r="SSS11"/>
      <c r="SSW11"/>
      <c r="STA11"/>
      <c r="STE11"/>
      <c r="STI11"/>
      <c r="STM11"/>
      <c r="STQ11"/>
      <c r="STU11"/>
      <c r="STY11"/>
      <c r="SUC11"/>
      <c r="SUG11"/>
      <c r="SUK11"/>
      <c r="SUO11"/>
      <c r="SUS11"/>
      <c r="SUW11"/>
      <c r="SVA11"/>
      <c r="SVE11"/>
      <c r="SVI11"/>
      <c r="SVM11"/>
      <c r="SVQ11"/>
      <c r="SVU11"/>
      <c r="SVY11"/>
      <c r="SWC11"/>
      <c r="SWG11"/>
      <c r="SWK11"/>
      <c r="SWO11"/>
      <c r="SWS11"/>
      <c r="SWW11"/>
      <c r="SXA11"/>
      <c r="SXE11"/>
      <c r="SXI11"/>
      <c r="SXM11"/>
      <c r="SXQ11"/>
      <c r="SXU11"/>
      <c r="SXY11"/>
      <c r="SYC11"/>
      <c r="SYG11"/>
      <c r="SYK11"/>
      <c r="SYO11"/>
      <c r="SYS11"/>
      <c r="SYW11"/>
      <c r="SZA11"/>
      <c r="SZE11"/>
      <c r="SZI11"/>
      <c r="SZM11"/>
      <c r="SZQ11"/>
      <c r="SZU11"/>
      <c r="SZY11"/>
      <c r="TAC11"/>
      <c r="TAG11"/>
      <c r="TAK11"/>
      <c r="TAO11"/>
      <c r="TAS11"/>
      <c r="TAW11"/>
      <c r="TBA11"/>
      <c r="TBE11"/>
      <c r="TBI11"/>
      <c r="TBM11"/>
      <c r="TBQ11"/>
      <c r="TBU11"/>
      <c r="TBY11"/>
      <c r="TCC11"/>
      <c r="TCG11"/>
      <c r="TCK11"/>
      <c r="TCO11"/>
      <c r="TCS11"/>
      <c r="TCW11"/>
      <c r="TDA11"/>
      <c r="TDE11"/>
      <c r="TDI11"/>
      <c r="TDM11"/>
      <c r="TDQ11"/>
      <c r="TDU11"/>
      <c r="TDY11"/>
      <c r="TEC11"/>
      <c r="TEG11"/>
      <c r="TEK11"/>
      <c r="TEO11"/>
      <c r="TES11"/>
      <c r="TEW11"/>
      <c r="TFA11"/>
      <c r="TFE11"/>
      <c r="TFI11"/>
      <c r="TFM11"/>
      <c r="TFQ11"/>
      <c r="TFU11"/>
      <c r="TFY11"/>
      <c r="TGC11"/>
      <c r="TGG11"/>
      <c r="TGK11"/>
      <c r="TGO11"/>
      <c r="TGS11"/>
      <c r="TGW11"/>
      <c r="THA11"/>
      <c r="THE11"/>
      <c r="THI11"/>
      <c r="THM11"/>
      <c r="THQ11"/>
      <c r="THU11"/>
      <c r="THY11"/>
      <c r="TIC11"/>
      <c r="TIG11"/>
      <c r="TIK11"/>
      <c r="TIO11"/>
      <c r="TIS11"/>
      <c r="TIW11"/>
      <c r="TJA11"/>
      <c r="TJE11"/>
      <c r="TJI11"/>
      <c r="TJM11"/>
      <c r="TJQ11"/>
      <c r="TJU11"/>
      <c r="TJY11"/>
      <c r="TKC11"/>
      <c r="TKG11"/>
      <c r="TKK11"/>
      <c r="TKO11"/>
      <c r="TKS11"/>
      <c r="TKW11"/>
      <c r="TLA11"/>
      <c r="TLE11"/>
      <c r="TLI11"/>
      <c r="TLM11"/>
      <c r="TLQ11"/>
      <c r="TLU11"/>
      <c r="TLY11"/>
      <c r="TMC11"/>
      <c r="TMG11"/>
      <c r="TMK11"/>
      <c r="TMO11"/>
      <c r="TMS11"/>
      <c r="TMW11"/>
      <c r="TNA11"/>
      <c r="TNE11"/>
      <c r="TNI11"/>
      <c r="TNM11"/>
      <c r="TNQ11"/>
      <c r="TNU11"/>
      <c r="TNY11"/>
      <c r="TOC11"/>
      <c r="TOG11"/>
      <c r="TOK11"/>
      <c r="TOO11"/>
      <c r="TOS11"/>
      <c r="TOW11"/>
      <c r="TPA11"/>
      <c r="TPE11"/>
      <c r="TPI11"/>
      <c r="TPM11"/>
      <c r="TPQ11"/>
      <c r="TPU11"/>
      <c r="TPY11"/>
      <c r="TQC11"/>
      <c r="TQG11"/>
      <c r="TQK11"/>
      <c r="TQO11"/>
      <c r="TQS11"/>
      <c r="TQW11"/>
      <c r="TRA11"/>
      <c r="TRE11"/>
      <c r="TRI11"/>
      <c r="TRM11"/>
      <c r="TRQ11"/>
      <c r="TRU11"/>
      <c r="TRY11"/>
      <c r="TSC11"/>
      <c r="TSG11"/>
      <c r="TSK11"/>
      <c r="TSO11"/>
      <c r="TSS11"/>
      <c r="TSW11"/>
      <c r="TTA11"/>
      <c r="TTE11"/>
      <c r="TTI11"/>
      <c r="TTM11"/>
      <c r="TTQ11"/>
      <c r="TTU11"/>
      <c r="TTY11"/>
      <c r="TUC11"/>
      <c r="TUG11"/>
      <c r="TUK11"/>
      <c r="TUO11"/>
      <c r="TUS11"/>
      <c r="TUW11"/>
      <c r="TVA11"/>
      <c r="TVE11"/>
      <c r="TVI11"/>
      <c r="TVM11"/>
      <c r="TVQ11"/>
      <c r="TVU11"/>
      <c r="TVY11"/>
      <c r="TWC11"/>
      <c r="TWG11"/>
      <c r="TWK11"/>
      <c r="TWO11"/>
      <c r="TWS11"/>
      <c r="TWW11"/>
      <c r="TXA11"/>
      <c r="TXE11"/>
      <c r="TXI11"/>
      <c r="TXM11"/>
      <c r="TXQ11"/>
      <c r="TXU11"/>
      <c r="TXY11"/>
      <c r="TYC11"/>
      <c r="TYG11"/>
      <c r="TYK11"/>
      <c r="TYO11"/>
      <c r="TYS11"/>
      <c r="TYW11"/>
      <c r="TZA11"/>
      <c r="TZE11"/>
      <c r="TZI11"/>
      <c r="TZM11"/>
      <c r="TZQ11"/>
      <c r="TZU11"/>
      <c r="TZY11"/>
      <c r="UAC11"/>
      <c r="UAG11"/>
      <c r="UAK11"/>
      <c r="UAO11"/>
      <c r="UAS11"/>
      <c r="UAW11"/>
      <c r="UBA11"/>
      <c r="UBE11"/>
      <c r="UBI11"/>
      <c r="UBM11"/>
      <c r="UBQ11"/>
      <c r="UBU11"/>
      <c r="UBY11"/>
      <c r="UCC11"/>
      <c r="UCG11"/>
      <c r="UCK11"/>
      <c r="UCO11"/>
      <c r="UCS11"/>
      <c r="UCW11"/>
      <c r="UDA11"/>
      <c r="UDE11"/>
      <c r="UDI11"/>
      <c r="UDM11"/>
      <c r="UDQ11"/>
      <c r="UDU11"/>
      <c r="UDY11"/>
      <c r="UEC11"/>
      <c r="UEG11"/>
      <c r="UEK11"/>
      <c r="UEO11"/>
      <c r="UES11"/>
      <c r="UEW11"/>
      <c r="UFA11"/>
      <c r="UFE11"/>
      <c r="UFI11"/>
      <c r="UFM11"/>
      <c r="UFQ11"/>
      <c r="UFU11"/>
      <c r="UFY11"/>
      <c r="UGC11"/>
      <c r="UGG11"/>
      <c r="UGK11"/>
      <c r="UGO11"/>
      <c r="UGS11"/>
      <c r="UGW11"/>
      <c r="UHA11"/>
      <c r="UHE11"/>
      <c r="UHI11"/>
      <c r="UHM11"/>
      <c r="UHQ11"/>
      <c r="UHU11"/>
      <c r="UHY11"/>
      <c r="UIC11"/>
      <c r="UIG11"/>
      <c r="UIK11"/>
      <c r="UIO11"/>
      <c r="UIS11"/>
      <c r="UIW11"/>
      <c r="UJA11"/>
      <c r="UJE11"/>
      <c r="UJI11"/>
      <c r="UJM11"/>
      <c r="UJQ11"/>
      <c r="UJU11"/>
      <c r="UJY11"/>
      <c r="UKC11"/>
      <c r="UKG11"/>
      <c r="UKK11"/>
      <c r="UKO11"/>
      <c r="UKS11"/>
      <c r="UKW11"/>
      <c r="ULA11"/>
      <c r="ULE11"/>
      <c r="ULI11"/>
      <c r="ULM11"/>
      <c r="ULQ11"/>
      <c r="ULU11"/>
      <c r="ULY11"/>
      <c r="UMC11"/>
      <c r="UMG11"/>
      <c r="UMK11"/>
      <c r="UMO11"/>
      <c r="UMS11"/>
      <c r="UMW11"/>
      <c r="UNA11"/>
      <c r="UNE11"/>
      <c r="UNI11"/>
      <c r="UNM11"/>
      <c r="UNQ11"/>
      <c r="UNU11"/>
      <c r="UNY11"/>
      <c r="UOC11"/>
      <c r="UOG11"/>
      <c r="UOK11"/>
      <c r="UOO11"/>
      <c r="UOS11"/>
      <c r="UOW11"/>
      <c r="UPA11"/>
      <c r="UPE11"/>
      <c r="UPI11"/>
      <c r="UPM11"/>
      <c r="UPQ11"/>
      <c r="UPU11"/>
      <c r="UPY11"/>
      <c r="UQC11"/>
      <c r="UQG11"/>
      <c r="UQK11"/>
      <c r="UQO11"/>
      <c r="UQS11"/>
      <c r="UQW11"/>
      <c r="URA11"/>
      <c r="URE11"/>
      <c r="URI11"/>
      <c r="URM11"/>
      <c r="URQ11"/>
      <c r="URU11"/>
      <c r="URY11"/>
      <c r="USC11"/>
      <c r="USG11"/>
      <c r="USK11"/>
      <c r="USO11"/>
      <c r="USS11"/>
      <c r="USW11"/>
      <c r="UTA11"/>
      <c r="UTE11"/>
      <c r="UTI11"/>
      <c r="UTM11"/>
      <c r="UTQ11"/>
      <c r="UTU11"/>
      <c r="UTY11"/>
      <c r="UUC11"/>
      <c r="UUG11"/>
      <c r="UUK11"/>
      <c r="UUO11"/>
      <c r="UUS11"/>
      <c r="UUW11"/>
      <c r="UVA11"/>
      <c r="UVE11"/>
      <c r="UVI11"/>
      <c r="UVM11"/>
      <c r="UVQ11"/>
      <c r="UVU11"/>
      <c r="UVY11"/>
      <c r="UWC11"/>
      <c r="UWG11"/>
      <c r="UWK11"/>
      <c r="UWO11"/>
      <c r="UWS11"/>
      <c r="UWW11"/>
      <c r="UXA11"/>
      <c r="UXE11"/>
      <c r="UXI11"/>
      <c r="UXM11"/>
      <c r="UXQ11"/>
      <c r="UXU11"/>
      <c r="UXY11"/>
      <c r="UYC11"/>
      <c r="UYG11"/>
      <c r="UYK11"/>
      <c r="UYO11"/>
      <c r="UYS11"/>
      <c r="UYW11"/>
      <c r="UZA11"/>
      <c r="UZE11"/>
      <c r="UZI11"/>
      <c r="UZM11"/>
      <c r="UZQ11"/>
      <c r="UZU11"/>
      <c r="UZY11"/>
      <c r="VAC11"/>
      <c r="VAG11"/>
      <c r="VAK11"/>
      <c r="VAO11"/>
      <c r="VAS11"/>
      <c r="VAW11"/>
      <c r="VBA11"/>
      <c r="VBE11"/>
      <c r="VBI11"/>
      <c r="VBM11"/>
      <c r="VBQ11"/>
      <c r="VBU11"/>
      <c r="VBY11"/>
      <c r="VCC11"/>
      <c r="VCG11"/>
      <c r="VCK11"/>
      <c r="VCO11"/>
      <c r="VCS11"/>
      <c r="VCW11"/>
      <c r="VDA11"/>
      <c r="VDE11"/>
      <c r="VDI11"/>
      <c r="VDM11"/>
      <c r="VDQ11"/>
      <c r="VDU11"/>
      <c r="VDY11"/>
      <c r="VEC11"/>
      <c r="VEG11"/>
      <c r="VEK11"/>
      <c r="VEO11"/>
      <c r="VES11"/>
      <c r="VEW11"/>
      <c r="VFA11"/>
      <c r="VFE11"/>
      <c r="VFI11"/>
      <c r="VFM11"/>
      <c r="VFQ11"/>
      <c r="VFU11"/>
      <c r="VFY11"/>
      <c r="VGC11"/>
      <c r="VGG11"/>
      <c r="VGK11"/>
      <c r="VGO11"/>
      <c r="VGS11"/>
      <c r="VGW11"/>
      <c r="VHA11"/>
      <c r="VHE11"/>
      <c r="VHI11"/>
      <c r="VHM11"/>
      <c r="VHQ11"/>
      <c r="VHU11"/>
      <c r="VHY11"/>
      <c r="VIC11"/>
      <c r="VIG11"/>
      <c r="VIK11"/>
      <c r="VIO11"/>
      <c r="VIS11"/>
      <c r="VIW11"/>
      <c r="VJA11"/>
      <c r="VJE11"/>
      <c r="VJI11"/>
      <c r="VJM11"/>
      <c r="VJQ11"/>
      <c r="VJU11"/>
      <c r="VJY11"/>
      <c r="VKC11"/>
      <c r="VKG11"/>
      <c r="VKK11"/>
      <c r="VKO11"/>
      <c r="VKS11"/>
      <c r="VKW11"/>
      <c r="VLA11"/>
      <c r="VLE11"/>
      <c r="VLI11"/>
      <c r="VLM11"/>
      <c r="VLQ11"/>
      <c r="VLU11"/>
      <c r="VLY11"/>
      <c r="VMC11"/>
      <c r="VMG11"/>
      <c r="VMK11"/>
      <c r="VMO11"/>
      <c r="VMS11"/>
      <c r="VMW11"/>
      <c r="VNA11"/>
      <c r="VNE11"/>
      <c r="VNI11"/>
      <c r="VNM11"/>
      <c r="VNQ11"/>
      <c r="VNU11"/>
      <c r="VNY11"/>
      <c r="VOC11"/>
      <c r="VOG11"/>
      <c r="VOK11"/>
      <c r="VOO11"/>
      <c r="VOS11"/>
      <c r="VOW11"/>
      <c r="VPA11"/>
      <c r="VPE11"/>
      <c r="VPI11"/>
      <c r="VPM11"/>
      <c r="VPQ11"/>
      <c r="VPU11"/>
      <c r="VPY11"/>
      <c r="VQC11"/>
      <c r="VQG11"/>
      <c r="VQK11"/>
      <c r="VQO11"/>
      <c r="VQS11"/>
      <c r="VQW11"/>
      <c r="VRA11"/>
      <c r="VRE11"/>
      <c r="VRI11"/>
      <c r="VRM11"/>
      <c r="VRQ11"/>
      <c r="VRU11"/>
      <c r="VRY11"/>
      <c r="VSC11"/>
      <c r="VSG11"/>
      <c r="VSK11"/>
      <c r="VSO11"/>
      <c r="VSS11"/>
      <c r="VSW11"/>
      <c r="VTA11"/>
      <c r="VTE11"/>
      <c r="VTI11"/>
      <c r="VTM11"/>
      <c r="VTQ11"/>
      <c r="VTU11"/>
      <c r="VTY11"/>
      <c r="VUC11"/>
      <c r="VUG11"/>
      <c r="VUK11"/>
      <c r="VUO11"/>
      <c r="VUS11"/>
      <c r="VUW11"/>
      <c r="VVA11"/>
      <c r="VVE11"/>
      <c r="VVI11"/>
      <c r="VVM11"/>
      <c r="VVQ11"/>
      <c r="VVU11"/>
      <c r="VVY11"/>
      <c r="VWC11"/>
      <c r="VWG11"/>
      <c r="VWK11"/>
      <c r="VWO11"/>
      <c r="VWS11"/>
      <c r="VWW11"/>
      <c r="VXA11"/>
      <c r="VXE11"/>
      <c r="VXI11"/>
      <c r="VXM11"/>
      <c r="VXQ11"/>
      <c r="VXU11"/>
      <c r="VXY11"/>
      <c r="VYC11"/>
      <c r="VYG11"/>
      <c r="VYK11"/>
      <c r="VYO11"/>
      <c r="VYS11"/>
      <c r="VYW11"/>
      <c r="VZA11"/>
      <c r="VZE11"/>
      <c r="VZI11"/>
      <c r="VZM11"/>
      <c r="VZQ11"/>
      <c r="VZU11"/>
      <c r="VZY11"/>
      <c r="WAC11"/>
      <c r="WAG11"/>
      <c r="WAK11"/>
      <c r="WAO11"/>
      <c r="WAS11"/>
      <c r="WAW11"/>
      <c r="WBA11"/>
      <c r="WBE11"/>
      <c r="WBI11"/>
      <c r="WBM11"/>
      <c r="WBQ11"/>
      <c r="WBU11"/>
      <c r="WBY11"/>
      <c r="WCC11"/>
      <c r="WCG11"/>
      <c r="WCK11"/>
      <c r="WCO11"/>
      <c r="WCS11"/>
      <c r="WCW11"/>
      <c r="WDA11"/>
      <c r="WDE11"/>
      <c r="WDI11"/>
      <c r="WDM11"/>
      <c r="WDQ11"/>
      <c r="WDU11"/>
      <c r="WDY11"/>
      <c r="WEC11"/>
      <c r="WEG11"/>
      <c r="WEK11"/>
      <c r="WEO11"/>
      <c r="WES11"/>
      <c r="WEW11"/>
      <c r="WFA11"/>
      <c r="WFE11"/>
      <c r="WFI11"/>
      <c r="WFM11"/>
      <c r="WFQ11"/>
      <c r="WFU11"/>
      <c r="WFY11"/>
      <c r="WGC11"/>
      <c r="WGG11"/>
      <c r="WGK11"/>
      <c r="WGO11"/>
      <c r="WGS11"/>
      <c r="WGW11"/>
      <c r="WHA11"/>
      <c r="WHE11"/>
      <c r="WHI11"/>
      <c r="WHM11"/>
      <c r="WHQ11"/>
      <c r="WHU11"/>
      <c r="WHY11"/>
      <c r="WIC11"/>
      <c r="WIG11"/>
      <c r="WIK11"/>
      <c r="WIO11"/>
      <c r="WIS11"/>
      <c r="WIW11"/>
      <c r="WJA11"/>
      <c r="WJE11"/>
      <c r="WJI11"/>
      <c r="WJM11"/>
      <c r="WJQ11"/>
      <c r="WJU11"/>
      <c r="WJY11"/>
      <c r="WKC11"/>
      <c r="WKG11"/>
      <c r="WKK11"/>
      <c r="WKO11"/>
      <c r="WKS11"/>
      <c r="WKW11"/>
      <c r="WLA11"/>
      <c r="WLE11"/>
      <c r="WLI11"/>
      <c r="WLM11"/>
      <c r="WLQ11"/>
      <c r="WLU11"/>
      <c r="WLY11"/>
      <c r="WMC11"/>
      <c r="WMG11"/>
      <c r="WMK11"/>
      <c r="WMO11"/>
      <c r="WMS11"/>
      <c r="WMW11"/>
      <c r="WNA11"/>
      <c r="WNE11"/>
      <c r="WNI11"/>
      <c r="WNM11"/>
      <c r="WNQ11"/>
      <c r="WNU11"/>
      <c r="WNY11"/>
      <c r="WOC11"/>
      <c r="WOG11"/>
      <c r="WOK11"/>
      <c r="WOO11"/>
      <c r="WOS11"/>
      <c r="WOW11"/>
      <c r="WPA11"/>
      <c r="WPE11"/>
      <c r="WPI11"/>
      <c r="WPM11"/>
      <c r="WPQ11"/>
      <c r="WPU11"/>
      <c r="WPY11"/>
      <c r="WQC11"/>
      <c r="WQG11"/>
      <c r="WQK11"/>
      <c r="WQO11"/>
      <c r="WQS11"/>
      <c r="WQW11"/>
      <c r="WRA11"/>
      <c r="WRE11"/>
      <c r="WRI11"/>
      <c r="WRM11"/>
      <c r="WRQ11"/>
      <c r="WRU11"/>
      <c r="WRY11"/>
      <c r="WSC11"/>
      <c r="WSG11"/>
      <c r="WSK11"/>
      <c r="WSO11"/>
      <c r="WSS11"/>
      <c r="WSW11"/>
      <c r="WTA11"/>
      <c r="WTE11"/>
      <c r="WTI11"/>
      <c r="WTM11"/>
      <c r="WTQ11"/>
      <c r="WTU11"/>
      <c r="WTY11"/>
      <c r="WUC11"/>
      <c r="WUG11"/>
      <c r="WUK11"/>
      <c r="WUO11"/>
      <c r="WUS11"/>
      <c r="WUW11"/>
      <c r="WVA11"/>
      <c r="WVE11"/>
      <c r="WVI11"/>
      <c r="WVM11"/>
      <c r="WVQ11"/>
      <c r="WVU11"/>
      <c r="WVY11"/>
      <c r="WWC11"/>
      <c r="WWG11"/>
      <c r="WWK11"/>
      <c r="WWO11"/>
      <c r="WWS11"/>
      <c r="WWW11"/>
      <c r="WXA11"/>
      <c r="WXE11"/>
      <c r="WXI11"/>
      <c r="WXM11"/>
      <c r="WXQ11"/>
      <c r="WXU11"/>
      <c r="WXY11"/>
      <c r="WYC11"/>
      <c r="WYG11"/>
      <c r="WYK11"/>
      <c r="WYO11"/>
      <c r="WYS11"/>
      <c r="WYW11"/>
      <c r="WZA11"/>
      <c r="WZE11"/>
      <c r="WZI11"/>
      <c r="WZM11"/>
      <c r="WZQ11"/>
      <c r="WZU11"/>
      <c r="WZY11"/>
      <c r="XAC11"/>
      <c r="XAG11"/>
      <c r="XAK11"/>
      <c r="XAO11"/>
      <c r="XAS11"/>
      <c r="XAW11"/>
      <c r="XBA11"/>
      <c r="XBE11"/>
      <c r="XBI11"/>
      <c r="XBM11"/>
      <c r="XBQ11"/>
      <c r="XBU11"/>
      <c r="XBY11"/>
      <c r="XCC11"/>
      <c r="XCG11"/>
      <c r="XCK11"/>
      <c r="XCO11"/>
      <c r="XCS11"/>
      <c r="XCW11"/>
      <c r="XDA11"/>
      <c r="XDE11"/>
      <c r="XDI11"/>
      <c r="XDM11"/>
      <c r="XDQ11"/>
      <c r="XDU11"/>
      <c r="XDY11"/>
      <c r="XEC11"/>
      <c r="XEG11"/>
      <c r="XEK11"/>
      <c r="XEO11"/>
      <c r="XES11"/>
      <c r="XEW11"/>
      <c r="XFA11"/>
    </row>
    <row r="12" spans="1:1021 1025:2045 2049:3069 3073:4093 4097:5117 5121:6141 6145:7165 7169:8189 8193:9213 9217:10237 10241:11261 11265:12285 12289:13309 13313:14333 14337:15357 15361:16381" s="1" customFormat="1" x14ac:dyDescent="0.35">
      <c r="A12" s="21">
        <v>1</v>
      </c>
      <c r="B12" s="21">
        <v>8</v>
      </c>
      <c r="C12" s="1" t="str">
        <f xml:space="preserve"> IF('Master Player List'!L10=1,'Master Player List'!C10,"")</f>
        <v xml:space="preserve">Black, Gene </v>
      </c>
      <c r="D12" s="1" t="str">
        <f xml:space="preserve"> IF('Master Player List'!L10=1,'Master Player List'!F10,"")</f>
        <v xml:space="preserve">Tilson, Scott </v>
      </c>
      <c r="E12" s="21">
        <f xml:space="preserve"> IF('Master Player List'!L10=1,'Master Player List'!I10,"")</f>
        <v>4.5</v>
      </c>
      <c r="F12" s="22"/>
      <c r="I12" s="21"/>
      <c r="J12" s="22"/>
      <c r="M12"/>
      <c r="N12"/>
      <c r="Q12"/>
      <c r="U12"/>
      <c r="Y12"/>
      <c r="AC12"/>
      <c r="AG12"/>
      <c r="AK12"/>
      <c r="AO12"/>
      <c r="AS12"/>
      <c r="AW12"/>
      <c r="BA12"/>
      <c r="BE12"/>
      <c r="BI12"/>
      <c r="BM12"/>
      <c r="BQ12"/>
      <c r="BU12"/>
      <c r="BY12"/>
      <c r="CC12"/>
      <c r="CG12"/>
      <c r="CK12"/>
      <c r="CO12"/>
      <c r="CS12"/>
      <c r="CW12"/>
      <c r="DA12"/>
      <c r="DE12"/>
      <c r="DI12"/>
      <c r="DM12"/>
      <c r="DQ12"/>
      <c r="DU12"/>
      <c r="DY12"/>
      <c r="EC12"/>
      <c r="EG12"/>
      <c r="EK12"/>
      <c r="EO12"/>
      <c r="ES12"/>
      <c r="EW12"/>
      <c r="FA12"/>
      <c r="FE12"/>
      <c r="FI12"/>
      <c r="FM12"/>
      <c r="FQ12"/>
      <c r="FU12"/>
      <c r="FY12"/>
      <c r="GC12"/>
      <c r="GG12"/>
      <c r="GK12"/>
      <c r="GO12"/>
      <c r="GS12"/>
      <c r="GW12"/>
      <c r="HA12"/>
      <c r="HE12"/>
      <c r="HI12"/>
      <c r="HM12"/>
      <c r="HQ12"/>
      <c r="HU12"/>
      <c r="HY12"/>
      <c r="IC12"/>
      <c r="IG12"/>
      <c r="IK12"/>
      <c r="IO12"/>
      <c r="IS12"/>
      <c r="IW12"/>
      <c r="JA12"/>
      <c r="JE12"/>
      <c r="JI12"/>
      <c r="JM12"/>
      <c r="JQ12"/>
      <c r="JU12"/>
      <c r="JY12"/>
      <c r="KC12"/>
      <c r="KG12"/>
      <c r="KK12"/>
      <c r="KO12"/>
      <c r="KS12"/>
      <c r="KW12"/>
      <c r="LA12"/>
      <c r="LE12"/>
      <c r="LI12"/>
      <c r="LM12"/>
      <c r="LQ12"/>
      <c r="LU12"/>
      <c r="LY12"/>
      <c r="MC12"/>
      <c r="MG12"/>
      <c r="MK12"/>
      <c r="MO12"/>
      <c r="MS12"/>
      <c r="MW12"/>
      <c r="NA12"/>
      <c r="NE12"/>
      <c r="NI12"/>
      <c r="NM12"/>
      <c r="NQ12"/>
      <c r="NU12"/>
      <c r="NY12"/>
      <c r="OC12"/>
      <c r="OG12"/>
      <c r="OK12"/>
      <c r="OO12"/>
      <c r="OS12"/>
      <c r="OW12"/>
      <c r="PA12"/>
      <c r="PE12"/>
      <c r="PI12"/>
      <c r="PM12"/>
      <c r="PQ12"/>
      <c r="PU12"/>
      <c r="PY12"/>
      <c r="QC12"/>
      <c r="QG12"/>
      <c r="QK12"/>
      <c r="QO12"/>
      <c r="QS12"/>
      <c r="QW12"/>
      <c r="RA12"/>
      <c r="RE12"/>
      <c r="RI12"/>
      <c r="RM12"/>
      <c r="RQ12"/>
      <c r="RU12"/>
      <c r="RY12"/>
      <c r="SC12"/>
      <c r="SG12"/>
      <c r="SK12"/>
      <c r="SO12"/>
      <c r="SS12"/>
      <c r="SW12"/>
      <c r="TA12"/>
      <c r="TE12"/>
      <c r="TI12"/>
      <c r="TM12"/>
      <c r="TQ12"/>
      <c r="TU12"/>
      <c r="TY12"/>
      <c r="UC12"/>
      <c r="UG12"/>
      <c r="UK12"/>
      <c r="UO12"/>
      <c r="US12"/>
      <c r="UW12"/>
      <c r="VA12"/>
      <c r="VE12"/>
      <c r="VI12"/>
      <c r="VM12"/>
      <c r="VQ12"/>
      <c r="VU12"/>
      <c r="VY12"/>
      <c r="WC12"/>
      <c r="WG12"/>
      <c r="WK12"/>
      <c r="WO12"/>
      <c r="WS12"/>
      <c r="WW12"/>
      <c r="XA12"/>
      <c r="XE12"/>
      <c r="XI12"/>
      <c r="XM12"/>
      <c r="XQ12"/>
      <c r="XU12"/>
      <c r="XY12"/>
      <c r="YC12"/>
      <c r="YG12"/>
      <c r="YK12"/>
      <c r="YO12"/>
      <c r="YS12"/>
      <c r="YW12"/>
      <c r="ZA12"/>
      <c r="ZE12"/>
      <c r="ZI12"/>
      <c r="ZM12"/>
      <c r="ZQ12"/>
      <c r="ZU12"/>
      <c r="ZY12"/>
      <c r="AAC12"/>
      <c r="AAG12"/>
      <c r="AAK12"/>
      <c r="AAO12"/>
      <c r="AAS12"/>
      <c r="AAW12"/>
      <c r="ABA12"/>
      <c r="ABE12"/>
      <c r="ABI12"/>
      <c r="ABM12"/>
      <c r="ABQ12"/>
      <c r="ABU12"/>
      <c r="ABY12"/>
      <c r="ACC12"/>
      <c r="ACG12"/>
      <c r="ACK12"/>
      <c r="ACO12"/>
      <c r="ACS12"/>
      <c r="ACW12"/>
      <c r="ADA12"/>
      <c r="ADE12"/>
      <c r="ADI12"/>
      <c r="ADM12"/>
      <c r="ADQ12"/>
      <c r="ADU12"/>
      <c r="ADY12"/>
      <c r="AEC12"/>
      <c r="AEG12"/>
      <c r="AEK12"/>
      <c r="AEO12"/>
      <c r="AES12"/>
      <c r="AEW12"/>
      <c r="AFA12"/>
      <c r="AFE12"/>
      <c r="AFI12"/>
      <c r="AFM12"/>
      <c r="AFQ12"/>
      <c r="AFU12"/>
      <c r="AFY12"/>
      <c r="AGC12"/>
      <c r="AGG12"/>
      <c r="AGK12"/>
      <c r="AGO12"/>
      <c r="AGS12"/>
      <c r="AGW12"/>
      <c r="AHA12"/>
      <c r="AHE12"/>
      <c r="AHI12"/>
      <c r="AHM12"/>
      <c r="AHQ12"/>
      <c r="AHU12"/>
      <c r="AHY12"/>
      <c r="AIC12"/>
      <c r="AIG12"/>
      <c r="AIK12"/>
      <c r="AIO12"/>
      <c r="AIS12"/>
      <c r="AIW12"/>
      <c r="AJA12"/>
      <c r="AJE12"/>
      <c r="AJI12"/>
      <c r="AJM12"/>
      <c r="AJQ12"/>
      <c r="AJU12"/>
      <c r="AJY12"/>
      <c r="AKC12"/>
      <c r="AKG12"/>
      <c r="AKK12"/>
      <c r="AKO12"/>
      <c r="AKS12"/>
      <c r="AKW12"/>
      <c r="ALA12"/>
      <c r="ALE12"/>
      <c r="ALI12"/>
      <c r="ALM12"/>
      <c r="ALQ12"/>
      <c r="ALU12"/>
      <c r="ALY12"/>
      <c r="AMC12"/>
      <c r="AMG12"/>
      <c r="AMK12"/>
      <c r="AMO12"/>
      <c r="AMS12"/>
      <c r="AMW12"/>
      <c r="ANA12"/>
      <c r="ANE12"/>
      <c r="ANI12"/>
      <c r="ANM12"/>
      <c r="ANQ12"/>
      <c r="ANU12"/>
      <c r="ANY12"/>
      <c r="AOC12"/>
      <c r="AOG12"/>
      <c r="AOK12"/>
      <c r="AOO12"/>
      <c r="AOS12"/>
      <c r="AOW12"/>
      <c r="APA12"/>
      <c r="APE12"/>
      <c r="API12"/>
      <c r="APM12"/>
      <c r="APQ12"/>
      <c r="APU12"/>
      <c r="APY12"/>
      <c r="AQC12"/>
      <c r="AQG12"/>
      <c r="AQK12"/>
      <c r="AQO12"/>
      <c r="AQS12"/>
      <c r="AQW12"/>
      <c r="ARA12"/>
      <c r="ARE12"/>
      <c r="ARI12"/>
      <c r="ARM12"/>
      <c r="ARQ12"/>
      <c r="ARU12"/>
      <c r="ARY12"/>
      <c r="ASC12"/>
      <c r="ASG12"/>
      <c r="ASK12"/>
      <c r="ASO12"/>
      <c r="ASS12"/>
      <c r="ASW12"/>
      <c r="ATA12"/>
      <c r="ATE12"/>
      <c r="ATI12"/>
      <c r="ATM12"/>
      <c r="ATQ12"/>
      <c r="ATU12"/>
      <c r="ATY12"/>
      <c r="AUC12"/>
      <c r="AUG12"/>
      <c r="AUK12"/>
      <c r="AUO12"/>
      <c r="AUS12"/>
      <c r="AUW12"/>
      <c r="AVA12"/>
      <c r="AVE12"/>
      <c r="AVI12"/>
      <c r="AVM12"/>
      <c r="AVQ12"/>
      <c r="AVU12"/>
      <c r="AVY12"/>
      <c r="AWC12"/>
      <c r="AWG12"/>
      <c r="AWK12"/>
      <c r="AWO12"/>
      <c r="AWS12"/>
      <c r="AWW12"/>
      <c r="AXA12"/>
      <c r="AXE12"/>
      <c r="AXI12"/>
      <c r="AXM12"/>
      <c r="AXQ12"/>
      <c r="AXU12"/>
      <c r="AXY12"/>
      <c r="AYC12"/>
      <c r="AYG12"/>
      <c r="AYK12"/>
      <c r="AYO12"/>
      <c r="AYS12"/>
      <c r="AYW12"/>
      <c r="AZA12"/>
      <c r="AZE12"/>
      <c r="AZI12"/>
      <c r="AZM12"/>
      <c r="AZQ12"/>
      <c r="AZU12"/>
      <c r="AZY12"/>
      <c r="BAC12"/>
      <c r="BAG12"/>
      <c r="BAK12"/>
      <c r="BAO12"/>
      <c r="BAS12"/>
      <c r="BAW12"/>
      <c r="BBA12"/>
      <c r="BBE12"/>
      <c r="BBI12"/>
      <c r="BBM12"/>
      <c r="BBQ12"/>
      <c r="BBU12"/>
      <c r="BBY12"/>
      <c r="BCC12"/>
      <c r="BCG12"/>
      <c r="BCK12"/>
      <c r="BCO12"/>
      <c r="BCS12"/>
      <c r="BCW12"/>
      <c r="BDA12"/>
      <c r="BDE12"/>
      <c r="BDI12"/>
      <c r="BDM12"/>
      <c r="BDQ12"/>
      <c r="BDU12"/>
      <c r="BDY12"/>
      <c r="BEC12"/>
      <c r="BEG12"/>
      <c r="BEK12"/>
      <c r="BEO12"/>
      <c r="BES12"/>
      <c r="BEW12"/>
      <c r="BFA12"/>
      <c r="BFE12"/>
      <c r="BFI12"/>
      <c r="BFM12"/>
      <c r="BFQ12"/>
      <c r="BFU12"/>
      <c r="BFY12"/>
      <c r="BGC12"/>
      <c r="BGG12"/>
      <c r="BGK12"/>
      <c r="BGO12"/>
      <c r="BGS12"/>
      <c r="BGW12"/>
      <c r="BHA12"/>
      <c r="BHE12"/>
      <c r="BHI12"/>
      <c r="BHM12"/>
      <c r="BHQ12"/>
      <c r="BHU12"/>
      <c r="BHY12"/>
      <c r="BIC12"/>
      <c r="BIG12"/>
      <c r="BIK12"/>
      <c r="BIO12"/>
      <c r="BIS12"/>
      <c r="BIW12"/>
      <c r="BJA12"/>
      <c r="BJE12"/>
      <c r="BJI12"/>
      <c r="BJM12"/>
      <c r="BJQ12"/>
      <c r="BJU12"/>
      <c r="BJY12"/>
      <c r="BKC12"/>
      <c r="BKG12"/>
      <c r="BKK12"/>
      <c r="BKO12"/>
      <c r="BKS12"/>
      <c r="BKW12"/>
      <c r="BLA12"/>
      <c r="BLE12"/>
      <c r="BLI12"/>
      <c r="BLM12"/>
      <c r="BLQ12"/>
      <c r="BLU12"/>
      <c r="BLY12"/>
      <c r="BMC12"/>
      <c r="BMG12"/>
      <c r="BMK12"/>
      <c r="BMO12"/>
      <c r="BMS12"/>
      <c r="BMW12"/>
      <c r="BNA12"/>
      <c r="BNE12"/>
      <c r="BNI12"/>
      <c r="BNM12"/>
      <c r="BNQ12"/>
      <c r="BNU12"/>
      <c r="BNY12"/>
      <c r="BOC12"/>
      <c r="BOG12"/>
      <c r="BOK12"/>
      <c r="BOO12"/>
      <c r="BOS12"/>
      <c r="BOW12"/>
      <c r="BPA12"/>
      <c r="BPE12"/>
      <c r="BPI12"/>
      <c r="BPM12"/>
      <c r="BPQ12"/>
      <c r="BPU12"/>
      <c r="BPY12"/>
      <c r="BQC12"/>
      <c r="BQG12"/>
      <c r="BQK12"/>
      <c r="BQO12"/>
      <c r="BQS12"/>
      <c r="BQW12"/>
      <c r="BRA12"/>
      <c r="BRE12"/>
      <c r="BRI12"/>
      <c r="BRM12"/>
      <c r="BRQ12"/>
      <c r="BRU12"/>
      <c r="BRY12"/>
      <c r="BSC12"/>
      <c r="BSG12"/>
      <c r="BSK12"/>
      <c r="BSO12"/>
      <c r="BSS12"/>
      <c r="BSW12"/>
      <c r="BTA12"/>
      <c r="BTE12"/>
      <c r="BTI12"/>
      <c r="BTM12"/>
      <c r="BTQ12"/>
      <c r="BTU12"/>
      <c r="BTY12"/>
      <c r="BUC12"/>
      <c r="BUG12"/>
      <c r="BUK12"/>
      <c r="BUO12"/>
      <c r="BUS12"/>
      <c r="BUW12"/>
      <c r="BVA12"/>
      <c r="BVE12"/>
      <c r="BVI12"/>
      <c r="BVM12"/>
      <c r="BVQ12"/>
      <c r="BVU12"/>
      <c r="BVY12"/>
      <c r="BWC12"/>
      <c r="BWG12"/>
      <c r="BWK12"/>
      <c r="BWO12"/>
      <c r="BWS12"/>
      <c r="BWW12"/>
      <c r="BXA12"/>
      <c r="BXE12"/>
      <c r="BXI12"/>
      <c r="BXM12"/>
      <c r="BXQ12"/>
      <c r="BXU12"/>
      <c r="BXY12"/>
      <c r="BYC12"/>
      <c r="BYG12"/>
      <c r="BYK12"/>
      <c r="BYO12"/>
      <c r="BYS12"/>
      <c r="BYW12"/>
      <c r="BZA12"/>
      <c r="BZE12"/>
      <c r="BZI12"/>
      <c r="BZM12"/>
      <c r="BZQ12"/>
      <c r="BZU12"/>
      <c r="BZY12"/>
      <c r="CAC12"/>
      <c r="CAG12"/>
      <c r="CAK12"/>
      <c r="CAO12"/>
      <c r="CAS12"/>
      <c r="CAW12"/>
      <c r="CBA12"/>
      <c r="CBE12"/>
      <c r="CBI12"/>
      <c r="CBM12"/>
      <c r="CBQ12"/>
      <c r="CBU12"/>
      <c r="CBY12"/>
      <c r="CCC12"/>
      <c r="CCG12"/>
      <c r="CCK12"/>
      <c r="CCO12"/>
      <c r="CCS12"/>
      <c r="CCW12"/>
      <c r="CDA12"/>
      <c r="CDE12"/>
      <c r="CDI12"/>
      <c r="CDM12"/>
      <c r="CDQ12"/>
      <c r="CDU12"/>
      <c r="CDY12"/>
      <c r="CEC12"/>
      <c r="CEG12"/>
      <c r="CEK12"/>
      <c r="CEO12"/>
      <c r="CES12"/>
      <c r="CEW12"/>
      <c r="CFA12"/>
      <c r="CFE12"/>
      <c r="CFI12"/>
      <c r="CFM12"/>
      <c r="CFQ12"/>
      <c r="CFU12"/>
      <c r="CFY12"/>
      <c r="CGC12"/>
      <c r="CGG12"/>
      <c r="CGK12"/>
      <c r="CGO12"/>
      <c r="CGS12"/>
      <c r="CGW12"/>
      <c r="CHA12"/>
      <c r="CHE12"/>
      <c r="CHI12"/>
      <c r="CHM12"/>
      <c r="CHQ12"/>
      <c r="CHU12"/>
      <c r="CHY12"/>
      <c r="CIC12"/>
      <c r="CIG12"/>
      <c r="CIK12"/>
      <c r="CIO12"/>
      <c r="CIS12"/>
      <c r="CIW12"/>
      <c r="CJA12"/>
      <c r="CJE12"/>
      <c r="CJI12"/>
      <c r="CJM12"/>
      <c r="CJQ12"/>
      <c r="CJU12"/>
      <c r="CJY12"/>
      <c r="CKC12"/>
      <c r="CKG12"/>
      <c r="CKK12"/>
      <c r="CKO12"/>
      <c r="CKS12"/>
      <c r="CKW12"/>
      <c r="CLA12"/>
      <c r="CLE12"/>
      <c r="CLI12"/>
      <c r="CLM12"/>
      <c r="CLQ12"/>
      <c r="CLU12"/>
      <c r="CLY12"/>
      <c r="CMC12"/>
      <c r="CMG12"/>
      <c r="CMK12"/>
      <c r="CMO12"/>
      <c r="CMS12"/>
      <c r="CMW12"/>
      <c r="CNA12"/>
      <c r="CNE12"/>
      <c r="CNI12"/>
      <c r="CNM12"/>
      <c r="CNQ12"/>
      <c r="CNU12"/>
      <c r="CNY12"/>
      <c r="COC12"/>
      <c r="COG12"/>
      <c r="COK12"/>
      <c r="COO12"/>
      <c r="COS12"/>
      <c r="COW12"/>
      <c r="CPA12"/>
      <c r="CPE12"/>
      <c r="CPI12"/>
      <c r="CPM12"/>
      <c r="CPQ12"/>
      <c r="CPU12"/>
      <c r="CPY12"/>
      <c r="CQC12"/>
      <c r="CQG12"/>
      <c r="CQK12"/>
      <c r="CQO12"/>
      <c r="CQS12"/>
      <c r="CQW12"/>
      <c r="CRA12"/>
      <c r="CRE12"/>
      <c r="CRI12"/>
      <c r="CRM12"/>
      <c r="CRQ12"/>
      <c r="CRU12"/>
      <c r="CRY12"/>
      <c r="CSC12"/>
      <c r="CSG12"/>
      <c r="CSK12"/>
      <c r="CSO12"/>
      <c r="CSS12"/>
      <c r="CSW12"/>
      <c r="CTA12"/>
      <c r="CTE12"/>
      <c r="CTI12"/>
      <c r="CTM12"/>
      <c r="CTQ12"/>
      <c r="CTU12"/>
      <c r="CTY12"/>
      <c r="CUC12"/>
      <c r="CUG12"/>
      <c r="CUK12"/>
      <c r="CUO12"/>
      <c r="CUS12"/>
      <c r="CUW12"/>
      <c r="CVA12"/>
      <c r="CVE12"/>
      <c r="CVI12"/>
      <c r="CVM12"/>
      <c r="CVQ12"/>
      <c r="CVU12"/>
      <c r="CVY12"/>
      <c r="CWC12"/>
      <c r="CWG12"/>
      <c r="CWK12"/>
      <c r="CWO12"/>
      <c r="CWS12"/>
      <c r="CWW12"/>
      <c r="CXA12"/>
      <c r="CXE12"/>
      <c r="CXI12"/>
      <c r="CXM12"/>
      <c r="CXQ12"/>
      <c r="CXU12"/>
      <c r="CXY12"/>
      <c r="CYC12"/>
      <c r="CYG12"/>
      <c r="CYK12"/>
      <c r="CYO12"/>
      <c r="CYS12"/>
      <c r="CYW12"/>
      <c r="CZA12"/>
      <c r="CZE12"/>
      <c r="CZI12"/>
      <c r="CZM12"/>
      <c r="CZQ12"/>
      <c r="CZU12"/>
      <c r="CZY12"/>
      <c r="DAC12"/>
      <c r="DAG12"/>
      <c r="DAK12"/>
      <c r="DAO12"/>
      <c r="DAS12"/>
      <c r="DAW12"/>
      <c r="DBA12"/>
      <c r="DBE12"/>
      <c r="DBI12"/>
      <c r="DBM12"/>
      <c r="DBQ12"/>
      <c r="DBU12"/>
      <c r="DBY12"/>
      <c r="DCC12"/>
      <c r="DCG12"/>
      <c r="DCK12"/>
      <c r="DCO12"/>
      <c r="DCS12"/>
      <c r="DCW12"/>
      <c r="DDA12"/>
      <c r="DDE12"/>
      <c r="DDI12"/>
      <c r="DDM12"/>
      <c r="DDQ12"/>
      <c r="DDU12"/>
      <c r="DDY12"/>
      <c r="DEC12"/>
      <c r="DEG12"/>
      <c r="DEK12"/>
      <c r="DEO12"/>
      <c r="DES12"/>
      <c r="DEW12"/>
      <c r="DFA12"/>
      <c r="DFE12"/>
      <c r="DFI12"/>
      <c r="DFM12"/>
      <c r="DFQ12"/>
      <c r="DFU12"/>
      <c r="DFY12"/>
      <c r="DGC12"/>
      <c r="DGG12"/>
      <c r="DGK12"/>
      <c r="DGO12"/>
      <c r="DGS12"/>
      <c r="DGW12"/>
      <c r="DHA12"/>
      <c r="DHE12"/>
      <c r="DHI12"/>
      <c r="DHM12"/>
      <c r="DHQ12"/>
      <c r="DHU12"/>
      <c r="DHY12"/>
      <c r="DIC12"/>
      <c r="DIG12"/>
      <c r="DIK12"/>
      <c r="DIO12"/>
      <c r="DIS12"/>
      <c r="DIW12"/>
      <c r="DJA12"/>
      <c r="DJE12"/>
      <c r="DJI12"/>
      <c r="DJM12"/>
      <c r="DJQ12"/>
      <c r="DJU12"/>
      <c r="DJY12"/>
      <c r="DKC12"/>
      <c r="DKG12"/>
      <c r="DKK12"/>
      <c r="DKO12"/>
      <c r="DKS12"/>
      <c r="DKW12"/>
      <c r="DLA12"/>
      <c r="DLE12"/>
      <c r="DLI12"/>
      <c r="DLM12"/>
      <c r="DLQ12"/>
      <c r="DLU12"/>
      <c r="DLY12"/>
      <c r="DMC12"/>
      <c r="DMG12"/>
      <c r="DMK12"/>
      <c r="DMO12"/>
      <c r="DMS12"/>
      <c r="DMW12"/>
      <c r="DNA12"/>
      <c r="DNE12"/>
      <c r="DNI12"/>
      <c r="DNM12"/>
      <c r="DNQ12"/>
      <c r="DNU12"/>
      <c r="DNY12"/>
      <c r="DOC12"/>
      <c r="DOG12"/>
      <c r="DOK12"/>
      <c r="DOO12"/>
      <c r="DOS12"/>
      <c r="DOW12"/>
      <c r="DPA12"/>
      <c r="DPE12"/>
      <c r="DPI12"/>
      <c r="DPM12"/>
      <c r="DPQ12"/>
      <c r="DPU12"/>
      <c r="DPY12"/>
      <c r="DQC12"/>
      <c r="DQG12"/>
      <c r="DQK12"/>
      <c r="DQO12"/>
      <c r="DQS12"/>
      <c r="DQW12"/>
      <c r="DRA12"/>
      <c r="DRE12"/>
      <c r="DRI12"/>
      <c r="DRM12"/>
      <c r="DRQ12"/>
      <c r="DRU12"/>
      <c r="DRY12"/>
      <c r="DSC12"/>
      <c r="DSG12"/>
      <c r="DSK12"/>
      <c r="DSO12"/>
      <c r="DSS12"/>
      <c r="DSW12"/>
      <c r="DTA12"/>
      <c r="DTE12"/>
      <c r="DTI12"/>
      <c r="DTM12"/>
      <c r="DTQ12"/>
      <c r="DTU12"/>
      <c r="DTY12"/>
      <c r="DUC12"/>
      <c r="DUG12"/>
      <c r="DUK12"/>
      <c r="DUO12"/>
      <c r="DUS12"/>
      <c r="DUW12"/>
      <c r="DVA12"/>
      <c r="DVE12"/>
      <c r="DVI12"/>
      <c r="DVM12"/>
      <c r="DVQ12"/>
      <c r="DVU12"/>
      <c r="DVY12"/>
      <c r="DWC12"/>
      <c r="DWG12"/>
      <c r="DWK12"/>
      <c r="DWO12"/>
      <c r="DWS12"/>
      <c r="DWW12"/>
      <c r="DXA12"/>
      <c r="DXE12"/>
      <c r="DXI12"/>
      <c r="DXM12"/>
      <c r="DXQ12"/>
      <c r="DXU12"/>
      <c r="DXY12"/>
      <c r="DYC12"/>
      <c r="DYG12"/>
      <c r="DYK12"/>
      <c r="DYO12"/>
      <c r="DYS12"/>
      <c r="DYW12"/>
      <c r="DZA12"/>
      <c r="DZE12"/>
      <c r="DZI12"/>
      <c r="DZM12"/>
      <c r="DZQ12"/>
      <c r="DZU12"/>
      <c r="DZY12"/>
      <c r="EAC12"/>
      <c r="EAG12"/>
      <c r="EAK12"/>
      <c r="EAO12"/>
      <c r="EAS12"/>
      <c r="EAW12"/>
      <c r="EBA12"/>
      <c r="EBE12"/>
      <c r="EBI12"/>
      <c r="EBM12"/>
      <c r="EBQ12"/>
      <c r="EBU12"/>
      <c r="EBY12"/>
      <c r="ECC12"/>
      <c r="ECG12"/>
      <c r="ECK12"/>
      <c r="ECO12"/>
      <c r="ECS12"/>
      <c r="ECW12"/>
      <c r="EDA12"/>
      <c r="EDE12"/>
      <c r="EDI12"/>
      <c r="EDM12"/>
      <c r="EDQ12"/>
      <c r="EDU12"/>
      <c r="EDY12"/>
      <c r="EEC12"/>
      <c r="EEG12"/>
      <c r="EEK12"/>
      <c r="EEO12"/>
      <c r="EES12"/>
      <c r="EEW12"/>
      <c r="EFA12"/>
      <c r="EFE12"/>
      <c r="EFI12"/>
      <c r="EFM12"/>
      <c r="EFQ12"/>
      <c r="EFU12"/>
      <c r="EFY12"/>
      <c r="EGC12"/>
      <c r="EGG12"/>
      <c r="EGK12"/>
      <c r="EGO12"/>
      <c r="EGS12"/>
      <c r="EGW12"/>
      <c r="EHA12"/>
      <c r="EHE12"/>
      <c r="EHI12"/>
      <c r="EHM12"/>
      <c r="EHQ12"/>
      <c r="EHU12"/>
      <c r="EHY12"/>
      <c r="EIC12"/>
      <c r="EIG12"/>
      <c r="EIK12"/>
      <c r="EIO12"/>
      <c r="EIS12"/>
      <c r="EIW12"/>
      <c r="EJA12"/>
      <c r="EJE12"/>
      <c r="EJI12"/>
      <c r="EJM12"/>
      <c r="EJQ12"/>
      <c r="EJU12"/>
      <c r="EJY12"/>
      <c r="EKC12"/>
      <c r="EKG12"/>
      <c r="EKK12"/>
      <c r="EKO12"/>
      <c r="EKS12"/>
      <c r="EKW12"/>
      <c r="ELA12"/>
      <c r="ELE12"/>
      <c r="ELI12"/>
      <c r="ELM12"/>
      <c r="ELQ12"/>
      <c r="ELU12"/>
      <c r="ELY12"/>
      <c r="EMC12"/>
      <c r="EMG12"/>
      <c r="EMK12"/>
      <c r="EMO12"/>
      <c r="EMS12"/>
      <c r="EMW12"/>
      <c r="ENA12"/>
      <c r="ENE12"/>
      <c r="ENI12"/>
      <c r="ENM12"/>
      <c r="ENQ12"/>
      <c r="ENU12"/>
      <c r="ENY12"/>
      <c r="EOC12"/>
      <c r="EOG12"/>
      <c r="EOK12"/>
      <c r="EOO12"/>
      <c r="EOS12"/>
      <c r="EOW12"/>
      <c r="EPA12"/>
      <c r="EPE12"/>
      <c r="EPI12"/>
      <c r="EPM12"/>
      <c r="EPQ12"/>
      <c r="EPU12"/>
      <c r="EPY12"/>
      <c r="EQC12"/>
      <c r="EQG12"/>
      <c r="EQK12"/>
      <c r="EQO12"/>
      <c r="EQS12"/>
      <c r="EQW12"/>
      <c r="ERA12"/>
      <c r="ERE12"/>
      <c r="ERI12"/>
      <c r="ERM12"/>
      <c r="ERQ12"/>
      <c r="ERU12"/>
      <c r="ERY12"/>
      <c r="ESC12"/>
      <c r="ESG12"/>
      <c r="ESK12"/>
      <c r="ESO12"/>
      <c r="ESS12"/>
      <c r="ESW12"/>
      <c r="ETA12"/>
      <c r="ETE12"/>
      <c r="ETI12"/>
      <c r="ETM12"/>
      <c r="ETQ12"/>
      <c r="ETU12"/>
      <c r="ETY12"/>
      <c r="EUC12"/>
      <c r="EUG12"/>
      <c r="EUK12"/>
      <c r="EUO12"/>
      <c r="EUS12"/>
      <c r="EUW12"/>
      <c r="EVA12"/>
      <c r="EVE12"/>
      <c r="EVI12"/>
      <c r="EVM12"/>
      <c r="EVQ12"/>
      <c r="EVU12"/>
      <c r="EVY12"/>
      <c r="EWC12"/>
      <c r="EWG12"/>
      <c r="EWK12"/>
      <c r="EWO12"/>
      <c r="EWS12"/>
      <c r="EWW12"/>
      <c r="EXA12"/>
      <c r="EXE12"/>
      <c r="EXI12"/>
      <c r="EXM12"/>
      <c r="EXQ12"/>
      <c r="EXU12"/>
      <c r="EXY12"/>
      <c r="EYC12"/>
      <c r="EYG12"/>
      <c r="EYK12"/>
      <c r="EYO12"/>
      <c r="EYS12"/>
      <c r="EYW12"/>
      <c r="EZA12"/>
      <c r="EZE12"/>
      <c r="EZI12"/>
      <c r="EZM12"/>
      <c r="EZQ12"/>
      <c r="EZU12"/>
      <c r="EZY12"/>
      <c r="FAC12"/>
      <c r="FAG12"/>
      <c r="FAK12"/>
      <c r="FAO12"/>
      <c r="FAS12"/>
      <c r="FAW12"/>
      <c r="FBA12"/>
      <c r="FBE12"/>
      <c r="FBI12"/>
      <c r="FBM12"/>
      <c r="FBQ12"/>
      <c r="FBU12"/>
      <c r="FBY12"/>
      <c r="FCC12"/>
      <c r="FCG12"/>
      <c r="FCK12"/>
      <c r="FCO12"/>
      <c r="FCS12"/>
      <c r="FCW12"/>
      <c r="FDA12"/>
      <c r="FDE12"/>
      <c r="FDI12"/>
      <c r="FDM12"/>
      <c r="FDQ12"/>
      <c r="FDU12"/>
      <c r="FDY12"/>
      <c r="FEC12"/>
      <c r="FEG12"/>
      <c r="FEK12"/>
      <c r="FEO12"/>
      <c r="FES12"/>
      <c r="FEW12"/>
      <c r="FFA12"/>
      <c r="FFE12"/>
      <c r="FFI12"/>
      <c r="FFM12"/>
      <c r="FFQ12"/>
      <c r="FFU12"/>
      <c r="FFY12"/>
      <c r="FGC12"/>
      <c r="FGG12"/>
      <c r="FGK12"/>
      <c r="FGO12"/>
      <c r="FGS12"/>
      <c r="FGW12"/>
      <c r="FHA12"/>
      <c r="FHE12"/>
      <c r="FHI12"/>
      <c r="FHM12"/>
      <c r="FHQ12"/>
      <c r="FHU12"/>
      <c r="FHY12"/>
      <c r="FIC12"/>
      <c r="FIG12"/>
      <c r="FIK12"/>
      <c r="FIO12"/>
      <c r="FIS12"/>
      <c r="FIW12"/>
      <c r="FJA12"/>
      <c r="FJE12"/>
      <c r="FJI12"/>
      <c r="FJM12"/>
      <c r="FJQ12"/>
      <c r="FJU12"/>
      <c r="FJY12"/>
      <c r="FKC12"/>
      <c r="FKG12"/>
      <c r="FKK12"/>
      <c r="FKO12"/>
      <c r="FKS12"/>
      <c r="FKW12"/>
      <c r="FLA12"/>
      <c r="FLE12"/>
      <c r="FLI12"/>
      <c r="FLM12"/>
      <c r="FLQ12"/>
      <c r="FLU12"/>
      <c r="FLY12"/>
      <c r="FMC12"/>
      <c r="FMG12"/>
      <c r="FMK12"/>
      <c r="FMO12"/>
      <c r="FMS12"/>
      <c r="FMW12"/>
      <c r="FNA12"/>
      <c r="FNE12"/>
      <c r="FNI12"/>
      <c r="FNM12"/>
      <c r="FNQ12"/>
      <c r="FNU12"/>
      <c r="FNY12"/>
      <c r="FOC12"/>
      <c r="FOG12"/>
      <c r="FOK12"/>
      <c r="FOO12"/>
      <c r="FOS12"/>
      <c r="FOW12"/>
      <c r="FPA12"/>
      <c r="FPE12"/>
      <c r="FPI12"/>
      <c r="FPM12"/>
      <c r="FPQ12"/>
      <c r="FPU12"/>
      <c r="FPY12"/>
      <c r="FQC12"/>
      <c r="FQG12"/>
      <c r="FQK12"/>
      <c r="FQO12"/>
      <c r="FQS12"/>
      <c r="FQW12"/>
      <c r="FRA12"/>
      <c r="FRE12"/>
      <c r="FRI12"/>
      <c r="FRM12"/>
      <c r="FRQ12"/>
      <c r="FRU12"/>
      <c r="FRY12"/>
      <c r="FSC12"/>
      <c r="FSG12"/>
      <c r="FSK12"/>
      <c r="FSO12"/>
      <c r="FSS12"/>
      <c r="FSW12"/>
      <c r="FTA12"/>
      <c r="FTE12"/>
      <c r="FTI12"/>
      <c r="FTM12"/>
      <c r="FTQ12"/>
      <c r="FTU12"/>
      <c r="FTY12"/>
      <c r="FUC12"/>
      <c r="FUG12"/>
      <c r="FUK12"/>
      <c r="FUO12"/>
      <c r="FUS12"/>
      <c r="FUW12"/>
      <c r="FVA12"/>
      <c r="FVE12"/>
      <c r="FVI12"/>
      <c r="FVM12"/>
      <c r="FVQ12"/>
      <c r="FVU12"/>
      <c r="FVY12"/>
      <c r="FWC12"/>
      <c r="FWG12"/>
      <c r="FWK12"/>
      <c r="FWO12"/>
      <c r="FWS12"/>
      <c r="FWW12"/>
      <c r="FXA12"/>
      <c r="FXE12"/>
      <c r="FXI12"/>
      <c r="FXM12"/>
      <c r="FXQ12"/>
      <c r="FXU12"/>
      <c r="FXY12"/>
      <c r="FYC12"/>
      <c r="FYG12"/>
      <c r="FYK12"/>
      <c r="FYO12"/>
      <c r="FYS12"/>
      <c r="FYW12"/>
      <c r="FZA12"/>
      <c r="FZE12"/>
      <c r="FZI12"/>
      <c r="FZM12"/>
      <c r="FZQ12"/>
      <c r="FZU12"/>
      <c r="FZY12"/>
      <c r="GAC12"/>
      <c r="GAG12"/>
      <c r="GAK12"/>
      <c r="GAO12"/>
      <c r="GAS12"/>
      <c r="GAW12"/>
      <c r="GBA12"/>
      <c r="GBE12"/>
      <c r="GBI12"/>
      <c r="GBM12"/>
      <c r="GBQ12"/>
      <c r="GBU12"/>
      <c r="GBY12"/>
      <c r="GCC12"/>
      <c r="GCG12"/>
      <c r="GCK12"/>
      <c r="GCO12"/>
      <c r="GCS12"/>
      <c r="GCW12"/>
      <c r="GDA12"/>
      <c r="GDE12"/>
      <c r="GDI12"/>
      <c r="GDM12"/>
      <c r="GDQ12"/>
      <c r="GDU12"/>
      <c r="GDY12"/>
      <c r="GEC12"/>
      <c r="GEG12"/>
      <c r="GEK12"/>
      <c r="GEO12"/>
      <c r="GES12"/>
      <c r="GEW12"/>
      <c r="GFA12"/>
      <c r="GFE12"/>
      <c r="GFI12"/>
      <c r="GFM12"/>
      <c r="GFQ12"/>
      <c r="GFU12"/>
      <c r="GFY12"/>
      <c r="GGC12"/>
      <c r="GGG12"/>
      <c r="GGK12"/>
      <c r="GGO12"/>
      <c r="GGS12"/>
      <c r="GGW12"/>
      <c r="GHA12"/>
      <c r="GHE12"/>
      <c r="GHI12"/>
      <c r="GHM12"/>
      <c r="GHQ12"/>
      <c r="GHU12"/>
      <c r="GHY12"/>
      <c r="GIC12"/>
      <c r="GIG12"/>
      <c r="GIK12"/>
      <c r="GIO12"/>
      <c r="GIS12"/>
      <c r="GIW12"/>
      <c r="GJA12"/>
      <c r="GJE12"/>
      <c r="GJI12"/>
      <c r="GJM12"/>
      <c r="GJQ12"/>
      <c r="GJU12"/>
      <c r="GJY12"/>
      <c r="GKC12"/>
      <c r="GKG12"/>
      <c r="GKK12"/>
      <c r="GKO12"/>
      <c r="GKS12"/>
      <c r="GKW12"/>
      <c r="GLA12"/>
      <c r="GLE12"/>
      <c r="GLI12"/>
      <c r="GLM12"/>
      <c r="GLQ12"/>
      <c r="GLU12"/>
      <c r="GLY12"/>
      <c r="GMC12"/>
      <c r="GMG12"/>
      <c r="GMK12"/>
      <c r="GMO12"/>
      <c r="GMS12"/>
      <c r="GMW12"/>
      <c r="GNA12"/>
      <c r="GNE12"/>
      <c r="GNI12"/>
      <c r="GNM12"/>
      <c r="GNQ12"/>
      <c r="GNU12"/>
      <c r="GNY12"/>
      <c r="GOC12"/>
      <c r="GOG12"/>
      <c r="GOK12"/>
      <c r="GOO12"/>
      <c r="GOS12"/>
      <c r="GOW12"/>
      <c r="GPA12"/>
      <c r="GPE12"/>
      <c r="GPI12"/>
      <c r="GPM12"/>
      <c r="GPQ12"/>
      <c r="GPU12"/>
      <c r="GPY12"/>
      <c r="GQC12"/>
      <c r="GQG12"/>
      <c r="GQK12"/>
      <c r="GQO12"/>
      <c r="GQS12"/>
      <c r="GQW12"/>
      <c r="GRA12"/>
      <c r="GRE12"/>
      <c r="GRI12"/>
      <c r="GRM12"/>
      <c r="GRQ12"/>
      <c r="GRU12"/>
      <c r="GRY12"/>
      <c r="GSC12"/>
      <c r="GSG12"/>
      <c r="GSK12"/>
      <c r="GSO12"/>
      <c r="GSS12"/>
      <c r="GSW12"/>
      <c r="GTA12"/>
      <c r="GTE12"/>
      <c r="GTI12"/>
      <c r="GTM12"/>
      <c r="GTQ12"/>
      <c r="GTU12"/>
      <c r="GTY12"/>
      <c r="GUC12"/>
      <c r="GUG12"/>
      <c r="GUK12"/>
      <c r="GUO12"/>
      <c r="GUS12"/>
      <c r="GUW12"/>
      <c r="GVA12"/>
      <c r="GVE12"/>
      <c r="GVI12"/>
      <c r="GVM12"/>
      <c r="GVQ12"/>
      <c r="GVU12"/>
      <c r="GVY12"/>
      <c r="GWC12"/>
      <c r="GWG12"/>
      <c r="GWK12"/>
      <c r="GWO12"/>
      <c r="GWS12"/>
      <c r="GWW12"/>
      <c r="GXA12"/>
      <c r="GXE12"/>
      <c r="GXI12"/>
      <c r="GXM12"/>
      <c r="GXQ12"/>
      <c r="GXU12"/>
      <c r="GXY12"/>
      <c r="GYC12"/>
      <c r="GYG12"/>
      <c r="GYK12"/>
      <c r="GYO12"/>
      <c r="GYS12"/>
      <c r="GYW12"/>
      <c r="GZA12"/>
      <c r="GZE12"/>
      <c r="GZI12"/>
      <c r="GZM12"/>
      <c r="GZQ12"/>
      <c r="GZU12"/>
      <c r="GZY12"/>
      <c r="HAC12"/>
      <c r="HAG12"/>
      <c r="HAK12"/>
      <c r="HAO12"/>
      <c r="HAS12"/>
      <c r="HAW12"/>
      <c r="HBA12"/>
      <c r="HBE12"/>
      <c r="HBI12"/>
      <c r="HBM12"/>
      <c r="HBQ12"/>
      <c r="HBU12"/>
      <c r="HBY12"/>
      <c r="HCC12"/>
      <c r="HCG12"/>
      <c r="HCK12"/>
      <c r="HCO12"/>
      <c r="HCS12"/>
      <c r="HCW12"/>
      <c r="HDA12"/>
      <c r="HDE12"/>
      <c r="HDI12"/>
      <c r="HDM12"/>
      <c r="HDQ12"/>
      <c r="HDU12"/>
      <c r="HDY12"/>
      <c r="HEC12"/>
      <c r="HEG12"/>
      <c r="HEK12"/>
      <c r="HEO12"/>
      <c r="HES12"/>
      <c r="HEW12"/>
      <c r="HFA12"/>
      <c r="HFE12"/>
      <c r="HFI12"/>
      <c r="HFM12"/>
      <c r="HFQ12"/>
      <c r="HFU12"/>
      <c r="HFY12"/>
      <c r="HGC12"/>
      <c r="HGG12"/>
      <c r="HGK12"/>
      <c r="HGO12"/>
      <c r="HGS12"/>
      <c r="HGW12"/>
      <c r="HHA12"/>
      <c r="HHE12"/>
      <c r="HHI12"/>
      <c r="HHM12"/>
      <c r="HHQ12"/>
      <c r="HHU12"/>
      <c r="HHY12"/>
      <c r="HIC12"/>
      <c r="HIG12"/>
      <c r="HIK12"/>
      <c r="HIO12"/>
      <c r="HIS12"/>
      <c r="HIW12"/>
      <c r="HJA12"/>
      <c r="HJE12"/>
      <c r="HJI12"/>
      <c r="HJM12"/>
      <c r="HJQ12"/>
      <c r="HJU12"/>
      <c r="HJY12"/>
      <c r="HKC12"/>
      <c r="HKG12"/>
      <c r="HKK12"/>
      <c r="HKO12"/>
      <c r="HKS12"/>
      <c r="HKW12"/>
      <c r="HLA12"/>
      <c r="HLE12"/>
      <c r="HLI12"/>
      <c r="HLM12"/>
      <c r="HLQ12"/>
      <c r="HLU12"/>
      <c r="HLY12"/>
      <c r="HMC12"/>
      <c r="HMG12"/>
      <c r="HMK12"/>
      <c r="HMO12"/>
      <c r="HMS12"/>
      <c r="HMW12"/>
      <c r="HNA12"/>
      <c r="HNE12"/>
      <c r="HNI12"/>
      <c r="HNM12"/>
      <c r="HNQ12"/>
      <c r="HNU12"/>
      <c r="HNY12"/>
      <c r="HOC12"/>
      <c r="HOG12"/>
      <c r="HOK12"/>
      <c r="HOO12"/>
      <c r="HOS12"/>
      <c r="HOW12"/>
      <c r="HPA12"/>
      <c r="HPE12"/>
      <c r="HPI12"/>
      <c r="HPM12"/>
      <c r="HPQ12"/>
      <c r="HPU12"/>
      <c r="HPY12"/>
      <c r="HQC12"/>
      <c r="HQG12"/>
      <c r="HQK12"/>
      <c r="HQO12"/>
      <c r="HQS12"/>
      <c r="HQW12"/>
      <c r="HRA12"/>
      <c r="HRE12"/>
      <c r="HRI12"/>
      <c r="HRM12"/>
      <c r="HRQ12"/>
      <c r="HRU12"/>
      <c r="HRY12"/>
      <c r="HSC12"/>
      <c r="HSG12"/>
      <c r="HSK12"/>
      <c r="HSO12"/>
      <c r="HSS12"/>
      <c r="HSW12"/>
      <c r="HTA12"/>
      <c r="HTE12"/>
      <c r="HTI12"/>
      <c r="HTM12"/>
      <c r="HTQ12"/>
      <c r="HTU12"/>
      <c r="HTY12"/>
      <c r="HUC12"/>
      <c r="HUG12"/>
      <c r="HUK12"/>
      <c r="HUO12"/>
      <c r="HUS12"/>
      <c r="HUW12"/>
      <c r="HVA12"/>
      <c r="HVE12"/>
      <c r="HVI12"/>
      <c r="HVM12"/>
      <c r="HVQ12"/>
      <c r="HVU12"/>
      <c r="HVY12"/>
      <c r="HWC12"/>
      <c r="HWG12"/>
      <c r="HWK12"/>
      <c r="HWO12"/>
      <c r="HWS12"/>
      <c r="HWW12"/>
      <c r="HXA12"/>
      <c r="HXE12"/>
      <c r="HXI12"/>
      <c r="HXM12"/>
      <c r="HXQ12"/>
      <c r="HXU12"/>
      <c r="HXY12"/>
      <c r="HYC12"/>
      <c r="HYG12"/>
      <c r="HYK12"/>
      <c r="HYO12"/>
      <c r="HYS12"/>
      <c r="HYW12"/>
      <c r="HZA12"/>
      <c r="HZE12"/>
      <c r="HZI12"/>
      <c r="HZM12"/>
      <c r="HZQ12"/>
      <c r="HZU12"/>
      <c r="HZY12"/>
      <c r="IAC12"/>
      <c r="IAG12"/>
      <c r="IAK12"/>
      <c r="IAO12"/>
      <c r="IAS12"/>
      <c r="IAW12"/>
      <c r="IBA12"/>
      <c r="IBE12"/>
      <c r="IBI12"/>
      <c r="IBM12"/>
      <c r="IBQ12"/>
      <c r="IBU12"/>
      <c r="IBY12"/>
      <c r="ICC12"/>
      <c r="ICG12"/>
      <c r="ICK12"/>
      <c r="ICO12"/>
      <c r="ICS12"/>
      <c r="ICW12"/>
      <c r="IDA12"/>
      <c r="IDE12"/>
      <c r="IDI12"/>
      <c r="IDM12"/>
      <c r="IDQ12"/>
      <c r="IDU12"/>
      <c r="IDY12"/>
      <c r="IEC12"/>
      <c r="IEG12"/>
      <c r="IEK12"/>
      <c r="IEO12"/>
      <c r="IES12"/>
      <c r="IEW12"/>
      <c r="IFA12"/>
      <c r="IFE12"/>
      <c r="IFI12"/>
      <c r="IFM12"/>
      <c r="IFQ12"/>
      <c r="IFU12"/>
      <c r="IFY12"/>
      <c r="IGC12"/>
      <c r="IGG12"/>
      <c r="IGK12"/>
      <c r="IGO12"/>
      <c r="IGS12"/>
      <c r="IGW12"/>
      <c r="IHA12"/>
      <c r="IHE12"/>
      <c r="IHI12"/>
      <c r="IHM12"/>
      <c r="IHQ12"/>
      <c r="IHU12"/>
      <c r="IHY12"/>
      <c r="IIC12"/>
      <c r="IIG12"/>
      <c r="IIK12"/>
      <c r="IIO12"/>
      <c r="IIS12"/>
      <c r="IIW12"/>
      <c r="IJA12"/>
      <c r="IJE12"/>
      <c r="IJI12"/>
      <c r="IJM12"/>
      <c r="IJQ12"/>
      <c r="IJU12"/>
      <c r="IJY12"/>
      <c r="IKC12"/>
      <c r="IKG12"/>
      <c r="IKK12"/>
      <c r="IKO12"/>
      <c r="IKS12"/>
      <c r="IKW12"/>
      <c r="ILA12"/>
      <c r="ILE12"/>
      <c r="ILI12"/>
      <c r="ILM12"/>
      <c r="ILQ12"/>
      <c r="ILU12"/>
      <c r="ILY12"/>
      <c r="IMC12"/>
      <c r="IMG12"/>
      <c r="IMK12"/>
      <c r="IMO12"/>
      <c r="IMS12"/>
      <c r="IMW12"/>
      <c r="INA12"/>
      <c r="INE12"/>
      <c r="INI12"/>
      <c r="INM12"/>
      <c r="INQ12"/>
      <c r="INU12"/>
      <c r="INY12"/>
      <c r="IOC12"/>
      <c r="IOG12"/>
      <c r="IOK12"/>
      <c r="IOO12"/>
      <c r="IOS12"/>
      <c r="IOW12"/>
      <c r="IPA12"/>
      <c r="IPE12"/>
      <c r="IPI12"/>
      <c r="IPM12"/>
      <c r="IPQ12"/>
      <c r="IPU12"/>
      <c r="IPY12"/>
      <c r="IQC12"/>
      <c r="IQG12"/>
      <c r="IQK12"/>
      <c r="IQO12"/>
      <c r="IQS12"/>
      <c r="IQW12"/>
      <c r="IRA12"/>
      <c r="IRE12"/>
      <c r="IRI12"/>
      <c r="IRM12"/>
      <c r="IRQ12"/>
      <c r="IRU12"/>
      <c r="IRY12"/>
      <c r="ISC12"/>
      <c r="ISG12"/>
      <c r="ISK12"/>
      <c r="ISO12"/>
      <c r="ISS12"/>
      <c r="ISW12"/>
      <c r="ITA12"/>
      <c r="ITE12"/>
      <c r="ITI12"/>
      <c r="ITM12"/>
      <c r="ITQ12"/>
      <c r="ITU12"/>
      <c r="ITY12"/>
      <c r="IUC12"/>
      <c r="IUG12"/>
      <c r="IUK12"/>
      <c r="IUO12"/>
      <c r="IUS12"/>
      <c r="IUW12"/>
      <c r="IVA12"/>
      <c r="IVE12"/>
      <c r="IVI12"/>
      <c r="IVM12"/>
      <c r="IVQ12"/>
      <c r="IVU12"/>
      <c r="IVY12"/>
      <c r="IWC12"/>
      <c r="IWG12"/>
      <c r="IWK12"/>
      <c r="IWO12"/>
      <c r="IWS12"/>
      <c r="IWW12"/>
      <c r="IXA12"/>
      <c r="IXE12"/>
      <c r="IXI12"/>
      <c r="IXM12"/>
      <c r="IXQ12"/>
      <c r="IXU12"/>
      <c r="IXY12"/>
      <c r="IYC12"/>
      <c r="IYG12"/>
      <c r="IYK12"/>
      <c r="IYO12"/>
      <c r="IYS12"/>
      <c r="IYW12"/>
      <c r="IZA12"/>
      <c r="IZE12"/>
      <c r="IZI12"/>
      <c r="IZM12"/>
      <c r="IZQ12"/>
      <c r="IZU12"/>
      <c r="IZY12"/>
      <c r="JAC12"/>
      <c r="JAG12"/>
      <c r="JAK12"/>
      <c r="JAO12"/>
      <c r="JAS12"/>
      <c r="JAW12"/>
      <c r="JBA12"/>
      <c r="JBE12"/>
      <c r="JBI12"/>
      <c r="JBM12"/>
      <c r="JBQ12"/>
      <c r="JBU12"/>
      <c r="JBY12"/>
      <c r="JCC12"/>
      <c r="JCG12"/>
      <c r="JCK12"/>
      <c r="JCO12"/>
      <c r="JCS12"/>
      <c r="JCW12"/>
      <c r="JDA12"/>
      <c r="JDE12"/>
      <c r="JDI12"/>
      <c r="JDM12"/>
      <c r="JDQ12"/>
      <c r="JDU12"/>
      <c r="JDY12"/>
      <c r="JEC12"/>
      <c r="JEG12"/>
      <c r="JEK12"/>
      <c r="JEO12"/>
      <c r="JES12"/>
      <c r="JEW12"/>
      <c r="JFA12"/>
      <c r="JFE12"/>
      <c r="JFI12"/>
      <c r="JFM12"/>
      <c r="JFQ12"/>
      <c r="JFU12"/>
      <c r="JFY12"/>
      <c r="JGC12"/>
      <c r="JGG12"/>
      <c r="JGK12"/>
      <c r="JGO12"/>
      <c r="JGS12"/>
      <c r="JGW12"/>
      <c r="JHA12"/>
      <c r="JHE12"/>
      <c r="JHI12"/>
      <c r="JHM12"/>
      <c r="JHQ12"/>
      <c r="JHU12"/>
      <c r="JHY12"/>
      <c r="JIC12"/>
      <c r="JIG12"/>
      <c r="JIK12"/>
      <c r="JIO12"/>
      <c r="JIS12"/>
      <c r="JIW12"/>
      <c r="JJA12"/>
      <c r="JJE12"/>
      <c r="JJI12"/>
      <c r="JJM12"/>
      <c r="JJQ12"/>
      <c r="JJU12"/>
      <c r="JJY12"/>
      <c r="JKC12"/>
      <c r="JKG12"/>
      <c r="JKK12"/>
      <c r="JKO12"/>
      <c r="JKS12"/>
      <c r="JKW12"/>
      <c r="JLA12"/>
      <c r="JLE12"/>
      <c r="JLI12"/>
      <c r="JLM12"/>
      <c r="JLQ12"/>
      <c r="JLU12"/>
      <c r="JLY12"/>
      <c r="JMC12"/>
      <c r="JMG12"/>
      <c r="JMK12"/>
      <c r="JMO12"/>
      <c r="JMS12"/>
      <c r="JMW12"/>
      <c r="JNA12"/>
      <c r="JNE12"/>
      <c r="JNI12"/>
      <c r="JNM12"/>
      <c r="JNQ12"/>
      <c r="JNU12"/>
      <c r="JNY12"/>
      <c r="JOC12"/>
      <c r="JOG12"/>
      <c r="JOK12"/>
      <c r="JOO12"/>
      <c r="JOS12"/>
      <c r="JOW12"/>
      <c r="JPA12"/>
      <c r="JPE12"/>
      <c r="JPI12"/>
      <c r="JPM12"/>
      <c r="JPQ12"/>
      <c r="JPU12"/>
      <c r="JPY12"/>
      <c r="JQC12"/>
      <c r="JQG12"/>
      <c r="JQK12"/>
      <c r="JQO12"/>
      <c r="JQS12"/>
      <c r="JQW12"/>
      <c r="JRA12"/>
      <c r="JRE12"/>
      <c r="JRI12"/>
      <c r="JRM12"/>
      <c r="JRQ12"/>
      <c r="JRU12"/>
      <c r="JRY12"/>
      <c r="JSC12"/>
      <c r="JSG12"/>
      <c r="JSK12"/>
      <c r="JSO12"/>
      <c r="JSS12"/>
      <c r="JSW12"/>
      <c r="JTA12"/>
      <c r="JTE12"/>
      <c r="JTI12"/>
      <c r="JTM12"/>
      <c r="JTQ12"/>
      <c r="JTU12"/>
      <c r="JTY12"/>
      <c r="JUC12"/>
      <c r="JUG12"/>
      <c r="JUK12"/>
      <c r="JUO12"/>
      <c r="JUS12"/>
      <c r="JUW12"/>
      <c r="JVA12"/>
      <c r="JVE12"/>
      <c r="JVI12"/>
      <c r="JVM12"/>
      <c r="JVQ12"/>
      <c r="JVU12"/>
      <c r="JVY12"/>
      <c r="JWC12"/>
      <c r="JWG12"/>
      <c r="JWK12"/>
      <c r="JWO12"/>
      <c r="JWS12"/>
      <c r="JWW12"/>
      <c r="JXA12"/>
      <c r="JXE12"/>
      <c r="JXI12"/>
      <c r="JXM12"/>
      <c r="JXQ12"/>
      <c r="JXU12"/>
      <c r="JXY12"/>
      <c r="JYC12"/>
      <c r="JYG12"/>
      <c r="JYK12"/>
      <c r="JYO12"/>
      <c r="JYS12"/>
      <c r="JYW12"/>
      <c r="JZA12"/>
      <c r="JZE12"/>
      <c r="JZI12"/>
      <c r="JZM12"/>
      <c r="JZQ12"/>
      <c r="JZU12"/>
      <c r="JZY12"/>
      <c r="KAC12"/>
      <c r="KAG12"/>
      <c r="KAK12"/>
      <c r="KAO12"/>
      <c r="KAS12"/>
      <c r="KAW12"/>
      <c r="KBA12"/>
      <c r="KBE12"/>
      <c r="KBI12"/>
      <c r="KBM12"/>
      <c r="KBQ12"/>
      <c r="KBU12"/>
      <c r="KBY12"/>
      <c r="KCC12"/>
      <c r="KCG12"/>
      <c r="KCK12"/>
      <c r="KCO12"/>
      <c r="KCS12"/>
      <c r="KCW12"/>
      <c r="KDA12"/>
      <c r="KDE12"/>
      <c r="KDI12"/>
      <c r="KDM12"/>
      <c r="KDQ12"/>
      <c r="KDU12"/>
      <c r="KDY12"/>
      <c r="KEC12"/>
      <c r="KEG12"/>
      <c r="KEK12"/>
      <c r="KEO12"/>
      <c r="KES12"/>
      <c r="KEW12"/>
      <c r="KFA12"/>
      <c r="KFE12"/>
      <c r="KFI12"/>
      <c r="KFM12"/>
      <c r="KFQ12"/>
      <c r="KFU12"/>
      <c r="KFY12"/>
      <c r="KGC12"/>
      <c r="KGG12"/>
      <c r="KGK12"/>
      <c r="KGO12"/>
      <c r="KGS12"/>
      <c r="KGW12"/>
      <c r="KHA12"/>
      <c r="KHE12"/>
      <c r="KHI12"/>
      <c r="KHM12"/>
      <c r="KHQ12"/>
      <c r="KHU12"/>
      <c r="KHY12"/>
      <c r="KIC12"/>
      <c r="KIG12"/>
      <c r="KIK12"/>
      <c r="KIO12"/>
      <c r="KIS12"/>
      <c r="KIW12"/>
      <c r="KJA12"/>
      <c r="KJE12"/>
      <c r="KJI12"/>
      <c r="KJM12"/>
      <c r="KJQ12"/>
      <c r="KJU12"/>
      <c r="KJY12"/>
      <c r="KKC12"/>
      <c r="KKG12"/>
      <c r="KKK12"/>
      <c r="KKO12"/>
      <c r="KKS12"/>
      <c r="KKW12"/>
      <c r="KLA12"/>
      <c r="KLE12"/>
      <c r="KLI12"/>
      <c r="KLM12"/>
      <c r="KLQ12"/>
      <c r="KLU12"/>
      <c r="KLY12"/>
      <c r="KMC12"/>
      <c r="KMG12"/>
      <c r="KMK12"/>
      <c r="KMO12"/>
      <c r="KMS12"/>
      <c r="KMW12"/>
      <c r="KNA12"/>
      <c r="KNE12"/>
      <c r="KNI12"/>
      <c r="KNM12"/>
      <c r="KNQ12"/>
      <c r="KNU12"/>
      <c r="KNY12"/>
      <c r="KOC12"/>
      <c r="KOG12"/>
      <c r="KOK12"/>
      <c r="KOO12"/>
      <c r="KOS12"/>
      <c r="KOW12"/>
      <c r="KPA12"/>
      <c r="KPE12"/>
      <c r="KPI12"/>
      <c r="KPM12"/>
      <c r="KPQ12"/>
      <c r="KPU12"/>
      <c r="KPY12"/>
      <c r="KQC12"/>
      <c r="KQG12"/>
      <c r="KQK12"/>
      <c r="KQO12"/>
      <c r="KQS12"/>
      <c r="KQW12"/>
      <c r="KRA12"/>
      <c r="KRE12"/>
      <c r="KRI12"/>
      <c r="KRM12"/>
      <c r="KRQ12"/>
      <c r="KRU12"/>
      <c r="KRY12"/>
      <c r="KSC12"/>
      <c r="KSG12"/>
      <c r="KSK12"/>
      <c r="KSO12"/>
      <c r="KSS12"/>
      <c r="KSW12"/>
      <c r="KTA12"/>
      <c r="KTE12"/>
      <c r="KTI12"/>
      <c r="KTM12"/>
      <c r="KTQ12"/>
      <c r="KTU12"/>
      <c r="KTY12"/>
      <c r="KUC12"/>
      <c r="KUG12"/>
      <c r="KUK12"/>
      <c r="KUO12"/>
      <c r="KUS12"/>
      <c r="KUW12"/>
      <c r="KVA12"/>
      <c r="KVE12"/>
      <c r="KVI12"/>
      <c r="KVM12"/>
      <c r="KVQ12"/>
      <c r="KVU12"/>
      <c r="KVY12"/>
      <c r="KWC12"/>
      <c r="KWG12"/>
      <c r="KWK12"/>
      <c r="KWO12"/>
      <c r="KWS12"/>
      <c r="KWW12"/>
      <c r="KXA12"/>
      <c r="KXE12"/>
      <c r="KXI12"/>
      <c r="KXM12"/>
      <c r="KXQ12"/>
      <c r="KXU12"/>
      <c r="KXY12"/>
      <c r="KYC12"/>
      <c r="KYG12"/>
      <c r="KYK12"/>
      <c r="KYO12"/>
      <c r="KYS12"/>
      <c r="KYW12"/>
      <c r="KZA12"/>
      <c r="KZE12"/>
      <c r="KZI12"/>
      <c r="KZM12"/>
      <c r="KZQ12"/>
      <c r="KZU12"/>
      <c r="KZY12"/>
      <c r="LAC12"/>
      <c r="LAG12"/>
      <c r="LAK12"/>
      <c r="LAO12"/>
      <c r="LAS12"/>
      <c r="LAW12"/>
      <c r="LBA12"/>
      <c r="LBE12"/>
      <c r="LBI12"/>
      <c r="LBM12"/>
      <c r="LBQ12"/>
      <c r="LBU12"/>
      <c r="LBY12"/>
      <c r="LCC12"/>
      <c r="LCG12"/>
      <c r="LCK12"/>
      <c r="LCO12"/>
      <c r="LCS12"/>
      <c r="LCW12"/>
      <c r="LDA12"/>
      <c r="LDE12"/>
      <c r="LDI12"/>
      <c r="LDM12"/>
      <c r="LDQ12"/>
      <c r="LDU12"/>
      <c r="LDY12"/>
      <c r="LEC12"/>
      <c r="LEG12"/>
      <c r="LEK12"/>
      <c r="LEO12"/>
      <c r="LES12"/>
      <c r="LEW12"/>
      <c r="LFA12"/>
      <c r="LFE12"/>
      <c r="LFI12"/>
      <c r="LFM12"/>
      <c r="LFQ12"/>
      <c r="LFU12"/>
      <c r="LFY12"/>
      <c r="LGC12"/>
      <c r="LGG12"/>
      <c r="LGK12"/>
      <c r="LGO12"/>
      <c r="LGS12"/>
      <c r="LGW12"/>
      <c r="LHA12"/>
      <c r="LHE12"/>
      <c r="LHI12"/>
      <c r="LHM12"/>
      <c r="LHQ12"/>
      <c r="LHU12"/>
      <c r="LHY12"/>
      <c r="LIC12"/>
      <c r="LIG12"/>
      <c r="LIK12"/>
      <c r="LIO12"/>
      <c r="LIS12"/>
      <c r="LIW12"/>
      <c r="LJA12"/>
      <c r="LJE12"/>
      <c r="LJI12"/>
      <c r="LJM12"/>
      <c r="LJQ12"/>
      <c r="LJU12"/>
      <c r="LJY12"/>
      <c r="LKC12"/>
      <c r="LKG12"/>
      <c r="LKK12"/>
      <c r="LKO12"/>
      <c r="LKS12"/>
      <c r="LKW12"/>
      <c r="LLA12"/>
      <c r="LLE12"/>
      <c r="LLI12"/>
      <c r="LLM12"/>
      <c r="LLQ12"/>
      <c r="LLU12"/>
      <c r="LLY12"/>
      <c r="LMC12"/>
      <c r="LMG12"/>
      <c r="LMK12"/>
      <c r="LMO12"/>
      <c r="LMS12"/>
      <c r="LMW12"/>
      <c r="LNA12"/>
      <c r="LNE12"/>
      <c r="LNI12"/>
      <c r="LNM12"/>
      <c r="LNQ12"/>
      <c r="LNU12"/>
      <c r="LNY12"/>
      <c r="LOC12"/>
      <c r="LOG12"/>
      <c r="LOK12"/>
      <c r="LOO12"/>
      <c r="LOS12"/>
      <c r="LOW12"/>
      <c r="LPA12"/>
      <c r="LPE12"/>
      <c r="LPI12"/>
      <c r="LPM12"/>
      <c r="LPQ12"/>
      <c r="LPU12"/>
      <c r="LPY12"/>
      <c r="LQC12"/>
      <c r="LQG12"/>
      <c r="LQK12"/>
      <c r="LQO12"/>
      <c r="LQS12"/>
      <c r="LQW12"/>
      <c r="LRA12"/>
      <c r="LRE12"/>
      <c r="LRI12"/>
      <c r="LRM12"/>
      <c r="LRQ12"/>
      <c r="LRU12"/>
      <c r="LRY12"/>
      <c r="LSC12"/>
      <c r="LSG12"/>
      <c r="LSK12"/>
      <c r="LSO12"/>
      <c r="LSS12"/>
      <c r="LSW12"/>
      <c r="LTA12"/>
      <c r="LTE12"/>
      <c r="LTI12"/>
      <c r="LTM12"/>
      <c r="LTQ12"/>
      <c r="LTU12"/>
      <c r="LTY12"/>
      <c r="LUC12"/>
      <c r="LUG12"/>
      <c r="LUK12"/>
      <c r="LUO12"/>
      <c r="LUS12"/>
      <c r="LUW12"/>
      <c r="LVA12"/>
      <c r="LVE12"/>
      <c r="LVI12"/>
      <c r="LVM12"/>
      <c r="LVQ12"/>
      <c r="LVU12"/>
      <c r="LVY12"/>
      <c r="LWC12"/>
      <c r="LWG12"/>
      <c r="LWK12"/>
      <c r="LWO12"/>
      <c r="LWS12"/>
      <c r="LWW12"/>
      <c r="LXA12"/>
      <c r="LXE12"/>
      <c r="LXI12"/>
      <c r="LXM12"/>
      <c r="LXQ12"/>
      <c r="LXU12"/>
      <c r="LXY12"/>
      <c r="LYC12"/>
      <c r="LYG12"/>
      <c r="LYK12"/>
      <c r="LYO12"/>
      <c r="LYS12"/>
      <c r="LYW12"/>
      <c r="LZA12"/>
      <c r="LZE12"/>
      <c r="LZI12"/>
      <c r="LZM12"/>
      <c r="LZQ12"/>
      <c r="LZU12"/>
      <c r="LZY12"/>
      <c r="MAC12"/>
      <c r="MAG12"/>
      <c r="MAK12"/>
      <c r="MAO12"/>
      <c r="MAS12"/>
      <c r="MAW12"/>
      <c r="MBA12"/>
      <c r="MBE12"/>
      <c r="MBI12"/>
      <c r="MBM12"/>
      <c r="MBQ12"/>
      <c r="MBU12"/>
      <c r="MBY12"/>
      <c r="MCC12"/>
      <c r="MCG12"/>
      <c r="MCK12"/>
      <c r="MCO12"/>
      <c r="MCS12"/>
      <c r="MCW12"/>
      <c r="MDA12"/>
      <c r="MDE12"/>
      <c r="MDI12"/>
      <c r="MDM12"/>
      <c r="MDQ12"/>
      <c r="MDU12"/>
      <c r="MDY12"/>
      <c r="MEC12"/>
      <c r="MEG12"/>
      <c r="MEK12"/>
      <c r="MEO12"/>
      <c r="MES12"/>
      <c r="MEW12"/>
      <c r="MFA12"/>
      <c r="MFE12"/>
      <c r="MFI12"/>
      <c r="MFM12"/>
      <c r="MFQ12"/>
      <c r="MFU12"/>
      <c r="MFY12"/>
      <c r="MGC12"/>
      <c r="MGG12"/>
      <c r="MGK12"/>
      <c r="MGO12"/>
      <c r="MGS12"/>
      <c r="MGW12"/>
      <c r="MHA12"/>
      <c r="MHE12"/>
      <c r="MHI12"/>
      <c r="MHM12"/>
      <c r="MHQ12"/>
      <c r="MHU12"/>
      <c r="MHY12"/>
      <c r="MIC12"/>
      <c r="MIG12"/>
      <c r="MIK12"/>
      <c r="MIO12"/>
      <c r="MIS12"/>
      <c r="MIW12"/>
      <c r="MJA12"/>
      <c r="MJE12"/>
      <c r="MJI12"/>
      <c r="MJM12"/>
      <c r="MJQ12"/>
      <c r="MJU12"/>
      <c r="MJY12"/>
      <c r="MKC12"/>
      <c r="MKG12"/>
      <c r="MKK12"/>
      <c r="MKO12"/>
      <c r="MKS12"/>
      <c r="MKW12"/>
      <c r="MLA12"/>
      <c r="MLE12"/>
      <c r="MLI12"/>
      <c r="MLM12"/>
      <c r="MLQ12"/>
      <c r="MLU12"/>
      <c r="MLY12"/>
      <c r="MMC12"/>
      <c r="MMG12"/>
      <c r="MMK12"/>
      <c r="MMO12"/>
      <c r="MMS12"/>
      <c r="MMW12"/>
      <c r="MNA12"/>
      <c r="MNE12"/>
      <c r="MNI12"/>
      <c r="MNM12"/>
      <c r="MNQ12"/>
      <c r="MNU12"/>
      <c r="MNY12"/>
      <c r="MOC12"/>
      <c r="MOG12"/>
      <c r="MOK12"/>
      <c r="MOO12"/>
      <c r="MOS12"/>
      <c r="MOW12"/>
      <c r="MPA12"/>
      <c r="MPE12"/>
      <c r="MPI12"/>
      <c r="MPM12"/>
      <c r="MPQ12"/>
      <c r="MPU12"/>
      <c r="MPY12"/>
      <c r="MQC12"/>
      <c r="MQG12"/>
      <c r="MQK12"/>
      <c r="MQO12"/>
      <c r="MQS12"/>
      <c r="MQW12"/>
      <c r="MRA12"/>
      <c r="MRE12"/>
      <c r="MRI12"/>
      <c r="MRM12"/>
      <c r="MRQ12"/>
      <c r="MRU12"/>
      <c r="MRY12"/>
      <c r="MSC12"/>
      <c r="MSG12"/>
      <c r="MSK12"/>
      <c r="MSO12"/>
      <c r="MSS12"/>
      <c r="MSW12"/>
      <c r="MTA12"/>
      <c r="MTE12"/>
      <c r="MTI12"/>
      <c r="MTM12"/>
      <c r="MTQ12"/>
      <c r="MTU12"/>
      <c r="MTY12"/>
      <c r="MUC12"/>
      <c r="MUG12"/>
      <c r="MUK12"/>
      <c r="MUO12"/>
      <c r="MUS12"/>
      <c r="MUW12"/>
      <c r="MVA12"/>
      <c r="MVE12"/>
      <c r="MVI12"/>
      <c r="MVM12"/>
      <c r="MVQ12"/>
      <c r="MVU12"/>
      <c r="MVY12"/>
      <c r="MWC12"/>
      <c r="MWG12"/>
      <c r="MWK12"/>
      <c r="MWO12"/>
      <c r="MWS12"/>
      <c r="MWW12"/>
      <c r="MXA12"/>
      <c r="MXE12"/>
      <c r="MXI12"/>
      <c r="MXM12"/>
      <c r="MXQ12"/>
      <c r="MXU12"/>
      <c r="MXY12"/>
      <c r="MYC12"/>
      <c r="MYG12"/>
      <c r="MYK12"/>
      <c r="MYO12"/>
      <c r="MYS12"/>
      <c r="MYW12"/>
      <c r="MZA12"/>
      <c r="MZE12"/>
      <c r="MZI12"/>
      <c r="MZM12"/>
      <c r="MZQ12"/>
      <c r="MZU12"/>
      <c r="MZY12"/>
      <c r="NAC12"/>
      <c r="NAG12"/>
      <c r="NAK12"/>
      <c r="NAO12"/>
      <c r="NAS12"/>
      <c r="NAW12"/>
      <c r="NBA12"/>
      <c r="NBE12"/>
      <c r="NBI12"/>
      <c r="NBM12"/>
      <c r="NBQ12"/>
      <c r="NBU12"/>
      <c r="NBY12"/>
      <c r="NCC12"/>
      <c r="NCG12"/>
      <c r="NCK12"/>
      <c r="NCO12"/>
      <c r="NCS12"/>
      <c r="NCW12"/>
      <c r="NDA12"/>
      <c r="NDE12"/>
      <c r="NDI12"/>
      <c r="NDM12"/>
      <c r="NDQ12"/>
      <c r="NDU12"/>
      <c r="NDY12"/>
      <c r="NEC12"/>
      <c r="NEG12"/>
      <c r="NEK12"/>
      <c r="NEO12"/>
      <c r="NES12"/>
      <c r="NEW12"/>
      <c r="NFA12"/>
      <c r="NFE12"/>
      <c r="NFI12"/>
      <c r="NFM12"/>
      <c r="NFQ12"/>
      <c r="NFU12"/>
      <c r="NFY12"/>
      <c r="NGC12"/>
      <c r="NGG12"/>
      <c r="NGK12"/>
      <c r="NGO12"/>
      <c r="NGS12"/>
      <c r="NGW12"/>
      <c r="NHA12"/>
      <c r="NHE12"/>
      <c r="NHI12"/>
      <c r="NHM12"/>
      <c r="NHQ12"/>
      <c r="NHU12"/>
      <c r="NHY12"/>
      <c r="NIC12"/>
      <c r="NIG12"/>
      <c r="NIK12"/>
      <c r="NIO12"/>
      <c r="NIS12"/>
      <c r="NIW12"/>
      <c r="NJA12"/>
      <c r="NJE12"/>
      <c r="NJI12"/>
      <c r="NJM12"/>
      <c r="NJQ12"/>
      <c r="NJU12"/>
      <c r="NJY12"/>
      <c r="NKC12"/>
      <c r="NKG12"/>
      <c r="NKK12"/>
      <c r="NKO12"/>
      <c r="NKS12"/>
      <c r="NKW12"/>
      <c r="NLA12"/>
      <c r="NLE12"/>
      <c r="NLI12"/>
      <c r="NLM12"/>
      <c r="NLQ12"/>
      <c r="NLU12"/>
      <c r="NLY12"/>
      <c r="NMC12"/>
      <c r="NMG12"/>
      <c r="NMK12"/>
      <c r="NMO12"/>
      <c r="NMS12"/>
      <c r="NMW12"/>
      <c r="NNA12"/>
      <c r="NNE12"/>
      <c r="NNI12"/>
      <c r="NNM12"/>
      <c r="NNQ12"/>
      <c r="NNU12"/>
      <c r="NNY12"/>
      <c r="NOC12"/>
      <c r="NOG12"/>
      <c r="NOK12"/>
      <c r="NOO12"/>
      <c r="NOS12"/>
      <c r="NOW12"/>
      <c r="NPA12"/>
      <c r="NPE12"/>
      <c r="NPI12"/>
      <c r="NPM12"/>
      <c r="NPQ12"/>
      <c r="NPU12"/>
      <c r="NPY12"/>
      <c r="NQC12"/>
      <c r="NQG12"/>
      <c r="NQK12"/>
      <c r="NQO12"/>
      <c r="NQS12"/>
      <c r="NQW12"/>
      <c r="NRA12"/>
      <c r="NRE12"/>
      <c r="NRI12"/>
      <c r="NRM12"/>
      <c r="NRQ12"/>
      <c r="NRU12"/>
      <c r="NRY12"/>
      <c r="NSC12"/>
      <c r="NSG12"/>
      <c r="NSK12"/>
      <c r="NSO12"/>
      <c r="NSS12"/>
      <c r="NSW12"/>
      <c r="NTA12"/>
      <c r="NTE12"/>
      <c r="NTI12"/>
      <c r="NTM12"/>
      <c r="NTQ12"/>
      <c r="NTU12"/>
      <c r="NTY12"/>
      <c r="NUC12"/>
      <c r="NUG12"/>
      <c r="NUK12"/>
      <c r="NUO12"/>
      <c r="NUS12"/>
      <c r="NUW12"/>
      <c r="NVA12"/>
      <c r="NVE12"/>
      <c r="NVI12"/>
      <c r="NVM12"/>
      <c r="NVQ12"/>
      <c r="NVU12"/>
      <c r="NVY12"/>
      <c r="NWC12"/>
      <c r="NWG12"/>
      <c r="NWK12"/>
      <c r="NWO12"/>
      <c r="NWS12"/>
      <c r="NWW12"/>
      <c r="NXA12"/>
      <c r="NXE12"/>
      <c r="NXI12"/>
      <c r="NXM12"/>
      <c r="NXQ12"/>
      <c r="NXU12"/>
      <c r="NXY12"/>
      <c r="NYC12"/>
      <c r="NYG12"/>
      <c r="NYK12"/>
      <c r="NYO12"/>
      <c r="NYS12"/>
      <c r="NYW12"/>
      <c r="NZA12"/>
      <c r="NZE12"/>
      <c r="NZI12"/>
      <c r="NZM12"/>
      <c r="NZQ12"/>
      <c r="NZU12"/>
      <c r="NZY12"/>
      <c r="OAC12"/>
      <c r="OAG12"/>
      <c r="OAK12"/>
      <c r="OAO12"/>
      <c r="OAS12"/>
      <c r="OAW12"/>
      <c r="OBA12"/>
      <c r="OBE12"/>
      <c r="OBI12"/>
      <c r="OBM12"/>
      <c r="OBQ12"/>
      <c r="OBU12"/>
      <c r="OBY12"/>
      <c r="OCC12"/>
      <c r="OCG12"/>
      <c r="OCK12"/>
      <c r="OCO12"/>
      <c r="OCS12"/>
      <c r="OCW12"/>
      <c r="ODA12"/>
      <c r="ODE12"/>
      <c r="ODI12"/>
      <c r="ODM12"/>
      <c r="ODQ12"/>
      <c r="ODU12"/>
      <c r="ODY12"/>
      <c r="OEC12"/>
      <c r="OEG12"/>
      <c r="OEK12"/>
      <c r="OEO12"/>
      <c r="OES12"/>
      <c r="OEW12"/>
      <c r="OFA12"/>
      <c r="OFE12"/>
      <c r="OFI12"/>
      <c r="OFM12"/>
      <c r="OFQ12"/>
      <c r="OFU12"/>
      <c r="OFY12"/>
      <c r="OGC12"/>
      <c r="OGG12"/>
      <c r="OGK12"/>
      <c r="OGO12"/>
      <c r="OGS12"/>
      <c r="OGW12"/>
      <c r="OHA12"/>
      <c r="OHE12"/>
      <c r="OHI12"/>
      <c r="OHM12"/>
      <c r="OHQ12"/>
      <c r="OHU12"/>
      <c r="OHY12"/>
      <c r="OIC12"/>
      <c r="OIG12"/>
      <c r="OIK12"/>
      <c r="OIO12"/>
      <c r="OIS12"/>
      <c r="OIW12"/>
      <c r="OJA12"/>
      <c r="OJE12"/>
      <c r="OJI12"/>
      <c r="OJM12"/>
      <c r="OJQ12"/>
      <c r="OJU12"/>
      <c r="OJY12"/>
      <c r="OKC12"/>
      <c r="OKG12"/>
      <c r="OKK12"/>
      <c r="OKO12"/>
      <c r="OKS12"/>
      <c r="OKW12"/>
      <c r="OLA12"/>
      <c r="OLE12"/>
      <c r="OLI12"/>
      <c r="OLM12"/>
      <c r="OLQ12"/>
      <c r="OLU12"/>
      <c r="OLY12"/>
      <c r="OMC12"/>
      <c r="OMG12"/>
      <c r="OMK12"/>
      <c r="OMO12"/>
      <c r="OMS12"/>
      <c r="OMW12"/>
      <c r="ONA12"/>
      <c r="ONE12"/>
      <c r="ONI12"/>
      <c r="ONM12"/>
      <c r="ONQ12"/>
      <c r="ONU12"/>
      <c r="ONY12"/>
      <c r="OOC12"/>
      <c r="OOG12"/>
      <c r="OOK12"/>
      <c r="OOO12"/>
      <c r="OOS12"/>
      <c r="OOW12"/>
      <c r="OPA12"/>
      <c r="OPE12"/>
      <c r="OPI12"/>
      <c r="OPM12"/>
      <c r="OPQ12"/>
      <c r="OPU12"/>
      <c r="OPY12"/>
      <c r="OQC12"/>
      <c r="OQG12"/>
      <c r="OQK12"/>
      <c r="OQO12"/>
      <c r="OQS12"/>
      <c r="OQW12"/>
      <c r="ORA12"/>
      <c r="ORE12"/>
      <c r="ORI12"/>
      <c r="ORM12"/>
      <c r="ORQ12"/>
      <c r="ORU12"/>
      <c r="ORY12"/>
      <c r="OSC12"/>
      <c r="OSG12"/>
      <c r="OSK12"/>
      <c r="OSO12"/>
      <c r="OSS12"/>
      <c r="OSW12"/>
      <c r="OTA12"/>
      <c r="OTE12"/>
      <c r="OTI12"/>
      <c r="OTM12"/>
      <c r="OTQ12"/>
      <c r="OTU12"/>
      <c r="OTY12"/>
      <c r="OUC12"/>
      <c r="OUG12"/>
      <c r="OUK12"/>
      <c r="OUO12"/>
      <c r="OUS12"/>
      <c r="OUW12"/>
      <c r="OVA12"/>
      <c r="OVE12"/>
      <c r="OVI12"/>
      <c r="OVM12"/>
      <c r="OVQ12"/>
      <c r="OVU12"/>
      <c r="OVY12"/>
      <c r="OWC12"/>
      <c r="OWG12"/>
      <c r="OWK12"/>
      <c r="OWO12"/>
      <c r="OWS12"/>
      <c r="OWW12"/>
      <c r="OXA12"/>
      <c r="OXE12"/>
      <c r="OXI12"/>
      <c r="OXM12"/>
      <c r="OXQ12"/>
      <c r="OXU12"/>
      <c r="OXY12"/>
      <c r="OYC12"/>
      <c r="OYG12"/>
      <c r="OYK12"/>
      <c r="OYO12"/>
      <c r="OYS12"/>
      <c r="OYW12"/>
      <c r="OZA12"/>
      <c r="OZE12"/>
      <c r="OZI12"/>
      <c r="OZM12"/>
      <c r="OZQ12"/>
      <c r="OZU12"/>
      <c r="OZY12"/>
      <c r="PAC12"/>
      <c r="PAG12"/>
      <c r="PAK12"/>
      <c r="PAO12"/>
      <c r="PAS12"/>
      <c r="PAW12"/>
      <c r="PBA12"/>
      <c r="PBE12"/>
      <c r="PBI12"/>
      <c r="PBM12"/>
      <c r="PBQ12"/>
      <c r="PBU12"/>
      <c r="PBY12"/>
      <c r="PCC12"/>
      <c r="PCG12"/>
      <c r="PCK12"/>
      <c r="PCO12"/>
      <c r="PCS12"/>
      <c r="PCW12"/>
      <c r="PDA12"/>
      <c r="PDE12"/>
      <c r="PDI12"/>
      <c r="PDM12"/>
      <c r="PDQ12"/>
      <c r="PDU12"/>
      <c r="PDY12"/>
      <c r="PEC12"/>
      <c r="PEG12"/>
      <c r="PEK12"/>
      <c r="PEO12"/>
      <c r="PES12"/>
      <c r="PEW12"/>
      <c r="PFA12"/>
      <c r="PFE12"/>
      <c r="PFI12"/>
      <c r="PFM12"/>
      <c r="PFQ12"/>
      <c r="PFU12"/>
      <c r="PFY12"/>
      <c r="PGC12"/>
      <c r="PGG12"/>
      <c r="PGK12"/>
      <c r="PGO12"/>
      <c r="PGS12"/>
      <c r="PGW12"/>
      <c r="PHA12"/>
      <c r="PHE12"/>
      <c r="PHI12"/>
      <c r="PHM12"/>
      <c r="PHQ12"/>
      <c r="PHU12"/>
      <c r="PHY12"/>
      <c r="PIC12"/>
      <c r="PIG12"/>
      <c r="PIK12"/>
      <c r="PIO12"/>
      <c r="PIS12"/>
      <c r="PIW12"/>
      <c r="PJA12"/>
      <c r="PJE12"/>
      <c r="PJI12"/>
      <c r="PJM12"/>
      <c r="PJQ12"/>
      <c r="PJU12"/>
      <c r="PJY12"/>
      <c r="PKC12"/>
      <c r="PKG12"/>
      <c r="PKK12"/>
      <c r="PKO12"/>
      <c r="PKS12"/>
      <c r="PKW12"/>
      <c r="PLA12"/>
      <c r="PLE12"/>
      <c r="PLI12"/>
      <c r="PLM12"/>
      <c r="PLQ12"/>
      <c r="PLU12"/>
      <c r="PLY12"/>
      <c r="PMC12"/>
      <c r="PMG12"/>
      <c r="PMK12"/>
      <c r="PMO12"/>
      <c r="PMS12"/>
      <c r="PMW12"/>
      <c r="PNA12"/>
      <c r="PNE12"/>
      <c r="PNI12"/>
      <c r="PNM12"/>
      <c r="PNQ12"/>
      <c r="PNU12"/>
      <c r="PNY12"/>
      <c r="POC12"/>
      <c r="POG12"/>
      <c r="POK12"/>
      <c r="POO12"/>
      <c r="POS12"/>
      <c r="POW12"/>
      <c r="PPA12"/>
      <c r="PPE12"/>
      <c r="PPI12"/>
      <c r="PPM12"/>
      <c r="PPQ12"/>
      <c r="PPU12"/>
      <c r="PPY12"/>
      <c r="PQC12"/>
      <c r="PQG12"/>
      <c r="PQK12"/>
      <c r="PQO12"/>
      <c r="PQS12"/>
      <c r="PQW12"/>
      <c r="PRA12"/>
      <c r="PRE12"/>
      <c r="PRI12"/>
      <c r="PRM12"/>
      <c r="PRQ12"/>
      <c r="PRU12"/>
      <c r="PRY12"/>
      <c r="PSC12"/>
      <c r="PSG12"/>
      <c r="PSK12"/>
      <c r="PSO12"/>
      <c r="PSS12"/>
      <c r="PSW12"/>
      <c r="PTA12"/>
      <c r="PTE12"/>
      <c r="PTI12"/>
      <c r="PTM12"/>
      <c r="PTQ12"/>
      <c r="PTU12"/>
      <c r="PTY12"/>
      <c r="PUC12"/>
      <c r="PUG12"/>
      <c r="PUK12"/>
      <c r="PUO12"/>
      <c r="PUS12"/>
      <c r="PUW12"/>
      <c r="PVA12"/>
      <c r="PVE12"/>
      <c r="PVI12"/>
      <c r="PVM12"/>
      <c r="PVQ12"/>
      <c r="PVU12"/>
      <c r="PVY12"/>
      <c r="PWC12"/>
      <c r="PWG12"/>
      <c r="PWK12"/>
      <c r="PWO12"/>
      <c r="PWS12"/>
      <c r="PWW12"/>
      <c r="PXA12"/>
      <c r="PXE12"/>
      <c r="PXI12"/>
      <c r="PXM12"/>
      <c r="PXQ12"/>
      <c r="PXU12"/>
      <c r="PXY12"/>
      <c r="PYC12"/>
      <c r="PYG12"/>
      <c r="PYK12"/>
      <c r="PYO12"/>
      <c r="PYS12"/>
      <c r="PYW12"/>
      <c r="PZA12"/>
      <c r="PZE12"/>
      <c r="PZI12"/>
      <c r="PZM12"/>
      <c r="PZQ12"/>
      <c r="PZU12"/>
      <c r="PZY12"/>
      <c r="QAC12"/>
      <c r="QAG12"/>
      <c r="QAK12"/>
      <c r="QAO12"/>
      <c r="QAS12"/>
      <c r="QAW12"/>
      <c r="QBA12"/>
      <c r="QBE12"/>
      <c r="QBI12"/>
      <c r="QBM12"/>
      <c r="QBQ12"/>
      <c r="QBU12"/>
      <c r="QBY12"/>
      <c r="QCC12"/>
      <c r="QCG12"/>
      <c r="QCK12"/>
      <c r="QCO12"/>
      <c r="QCS12"/>
      <c r="QCW12"/>
      <c r="QDA12"/>
      <c r="QDE12"/>
      <c r="QDI12"/>
      <c r="QDM12"/>
      <c r="QDQ12"/>
      <c r="QDU12"/>
      <c r="QDY12"/>
      <c r="QEC12"/>
      <c r="QEG12"/>
      <c r="QEK12"/>
      <c r="QEO12"/>
      <c r="QES12"/>
      <c r="QEW12"/>
      <c r="QFA12"/>
      <c r="QFE12"/>
      <c r="QFI12"/>
      <c r="QFM12"/>
      <c r="QFQ12"/>
      <c r="QFU12"/>
      <c r="QFY12"/>
      <c r="QGC12"/>
      <c r="QGG12"/>
      <c r="QGK12"/>
      <c r="QGO12"/>
      <c r="QGS12"/>
      <c r="QGW12"/>
      <c r="QHA12"/>
      <c r="QHE12"/>
      <c r="QHI12"/>
      <c r="QHM12"/>
      <c r="QHQ12"/>
      <c r="QHU12"/>
      <c r="QHY12"/>
      <c r="QIC12"/>
      <c r="QIG12"/>
      <c r="QIK12"/>
      <c r="QIO12"/>
      <c r="QIS12"/>
      <c r="QIW12"/>
      <c r="QJA12"/>
      <c r="QJE12"/>
      <c r="QJI12"/>
      <c r="QJM12"/>
      <c r="QJQ12"/>
      <c r="QJU12"/>
      <c r="QJY12"/>
      <c r="QKC12"/>
      <c r="QKG12"/>
      <c r="QKK12"/>
      <c r="QKO12"/>
      <c r="QKS12"/>
      <c r="QKW12"/>
      <c r="QLA12"/>
      <c r="QLE12"/>
      <c r="QLI12"/>
      <c r="QLM12"/>
      <c r="QLQ12"/>
      <c r="QLU12"/>
      <c r="QLY12"/>
      <c r="QMC12"/>
      <c r="QMG12"/>
      <c r="QMK12"/>
      <c r="QMO12"/>
      <c r="QMS12"/>
      <c r="QMW12"/>
      <c r="QNA12"/>
      <c r="QNE12"/>
      <c r="QNI12"/>
      <c r="QNM12"/>
      <c r="QNQ12"/>
      <c r="QNU12"/>
      <c r="QNY12"/>
      <c r="QOC12"/>
      <c r="QOG12"/>
      <c r="QOK12"/>
      <c r="QOO12"/>
      <c r="QOS12"/>
      <c r="QOW12"/>
      <c r="QPA12"/>
      <c r="QPE12"/>
      <c r="QPI12"/>
      <c r="QPM12"/>
      <c r="QPQ12"/>
      <c r="QPU12"/>
      <c r="QPY12"/>
      <c r="QQC12"/>
      <c r="QQG12"/>
      <c r="QQK12"/>
      <c r="QQO12"/>
      <c r="QQS12"/>
      <c r="QQW12"/>
      <c r="QRA12"/>
      <c r="QRE12"/>
      <c r="QRI12"/>
      <c r="QRM12"/>
      <c r="QRQ12"/>
      <c r="QRU12"/>
      <c r="QRY12"/>
      <c r="QSC12"/>
      <c r="QSG12"/>
      <c r="QSK12"/>
      <c r="QSO12"/>
      <c r="QSS12"/>
      <c r="QSW12"/>
      <c r="QTA12"/>
      <c r="QTE12"/>
      <c r="QTI12"/>
      <c r="QTM12"/>
      <c r="QTQ12"/>
      <c r="QTU12"/>
      <c r="QTY12"/>
      <c r="QUC12"/>
      <c r="QUG12"/>
      <c r="QUK12"/>
      <c r="QUO12"/>
      <c r="QUS12"/>
      <c r="QUW12"/>
      <c r="QVA12"/>
      <c r="QVE12"/>
      <c r="QVI12"/>
      <c r="QVM12"/>
      <c r="QVQ12"/>
      <c r="QVU12"/>
      <c r="QVY12"/>
      <c r="QWC12"/>
      <c r="QWG12"/>
      <c r="QWK12"/>
      <c r="QWO12"/>
      <c r="QWS12"/>
      <c r="QWW12"/>
      <c r="QXA12"/>
      <c r="QXE12"/>
      <c r="QXI12"/>
      <c r="QXM12"/>
      <c r="QXQ12"/>
      <c r="QXU12"/>
      <c r="QXY12"/>
      <c r="QYC12"/>
      <c r="QYG12"/>
      <c r="QYK12"/>
      <c r="QYO12"/>
      <c r="QYS12"/>
      <c r="QYW12"/>
      <c r="QZA12"/>
      <c r="QZE12"/>
      <c r="QZI12"/>
      <c r="QZM12"/>
      <c r="QZQ12"/>
      <c r="QZU12"/>
      <c r="QZY12"/>
      <c r="RAC12"/>
      <c r="RAG12"/>
      <c r="RAK12"/>
      <c r="RAO12"/>
      <c r="RAS12"/>
      <c r="RAW12"/>
      <c r="RBA12"/>
      <c r="RBE12"/>
      <c r="RBI12"/>
      <c r="RBM12"/>
      <c r="RBQ12"/>
      <c r="RBU12"/>
      <c r="RBY12"/>
      <c r="RCC12"/>
      <c r="RCG12"/>
      <c r="RCK12"/>
      <c r="RCO12"/>
      <c r="RCS12"/>
      <c r="RCW12"/>
      <c r="RDA12"/>
      <c r="RDE12"/>
      <c r="RDI12"/>
      <c r="RDM12"/>
      <c r="RDQ12"/>
      <c r="RDU12"/>
      <c r="RDY12"/>
      <c r="REC12"/>
      <c r="REG12"/>
      <c r="REK12"/>
      <c r="REO12"/>
      <c r="RES12"/>
      <c r="REW12"/>
      <c r="RFA12"/>
      <c r="RFE12"/>
      <c r="RFI12"/>
      <c r="RFM12"/>
      <c r="RFQ12"/>
      <c r="RFU12"/>
      <c r="RFY12"/>
      <c r="RGC12"/>
      <c r="RGG12"/>
      <c r="RGK12"/>
      <c r="RGO12"/>
      <c r="RGS12"/>
      <c r="RGW12"/>
      <c r="RHA12"/>
      <c r="RHE12"/>
      <c r="RHI12"/>
      <c r="RHM12"/>
      <c r="RHQ12"/>
      <c r="RHU12"/>
      <c r="RHY12"/>
      <c r="RIC12"/>
      <c r="RIG12"/>
      <c r="RIK12"/>
      <c r="RIO12"/>
      <c r="RIS12"/>
      <c r="RIW12"/>
      <c r="RJA12"/>
      <c r="RJE12"/>
      <c r="RJI12"/>
      <c r="RJM12"/>
      <c r="RJQ12"/>
      <c r="RJU12"/>
      <c r="RJY12"/>
      <c r="RKC12"/>
      <c r="RKG12"/>
      <c r="RKK12"/>
      <c r="RKO12"/>
      <c r="RKS12"/>
      <c r="RKW12"/>
      <c r="RLA12"/>
      <c r="RLE12"/>
      <c r="RLI12"/>
      <c r="RLM12"/>
      <c r="RLQ12"/>
      <c r="RLU12"/>
      <c r="RLY12"/>
      <c r="RMC12"/>
      <c r="RMG12"/>
      <c r="RMK12"/>
      <c r="RMO12"/>
      <c r="RMS12"/>
      <c r="RMW12"/>
      <c r="RNA12"/>
      <c r="RNE12"/>
      <c r="RNI12"/>
      <c r="RNM12"/>
      <c r="RNQ12"/>
      <c r="RNU12"/>
      <c r="RNY12"/>
      <c r="ROC12"/>
      <c r="ROG12"/>
      <c r="ROK12"/>
      <c r="ROO12"/>
      <c r="ROS12"/>
      <c r="ROW12"/>
      <c r="RPA12"/>
      <c r="RPE12"/>
      <c r="RPI12"/>
      <c r="RPM12"/>
      <c r="RPQ12"/>
      <c r="RPU12"/>
      <c r="RPY12"/>
      <c r="RQC12"/>
      <c r="RQG12"/>
      <c r="RQK12"/>
      <c r="RQO12"/>
      <c r="RQS12"/>
      <c r="RQW12"/>
      <c r="RRA12"/>
      <c r="RRE12"/>
      <c r="RRI12"/>
      <c r="RRM12"/>
      <c r="RRQ12"/>
      <c r="RRU12"/>
      <c r="RRY12"/>
      <c r="RSC12"/>
      <c r="RSG12"/>
      <c r="RSK12"/>
      <c r="RSO12"/>
      <c r="RSS12"/>
      <c r="RSW12"/>
      <c r="RTA12"/>
      <c r="RTE12"/>
      <c r="RTI12"/>
      <c r="RTM12"/>
      <c r="RTQ12"/>
      <c r="RTU12"/>
      <c r="RTY12"/>
      <c r="RUC12"/>
      <c r="RUG12"/>
      <c r="RUK12"/>
      <c r="RUO12"/>
      <c r="RUS12"/>
      <c r="RUW12"/>
      <c r="RVA12"/>
      <c r="RVE12"/>
      <c r="RVI12"/>
      <c r="RVM12"/>
      <c r="RVQ12"/>
      <c r="RVU12"/>
      <c r="RVY12"/>
      <c r="RWC12"/>
      <c r="RWG12"/>
      <c r="RWK12"/>
      <c r="RWO12"/>
      <c r="RWS12"/>
      <c r="RWW12"/>
      <c r="RXA12"/>
      <c r="RXE12"/>
      <c r="RXI12"/>
      <c r="RXM12"/>
      <c r="RXQ12"/>
      <c r="RXU12"/>
      <c r="RXY12"/>
      <c r="RYC12"/>
      <c r="RYG12"/>
      <c r="RYK12"/>
      <c r="RYO12"/>
      <c r="RYS12"/>
      <c r="RYW12"/>
      <c r="RZA12"/>
      <c r="RZE12"/>
      <c r="RZI12"/>
      <c r="RZM12"/>
      <c r="RZQ12"/>
      <c r="RZU12"/>
      <c r="RZY12"/>
      <c r="SAC12"/>
      <c r="SAG12"/>
      <c r="SAK12"/>
      <c r="SAO12"/>
      <c r="SAS12"/>
      <c r="SAW12"/>
      <c r="SBA12"/>
      <c r="SBE12"/>
      <c r="SBI12"/>
      <c r="SBM12"/>
      <c r="SBQ12"/>
      <c r="SBU12"/>
      <c r="SBY12"/>
      <c r="SCC12"/>
      <c r="SCG12"/>
      <c r="SCK12"/>
      <c r="SCO12"/>
      <c r="SCS12"/>
      <c r="SCW12"/>
      <c r="SDA12"/>
      <c r="SDE12"/>
      <c r="SDI12"/>
      <c r="SDM12"/>
      <c r="SDQ12"/>
      <c r="SDU12"/>
      <c r="SDY12"/>
      <c r="SEC12"/>
      <c r="SEG12"/>
      <c r="SEK12"/>
      <c r="SEO12"/>
      <c r="SES12"/>
      <c r="SEW12"/>
      <c r="SFA12"/>
      <c r="SFE12"/>
      <c r="SFI12"/>
      <c r="SFM12"/>
      <c r="SFQ12"/>
      <c r="SFU12"/>
      <c r="SFY12"/>
      <c r="SGC12"/>
      <c r="SGG12"/>
      <c r="SGK12"/>
      <c r="SGO12"/>
      <c r="SGS12"/>
      <c r="SGW12"/>
      <c r="SHA12"/>
      <c r="SHE12"/>
      <c r="SHI12"/>
      <c r="SHM12"/>
      <c r="SHQ12"/>
      <c r="SHU12"/>
      <c r="SHY12"/>
      <c r="SIC12"/>
      <c r="SIG12"/>
      <c r="SIK12"/>
      <c r="SIO12"/>
      <c r="SIS12"/>
      <c r="SIW12"/>
      <c r="SJA12"/>
      <c r="SJE12"/>
      <c r="SJI12"/>
      <c r="SJM12"/>
      <c r="SJQ12"/>
      <c r="SJU12"/>
      <c r="SJY12"/>
      <c r="SKC12"/>
      <c r="SKG12"/>
      <c r="SKK12"/>
      <c r="SKO12"/>
      <c r="SKS12"/>
      <c r="SKW12"/>
      <c r="SLA12"/>
      <c r="SLE12"/>
      <c r="SLI12"/>
      <c r="SLM12"/>
      <c r="SLQ12"/>
      <c r="SLU12"/>
      <c r="SLY12"/>
      <c r="SMC12"/>
      <c r="SMG12"/>
      <c r="SMK12"/>
      <c r="SMO12"/>
      <c r="SMS12"/>
      <c r="SMW12"/>
      <c r="SNA12"/>
      <c r="SNE12"/>
      <c r="SNI12"/>
      <c r="SNM12"/>
      <c r="SNQ12"/>
      <c r="SNU12"/>
      <c r="SNY12"/>
      <c r="SOC12"/>
      <c r="SOG12"/>
      <c r="SOK12"/>
      <c r="SOO12"/>
      <c r="SOS12"/>
      <c r="SOW12"/>
      <c r="SPA12"/>
      <c r="SPE12"/>
      <c r="SPI12"/>
      <c r="SPM12"/>
      <c r="SPQ12"/>
      <c r="SPU12"/>
      <c r="SPY12"/>
      <c r="SQC12"/>
      <c r="SQG12"/>
      <c r="SQK12"/>
      <c r="SQO12"/>
      <c r="SQS12"/>
      <c r="SQW12"/>
      <c r="SRA12"/>
      <c r="SRE12"/>
      <c r="SRI12"/>
      <c r="SRM12"/>
      <c r="SRQ12"/>
      <c r="SRU12"/>
      <c r="SRY12"/>
      <c r="SSC12"/>
      <c r="SSG12"/>
      <c r="SSK12"/>
      <c r="SSO12"/>
      <c r="SSS12"/>
      <c r="SSW12"/>
      <c r="STA12"/>
      <c r="STE12"/>
      <c r="STI12"/>
      <c r="STM12"/>
      <c r="STQ12"/>
      <c r="STU12"/>
      <c r="STY12"/>
      <c r="SUC12"/>
      <c r="SUG12"/>
      <c r="SUK12"/>
      <c r="SUO12"/>
      <c r="SUS12"/>
      <c r="SUW12"/>
      <c r="SVA12"/>
      <c r="SVE12"/>
      <c r="SVI12"/>
      <c r="SVM12"/>
      <c r="SVQ12"/>
      <c r="SVU12"/>
      <c r="SVY12"/>
      <c r="SWC12"/>
      <c r="SWG12"/>
      <c r="SWK12"/>
      <c r="SWO12"/>
      <c r="SWS12"/>
      <c r="SWW12"/>
      <c r="SXA12"/>
      <c r="SXE12"/>
      <c r="SXI12"/>
      <c r="SXM12"/>
      <c r="SXQ12"/>
      <c r="SXU12"/>
      <c r="SXY12"/>
      <c r="SYC12"/>
      <c r="SYG12"/>
      <c r="SYK12"/>
      <c r="SYO12"/>
      <c r="SYS12"/>
      <c r="SYW12"/>
      <c r="SZA12"/>
      <c r="SZE12"/>
      <c r="SZI12"/>
      <c r="SZM12"/>
      <c r="SZQ12"/>
      <c r="SZU12"/>
      <c r="SZY12"/>
      <c r="TAC12"/>
      <c r="TAG12"/>
      <c r="TAK12"/>
      <c r="TAO12"/>
      <c r="TAS12"/>
      <c r="TAW12"/>
      <c r="TBA12"/>
      <c r="TBE12"/>
      <c r="TBI12"/>
      <c r="TBM12"/>
      <c r="TBQ12"/>
      <c r="TBU12"/>
      <c r="TBY12"/>
      <c r="TCC12"/>
      <c r="TCG12"/>
      <c r="TCK12"/>
      <c r="TCO12"/>
      <c r="TCS12"/>
      <c r="TCW12"/>
      <c r="TDA12"/>
      <c r="TDE12"/>
      <c r="TDI12"/>
      <c r="TDM12"/>
      <c r="TDQ12"/>
      <c r="TDU12"/>
      <c r="TDY12"/>
      <c r="TEC12"/>
      <c r="TEG12"/>
      <c r="TEK12"/>
      <c r="TEO12"/>
      <c r="TES12"/>
      <c r="TEW12"/>
      <c r="TFA12"/>
      <c r="TFE12"/>
      <c r="TFI12"/>
      <c r="TFM12"/>
      <c r="TFQ12"/>
      <c r="TFU12"/>
      <c r="TFY12"/>
      <c r="TGC12"/>
      <c r="TGG12"/>
      <c r="TGK12"/>
      <c r="TGO12"/>
      <c r="TGS12"/>
      <c r="TGW12"/>
      <c r="THA12"/>
      <c r="THE12"/>
      <c r="THI12"/>
      <c r="THM12"/>
      <c r="THQ12"/>
      <c r="THU12"/>
      <c r="THY12"/>
      <c r="TIC12"/>
      <c r="TIG12"/>
      <c r="TIK12"/>
      <c r="TIO12"/>
      <c r="TIS12"/>
      <c r="TIW12"/>
      <c r="TJA12"/>
      <c r="TJE12"/>
      <c r="TJI12"/>
      <c r="TJM12"/>
      <c r="TJQ12"/>
      <c r="TJU12"/>
      <c r="TJY12"/>
      <c r="TKC12"/>
      <c r="TKG12"/>
      <c r="TKK12"/>
      <c r="TKO12"/>
      <c r="TKS12"/>
      <c r="TKW12"/>
      <c r="TLA12"/>
      <c r="TLE12"/>
      <c r="TLI12"/>
      <c r="TLM12"/>
      <c r="TLQ12"/>
      <c r="TLU12"/>
      <c r="TLY12"/>
      <c r="TMC12"/>
      <c r="TMG12"/>
      <c r="TMK12"/>
      <c r="TMO12"/>
      <c r="TMS12"/>
      <c r="TMW12"/>
      <c r="TNA12"/>
      <c r="TNE12"/>
      <c r="TNI12"/>
      <c r="TNM12"/>
      <c r="TNQ12"/>
      <c r="TNU12"/>
      <c r="TNY12"/>
      <c r="TOC12"/>
      <c r="TOG12"/>
      <c r="TOK12"/>
      <c r="TOO12"/>
      <c r="TOS12"/>
      <c r="TOW12"/>
      <c r="TPA12"/>
      <c r="TPE12"/>
      <c r="TPI12"/>
      <c r="TPM12"/>
      <c r="TPQ12"/>
      <c r="TPU12"/>
      <c r="TPY12"/>
      <c r="TQC12"/>
      <c r="TQG12"/>
      <c r="TQK12"/>
      <c r="TQO12"/>
      <c r="TQS12"/>
      <c r="TQW12"/>
      <c r="TRA12"/>
      <c r="TRE12"/>
      <c r="TRI12"/>
      <c r="TRM12"/>
      <c r="TRQ12"/>
      <c r="TRU12"/>
      <c r="TRY12"/>
      <c r="TSC12"/>
      <c r="TSG12"/>
      <c r="TSK12"/>
      <c r="TSO12"/>
      <c r="TSS12"/>
      <c r="TSW12"/>
      <c r="TTA12"/>
      <c r="TTE12"/>
      <c r="TTI12"/>
      <c r="TTM12"/>
      <c r="TTQ12"/>
      <c r="TTU12"/>
      <c r="TTY12"/>
      <c r="TUC12"/>
      <c r="TUG12"/>
      <c r="TUK12"/>
      <c r="TUO12"/>
      <c r="TUS12"/>
      <c r="TUW12"/>
      <c r="TVA12"/>
      <c r="TVE12"/>
      <c r="TVI12"/>
      <c r="TVM12"/>
      <c r="TVQ12"/>
      <c r="TVU12"/>
      <c r="TVY12"/>
      <c r="TWC12"/>
      <c r="TWG12"/>
      <c r="TWK12"/>
      <c r="TWO12"/>
      <c r="TWS12"/>
      <c r="TWW12"/>
      <c r="TXA12"/>
      <c r="TXE12"/>
      <c r="TXI12"/>
      <c r="TXM12"/>
      <c r="TXQ12"/>
      <c r="TXU12"/>
      <c r="TXY12"/>
      <c r="TYC12"/>
      <c r="TYG12"/>
      <c r="TYK12"/>
      <c r="TYO12"/>
      <c r="TYS12"/>
      <c r="TYW12"/>
      <c r="TZA12"/>
      <c r="TZE12"/>
      <c r="TZI12"/>
      <c r="TZM12"/>
      <c r="TZQ12"/>
      <c r="TZU12"/>
      <c r="TZY12"/>
      <c r="UAC12"/>
      <c r="UAG12"/>
      <c r="UAK12"/>
      <c r="UAO12"/>
      <c r="UAS12"/>
      <c r="UAW12"/>
      <c r="UBA12"/>
      <c r="UBE12"/>
      <c r="UBI12"/>
      <c r="UBM12"/>
      <c r="UBQ12"/>
      <c r="UBU12"/>
      <c r="UBY12"/>
      <c r="UCC12"/>
      <c r="UCG12"/>
      <c r="UCK12"/>
      <c r="UCO12"/>
      <c r="UCS12"/>
      <c r="UCW12"/>
      <c r="UDA12"/>
      <c r="UDE12"/>
      <c r="UDI12"/>
      <c r="UDM12"/>
      <c r="UDQ12"/>
      <c r="UDU12"/>
      <c r="UDY12"/>
      <c r="UEC12"/>
      <c r="UEG12"/>
      <c r="UEK12"/>
      <c r="UEO12"/>
      <c r="UES12"/>
      <c r="UEW12"/>
      <c r="UFA12"/>
      <c r="UFE12"/>
      <c r="UFI12"/>
      <c r="UFM12"/>
      <c r="UFQ12"/>
      <c r="UFU12"/>
      <c r="UFY12"/>
      <c r="UGC12"/>
      <c r="UGG12"/>
      <c r="UGK12"/>
      <c r="UGO12"/>
      <c r="UGS12"/>
      <c r="UGW12"/>
      <c r="UHA12"/>
      <c r="UHE12"/>
      <c r="UHI12"/>
      <c r="UHM12"/>
      <c r="UHQ12"/>
      <c r="UHU12"/>
      <c r="UHY12"/>
      <c r="UIC12"/>
      <c r="UIG12"/>
      <c r="UIK12"/>
      <c r="UIO12"/>
      <c r="UIS12"/>
      <c r="UIW12"/>
      <c r="UJA12"/>
      <c r="UJE12"/>
      <c r="UJI12"/>
      <c r="UJM12"/>
      <c r="UJQ12"/>
      <c r="UJU12"/>
      <c r="UJY12"/>
      <c r="UKC12"/>
      <c r="UKG12"/>
      <c r="UKK12"/>
      <c r="UKO12"/>
      <c r="UKS12"/>
      <c r="UKW12"/>
      <c r="ULA12"/>
      <c r="ULE12"/>
      <c r="ULI12"/>
      <c r="ULM12"/>
      <c r="ULQ12"/>
      <c r="ULU12"/>
      <c r="ULY12"/>
      <c r="UMC12"/>
      <c r="UMG12"/>
      <c r="UMK12"/>
      <c r="UMO12"/>
      <c r="UMS12"/>
      <c r="UMW12"/>
      <c r="UNA12"/>
      <c r="UNE12"/>
      <c r="UNI12"/>
      <c r="UNM12"/>
      <c r="UNQ12"/>
      <c r="UNU12"/>
      <c r="UNY12"/>
      <c r="UOC12"/>
      <c r="UOG12"/>
      <c r="UOK12"/>
      <c r="UOO12"/>
      <c r="UOS12"/>
      <c r="UOW12"/>
      <c r="UPA12"/>
      <c r="UPE12"/>
      <c r="UPI12"/>
      <c r="UPM12"/>
      <c r="UPQ12"/>
      <c r="UPU12"/>
      <c r="UPY12"/>
      <c r="UQC12"/>
      <c r="UQG12"/>
      <c r="UQK12"/>
      <c r="UQO12"/>
      <c r="UQS12"/>
      <c r="UQW12"/>
      <c r="URA12"/>
      <c r="URE12"/>
      <c r="URI12"/>
      <c r="URM12"/>
      <c r="URQ12"/>
      <c r="URU12"/>
      <c r="URY12"/>
      <c r="USC12"/>
      <c r="USG12"/>
      <c r="USK12"/>
      <c r="USO12"/>
      <c r="USS12"/>
      <c r="USW12"/>
      <c r="UTA12"/>
      <c r="UTE12"/>
      <c r="UTI12"/>
      <c r="UTM12"/>
      <c r="UTQ12"/>
      <c r="UTU12"/>
      <c r="UTY12"/>
      <c r="UUC12"/>
      <c r="UUG12"/>
      <c r="UUK12"/>
      <c r="UUO12"/>
      <c r="UUS12"/>
      <c r="UUW12"/>
      <c r="UVA12"/>
      <c r="UVE12"/>
      <c r="UVI12"/>
      <c r="UVM12"/>
      <c r="UVQ12"/>
      <c r="UVU12"/>
      <c r="UVY12"/>
      <c r="UWC12"/>
      <c r="UWG12"/>
      <c r="UWK12"/>
      <c r="UWO12"/>
      <c r="UWS12"/>
      <c r="UWW12"/>
      <c r="UXA12"/>
      <c r="UXE12"/>
      <c r="UXI12"/>
      <c r="UXM12"/>
      <c r="UXQ12"/>
      <c r="UXU12"/>
      <c r="UXY12"/>
      <c r="UYC12"/>
      <c r="UYG12"/>
      <c r="UYK12"/>
      <c r="UYO12"/>
      <c r="UYS12"/>
      <c r="UYW12"/>
      <c r="UZA12"/>
      <c r="UZE12"/>
      <c r="UZI12"/>
      <c r="UZM12"/>
      <c r="UZQ12"/>
      <c r="UZU12"/>
      <c r="UZY12"/>
      <c r="VAC12"/>
      <c r="VAG12"/>
      <c r="VAK12"/>
      <c r="VAO12"/>
      <c r="VAS12"/>
      <c r="VAW12"/>
      <c r="VBA12"/>
      <c r="VBE12"/>
      <c r="VBI12"/>
      <c r="VBM12"/>
      <c r="VBQ12"/>
      <c r="VBU12"/>
      <c r="VBY12"/>
      <c r="VCC12"/>
      <c r="VCG12"/>
      <c r="VCK12"/>
      <c r="VCO12"/>
      <c r="VCS12"/>
      <c r="VCW12"/>
      <c r="VDA12"/>
      <c r="VDE12"/>
      <c r="VDI12"/>
      <c r="VDM12"/>
      <c r="VDQ12"/>
      <c r="VDU12"/>
      <c r="VDY12"/>
      <c r="VEC12"/>
      <c r="VEG12"/>
      <c r="VEK12"/>
      <c r="VEO12"/>
      <c r="VES12"/>
      <c r="VEW12"/>
      <c r="VFA12"/>
      <c r="VFE12"/>
      <c r="VFI12"/>
      <c r="VFM12"/>
      <c r="VFQ12"/>
      <c r="VFU12"/>
      <c r="VFY12"/>
      <c r="VGC12"/>
      <c r="VGG12"/>
      <c r="VGK12"/>
      <c r="VGO12"/>
      <c r="VGS12"/>
      <c r="VGW12"/>
      <c r="VHA12"/>
      <c r="VHE12"/>
      <c r="VHI12"/>
      <c r="VHM12"/>
      <c r="VHQ12"/>
      <c r="VHU12"/>
      <c r="VHY12"/>
      <c r="VIC12"/>
      <c r="VIG12"/>
      <c r="VIK12"/>
      <c r="VIO12"/>
      <c r="VIS12"/>
      <c r="VIW12"/>
      <c r="VJA12"/>
      <c r="VJE12"/>
      <c r="VJI12"/>
      <c r="VJM12"/>
      <c r="VJQ12"/>
      <c r="VJU12"/>
      <c r="VJY12"/>
      <c r="VKC12"/>
      <c r="VKG12"/>
      <c r="VKK12"/>
      <c r="VKO12"/>
      <c r="VKS12"/>
      <c r="VKW12"/>
      <c r="VLA12"/>
      <c r="VLE12"/>
      <c r="VLI12"/>
      <c r="VLM12"/>
      <c r="VLQ12"/>
      <c r="VLU12"/>
      <c r="VLY12"/>
      <c r="VMC12"/>
      <c r="VMG12"/>
      <c r="VMK12"/>
      <c r="VMO12"/>
      <c r="VMS12"/>
      <c r="VMW12"/>
      <c r="VNA12"/>
      <c r="VNE12"/>
      <c r="VNI12"/>
      <c r="VNM12"/>
      <c r="VNQ12"/>
      <c r="VNU12"/>
      <c r="VNY12"/>
      <c r="VOC12"/>
      <c r="VOG12"/>
      <c r="VOK12"/>
      <c r="VOO12"/>
      <c r="VOS12"/>
      <c r="VOW12"/>
      <c r="VPA12"/>
      <c r="VPE12"/>
      <c r="VPI12"/>
      <c r="VPM12"/>
      <c r="VPQ12"/>
      <c r="VPU12"/>
      <c r="VPY12"/>
      <c r="VQC12"/>
      <c r="VQG12"/>
      <c r="VQK12"/>
      <c r="VQO12"/>
      <c r="VQS12"/>
      <c r="VQW12"/>
      <c r="VRA12"/>
      <c r="VRE12"/>
      <c r="VRI12"/>
      <c r="VRM12"/>
      <c r="VRQ12"/>
      <c r="VRU12"/>
      <c r="VRY12"/>
      <c r="VSC12"/>
      <c r="VSG12"/>
      <c r="VSK12"/>
      <c r="VSO12"/>
      <c r="VSS12"/>
      <c r="VSW12"/>
      <c r="VTA12"/>
      <c r="VTE12"/>
      <c r="VTI12"/>
      <c r="VTM12"/>
      <c r="VTQ12"/>
      <c r="VTU12"/>
      <c r="VTY12"/>
      <c r="VUC12"/>
      <c r="VUG12"/>
      <c r="VUK12"/>
      <c r="VUO12"/>
      <c r="VUS12"/>
      <c r="VUW12"/>
      <c r="VVA12"/>
      <c r="VVE12"/>
      <c r="VVI12"/>
      <c r="VVM12"/>
      <c r="VVQ12"/>
      <c r="VVU12"/>
      <c r="VVY12"/>
      <c r="VWC12"/>
      <c r="VWG12"/>
      <c r="VWK12"/>
      <c r="VWO12"/>
      <c r="VWS12"/>
      <c r="VWW12"/>
      <c r="VXA12"/>
      <c r="VXE12"/>
      <c r="VXI12"/>
      <c r="VXM12"/>
      <c r="VXQ12"/>
      <c r="VXU12"/>
      <c r="VXY12"/>
      <c r="VYC12"/>
      <c r="VYG12"/>
      <c r="VYK12"/>
      <c r="VYO12"/>
      <c r="VYS12"/>
      <c r="VYW12"/>
      <c r="VZA12"/>
      <c r="VZE12"/>
      <c r="VZI12"/>
      <c r="VZM12"/>
      <c r="VZQ12"/>
      <c r="VZU12"/>
      <c r="VZY12"/>
      <c r="WAC12"/>
      <c r="WAG12"/>
      <c r="WAK12"/>
      <c r="WAO12"/>
      <c r="WAS12"/>
      <c r="WAW12"/>
      <c r="WBA12"/>
      <c r="WBE12"/>
      <c r="WBI12"/>
      <c r="WBM12"/>
      <c r="WBQ12"/>
      <c r="WBU12"/>
      <c r="WBY12"/>
      <c r="WCC12"/>
      <c r="WCG12"/>
      <c r="WCK12"/>
      <c r="WCO12"/>
      <c r="WCS12"/>
      <c r="WCW12"/>
      <c r="WDA12"/>
      <c r="WDE12"/>
      <c r="WDI12"/>
      <c r="WDM12"/>
      <c r="WDQ12"/>
      <c r="WDU12"/>
      <c r="WDY12"/>
      <c r="WEC12"/>
      <c r="WEG12"/>
      <c r="WEK12"/>
      <c r="WEO12"/>
      <c r="WES12"/>
      <c r="WEW12"/>
      <c r="WFA12"/>
      <c r="WFE12"/>
      <c r="WFI12"/>
      <c r="WFM12"/>
      <c r="WFQ12"/>
      <c r="WFU12"/>
      <c r="WFY12"/>
      <c r="WGC12"/>
      <c r="WGG12"/>
      <c r="WGK12"/>
      <c r="WGO12"/>
      <c r="WGS12"/>
      <c r="WGW12"/>
      <c r="WHA12"/>
      <c r="WHE12"/>
      <c r="WHI12"/>
      <c r="WHM12"/>
      <c r="WHQ12"/>
      <c r="WHU12"/>
      <c r="WHY12"/>
      <c r="WIC12"/>
      <c r="WIG12"/>
      <c r="WIK12"/>
      <c r="WIO12"/>
      <c r="WIS12"/>
      <c r="WIW12"/>
      <c r="WJA12"/>
      <c r="WJE12"/>
      <c r="WJI12"/>
      <c r="WJM12"/>
      <c r="WJQ12"/>
      <c r="WJU12"/>
      <c r="WJY12"/>
      <c r="WKC12"/>
      <c r="WKG12"/>
      <c r="WKK12"/>
      <c r="WKO12"/>
      <c r="WKS12"/>
      <c r="WKW12"/>
      <c r="WLA12"/>
      <c r="WLE12"/>
      <c r="WLI12"/>
      <c r="WLM12"/>
      <c r="WLQ12"/>
      <c r="WLU12"/>
      <c r="WLY12"/>
      <c r="WMC12"/>
      <c r="WMG12"/>
      <c r="WMK12"/>
      <c r="WMO12"/>
      <c r="WMS12"/>
      <c r="WMW12"/>
      <c r="WNA12"/>
      <c r="WNE12"/>
      <c r="WNI12"/>
      <c r="WNM12"/>
      <c r="WNQ12"/>
      <c r="WNU12"/>
      <c r="WNY12"/>
      <c r="WOC12"/>
      <c r="WOG12"/>
      <c r="WOK12"/>
      <c r="WOO12"/>
      <c r="WOS12"/>
      <c r="WOW12"/>
      <c r="WPA12"/>
      <c r="WPE12"/>
      <c r="WPI12"/>
      <c r="WPM12"/>
      <c r="WPQ12"/>
      <c r="WPU12"/>
      <c r="WPY12"/>
      <c r="WQC12"/>
      <c r="WQG12"/>
      <c r="WQK12"/>
      <c r="WQO12"/>
      <c r="WQS12"/>
      <c r="WQW12"/>
      <c r="WRA12"/>
      <c r="WRE12"/>
      <c r="WRI12"/>
      <c r="WRM12"/>
      <c r="WRQ12"/>
      <c r="WRU12"/>
      <c r="WRY12"/>
      <c r="WSC12"/>
      <c r="WSG12"/>
      <c r="WSK12"/>
      <c r="WSO12"/>
      <c r="WSS12"/>
      <c r="WSW12"/>
      <c r="WTA12"/>
      <c r="WTE12"/>
      <c r="WTI12"/>
      <c r="WTM12"/>
      <c r="WTQ12"/>
      <c r="WTU12"/>
      <c r="WTY12"/>
      <c r="WUC12"/>
      <c r="WUG12"/>
      <c r="WUK12"/>
      <c r="WUO12"/>
      <c r="WUS12"/>
      <c r="WUW12"/>
      <c r="WVA12"/>
      <c r="WVE12"/>
      <c r="WVI12"/>
      <c r="WVM12"/>
      <c r="WVQ12"/>
      <c r="WVU12"/>
      <c r="WVY12"/>
      <c r="WWC12"/>
      <c r="WWG12"/>
      <c r="WWK12"/>
      <c r="WWO12"/>
      <c r="WWS12"/>
      <c r="WWW12"/>
      <c r="WXA12"/>
      <c r="WXE12"/>
      <c r="WXI12"/>
      <c r="WXM12"/>
      <c r="WXQ12"/>
      <c r="WXU12"/>
      <c r="WXY12"/>
      <c r="WYC12"/>
      <c r="WYG12"/>
      <c r="WYK12"/>
      <c r="WYO12"/>
      <c r="WYS12"/>
      <c r="WYW12"/>
      <c r="WZA12"/>
      <c r="WZE12"/>
      <c r="WZI12"/>
      <c r="WZM12"/>
      <c r="WZQ12"/>
      <c r="WZU12"/>
      <c r="WZY12"/>
      <c r="XAC12"/>
      <c r="XAG12"/>
      <c r="XAK12"/>
      <c r="XAO12"/>
      <c r="XAS12"/>
      <c r="XAW12"/>
      <c r="XBA12"/>
      <c r="XBE12"/>
      <c r="XBI12"/>
      <c r="XBM12"/>
      <c r="XBQ12"/>
      <c r="XBU12"/>
      <c r="XBY12"/>
      <c r="XCC12"/>
      <c r="XCG12"/>
      <c r="XCK12"/>
      <c r="XCO12"/>
      <c r="XCS12"/>
      <c r="XCW12"/>
      <c r="XDA12"/>
      <c r="XDE12"/>
      <c r="XDI12"/>
      <c r="XDM12"/>
      <c r="XDQ12"/>
      <c r="XDU12"/>
      <c r="XDY12"/>
      <c r="XEC12"/>
      <c r="XEG12"/>
      <c r="XEK12"/>
      <c r="XEO12"/>
      <c r="XES12"/>
      <c r="XEW12"/>
      <c r="XFA12"/>
    </row>
    <row r="13" spans="1:1021 1025:2045 2049:3069 3073:4093 4097:5117 5121:6141 6145:7165 7169:8189 8193:9213 9217:10237 10241:11261 11265:12285 12289:13309 13313:14333 14337:15357 15361:16381" s="1" customFormat="1" x14ac:dyDescent="0.35">
      <c r="A13" s="21">
        <v>1</v>
      </c>
      <c r="B13" s="21">
        <v>9</v>
      </c>
      <c r="C13" s="1" t="str">
        <f xml:space="preserve"> IF('Master Player List'!L11=1,'Master Player List'!C11,"")</f>
        <v/>
      </c>
      <c r="D13" s="1" t="str">
        <f xml:space="preserve"> IF('Master Player List'!L11=1,'Master Player List'!F11,"")</f>
        <v/>
      </c>
      <c r="E13" s="21" t="str">
        <f xml:space="preserve"> IF('Master Player List'!L11=1,'Master Player List'!I11,"")</f>
        <v/>
      </c>
      <c r="F13" s="22"/>
      <c r="I13" s="21"/>
      <c r="J13" s="22"/>
      <c r="M13"/>
      <c r="N13"/>
      <c r="Q13"/>
      <c r="U13"/>
      <c r="Y13"/>
      <c r="AC13"/>
      <c r="AG13"/>
      <c r="AK13"/>
      <c r="AO13"/>
      <c r="AS13"/>
      <c r="AW13"/>
      <c r="BA13"/>
      <c r="BE13"/>
      <c r="BI13"/>
      <c r="BM13"/>
      <c r="BQ13"/>
      <c r="BU13"/>
      <c r="BY13"/>
      <c r="CC13"/>
      <c r="CG13"/>
      <c r="CK13"/>
      <c r="CO13"/>
      <c r="CS13"/>
      <c r="CW13"/>
      <c r="DA13"/>
      <c r="DE13"/>
      <c r="DI13"/>
      <c r="DM13"/>
      <c r="DQ13"/>
      <c r="DU13"/>
      <c r="DY13"/>
      <c r="EC13"/>
      <c r="EG13"/>
      <c r="EK13"/>
      <c r="EO13"/>
      <c r="ES13"/>
      <c r="EW13"/>
      <c r="FA13"/>
      <c r="FE13"/>
      <c r="FI13"/>
      <c r="FM13"/>
      <c r="FQ13"/>
      <c r="FU13"/>
      <c r="FY13"/>
      <c r="GC13"/>
      <c r="GG13"/>
      <c r="GK13"/>
      <c r="GO13"/>
      <c r="GS13"/>
      <c r="GW13"/>
      <c r="HA13"/>
      <c r="HE13"/>
      <c r="HI13"/>
      <c r="HM13"/>
      <c r="HQ13"/>
      <c r="HU13"/>
      <c r="HY13"/>
      <c r="IC13"/>
      <c r="IG13"/>
      <c r="IK13"/>
      <c r="IO13"/>
      <c r="IS13"/>
      <c r="IW13"/>
      <c r="JA13"/>
      <c r="JE13"/>
      <c r="JI13"/>
      <c r="JM13"/>
      <c r="JQ13"/>
      <c r="JU13"/>
      <c r="JY13"/>
      <c r="KC13"/>
      <c r="KG13"/>
      <c r="KK13"/>
      <c r="KO13"/>
      <c r="KS13"/>
      <c r="KW13"/>
      <c r="LA13"/>
      <c r="LE13"/>
      <c r="LI13"/>
      <c r="LM13"/>
      <c r="LQ13"/>
      <c r="LU13"/>
      <c r="LY13"/>
      <c r="MC13"/>
      <c r="MG13"/>
      <c r="MK13"/>
      <c r="MO13"/>
      <c r="MS13"/>
      <c r="MW13"/>
      <c r="NA13"/>
      <c r="NE13"/>
      <c r="NI13"/>
      <c r="NM13"/>
      <c r="NQ13"/>
      <c r="NU13"/>
      <c r="NY13"/>
      <c r="OC13"/>
      <c r="OG13"/>
      <c r="OK13"/>
      <c r="OO13"/>
      <c r="OS13"/>
      <c r="OW13"/>
      <c r="PA13"/>
      <c r="PE13"/>
      <c r="PI13"/>
      <c r="PM13"/>
      <c r="PQ13"/>
      <c r="PU13"/>
      <c r="PY13"/>
      <c r="QC13"/>
      <c r="QG13"/>
      <c r="QK13"/>
      <c r="QO13"/>
      <c r="QS13"/>
      <c r="QW13"/>
      <c r="RA13"/>
      <c r="RE13"/>
      <c r="RI13"/>
      <c r="RM13"/>
      <c r="RQ13"/>
      <c r="RU13"/>
      <c r="RY13"/>
      <c r="SC13"/>
      <c r="SG13"/>
      <c r="SK13"/>
      <c r="SO13"/>
      <c r="SS13"/>
      <c r="SW13"/>
      <c r="TA13"/>
      <c r="TE13"/>
      <c r="TI13"/>
      <c r="TM13"/>
      <c r="TQ13"/>
      <c r="TU13"/>
      <c r="TY13"/>
      <c r="UC13"/>
      <c r="UG13"/>
      <c r="UK13"/>
      <c r="UO13"/>
      <c r="US13"/>
      <c r="UW13"/>
      <c r="VA13"/>
      <c r="VE13"/>
      <c r="VI13"/>
      <c r="VM13"/>
      <c r="VQ13"/>
      <c r="VU13"/>
      <c r="VY13"/>
      <c r="WC13"/>
      <c r="WG13"/>
      <c r="WK13"/>
      <c r="WO13"/>
      <c r="WS13"/>
      <c r="WW13"/>
      <c r="XA13"/>
      <c r="XE13"/>
      <c r="XI13"/>
      <c r="XM13"/>
      <c r="XQ13"/>
      <c r="XU13"/>
      <c r="XY13"/>
      <c r="YC13"/>
      <c r="YG13"/>
      <c r="YK13"/>
      <c r="YO13"/>
      <c r="YS13"/>
      <c r="YW13"/>
      <c r="ZA13"/>
      <c r="ZE13"/>
      <c r="ZI13"/>
      <c r="ZM13"/>
      <c r="ZQ13"/>
      <c r="ZU13"/>
      <c r="ZY13"/>
      <c r="AAC13"/>
      <c r="AAG13"/>
      <c r="AAK13"/>
      <c r="AAO13"/>
      <c r="AAS13"/>
      <c r="AAW13"/>
      <c r="ABA13"/>
      <c r="ABE13"/>
      <c r="ABI13"/>
      <c r="ABM13"/>
      <c r="ABQ13"/>
      <c r="ABU13"/>
      <c r="ABY13"/>
      <c r="ACC13"/>
      <c r="ACG13"/>
      <c r="ACK13"/>
      <c r="ACO13"/>
      <c r="ACS13"/>
      <c r="ACW13"/>
      <c r="ADA13"/>
      <c r="ADE13"/>
      <c r="ADI13"/>
      <c r="ADM13"/>
      <c r="ADQ13"/>
      <c r="ADU13"/>
      <c r="ADY13"/>
      <c r="AEC13"/>
      <c r="AEG13"/>
      <c r="AEK13"/>
      <c r="AEO13"/>
      <c r="AES13"/>
      <c r="AEW13"/>
      <c r="AFA13"/>
      <c r="AFE13"/>
      <c r="AFI13"/>
      <c r="AFM13"/>
      <c r="AFQ13"/>
      <c r="AFU13"/>
      <c r="AFY13"/>
      <c r="AGC13"/>
      <c r="AGG13"/>
      <c r="AGK13"/>
      <c r="AGO13"/>
      <c r="AGS13"/>
      <c r="AGW13"/>
      <c r="AHA13"/>
      <c r="AHE13"/>
      <c r="AHI13"/>
      <c r="AHM13"/>
      <c r="AHQ13"/>
      <c r="AHU13"/>
      <c r="AHY13"/>
      <c r="AIC13"/>
      <c r="AIG13"/>
      <c r="AIK13"/>
      <c r="AIO13"/>
      <c r="AIS13"/>
      <c r="AIW13"/>
      <c r="AJA13"/>
      <c r="AJE13"/>
      <c r="AJI13"/>
      <c r="AJM13"/>
      <c r="AJQ13"/>
      <c r="AJU13"/>
      <c r="AJY13"/>
      <c r="AKC13"/>
      <c r="AKG13"/>
      <c r="AKK13"/>
      <c r="AKO13"/>
      <c r="AKS13"/>
      <c r="AKW13"/>
      <c r="ALA13"/>
      <c r="ALE13"/>
      <c r="ALI13"/>
      <c r="ALM13"/>
      <c r="ALQ13"/>
      <c r="ALU13"/>
      <c r="ALY13"/>
      <c r="AMC13"/>
      <c r="AMG13"/>
      <c r="AMK13"/>
      <c r="AMO13"/>
      <c r="AMS13"/>
      <c r="AMW13"/>
      <c r="ANA13"/>
      <c r="ANE13"/>
      <c r="ANI13"/>
      <c r="ANM13"/>
      <c r="ANQ13"/>
      <c r="ANU13"/>
      <c r="ANY13"/>
      <c r="AOC13"/>
      <c r="AOG13"/>
      <c r="AOK13"/>
      <c r="AOO13"/>
      <c r="AOS13"/>
      <c r="AOW13"/>
      <c r="APA13"/>
      <c r="APE13"/>
      <c r="API13"/>
      <c r="APM13"/>
      <c r="APQ13"/>
      <c r="APU13"/>
      <c r="APY13"/>
      <c r="AQC13"/>
      <c r="AQG13"/>
      <c r="AQK13"/>
      <c r="AQO13"/>
      <c r="AQS13"/>
      <c r="AQW13"/>
      <c r="ARA13"/>
      <c r="ARE13"/>
      <c r="ARI13"/>
      <c r="ARM13"/>
      <c r="ARQ13"/>
      <c r="ARU13"/>
      <c r="ARY13"/>
      <c r="ASC13"/>
      <c r="ASG13"/>
      <c r="ASK13"/>
      <c r="ASO13"/>
      <c r="ASS13"/>
      <c r="ASW13"/>
      <c r="ATA13"/>
      <c r="ATE13"/>
      <c r="ATI13"/>
      <c r="ATM13"/>
      <c r="ATQ13"/>
      <c r="ATU13"/>
      <c r="ATY13"/>
      <c r="AUC13"/>
      <c r="AUG13"/>
      <c r="AUK13"/>
      <c r="AUO13"/>
      <c r="AUS13"/>
      <c r="AUW13"/>
      <c r="AVA13"/>
      <c r="AVE13"/>
      <c r="AVI13"/>
      <c r="AVM13"/>
      <c r="AVQ13"/>
      <c r="AVU13"/>
      <c r="AVY13"/>
      <c r="AWC13"/>
      <c r="AWG13"/>
      <c r="AWK13"/>
      <c r="AWO13"/>
      <c r="AWS13"/>
      <c r="AWW13"/>
      <c r="AXA13"/>
      <c r="AXE13"/>
      <c r="AXI13"/>
      <c r="AXM13"/>
      <c r="AXQ13"/>
      <c r="AXU13"/>
      <c r="AXY13"/>
      <c r="AYC13"/>
      <c r="AYG13"/>
      <c r="AYK13"/>
      <c r="AYO13"/>
      <c r="AYS13"/>
      <c r="AYW13"/>
      <c r="AZA13"/>
      <c r="AZE13"/>
      <c r="AZI13"/>
      <c r="AZM13"/>
      <c r="AZQ13"/>
      <c r="AZU13"/>
      <c r="AZY13"/>
      <c r="BAC13"/>
      <c r="BAG13"/>
      <c r="BAK13"/>
      <c r="BAO13"/>
      <c r="BAS13"/>
      <c r="BAW13"/>
      <c r="BBA13"/>
      <c r="BBE13"/>
      <c r="BBI13"/>
      <c r="BBM13"/>
      <c r="BBQ13"/>
      <c r="BBU13"/>
      <c r="BBY13"/>
      <c r="BCC13"/>
      <c r="BCG13"/>
      <c r="BCK13"/>
      <c r="BCO13"/>
      <c r="BCS13"/>
      <c r="BCW13"/>
      <c r="BDA13"/>
      <c r="BDE13"/>
      <c r="BDI13"/>
      <c r="BDM13"/>
      <c r="BDQ13"/>
      <c r="BDU13"/>
      <c r="BDY13"/>
      <c r="BEC13"/>
      <c r="BEG13"/>
      <c r="BEK13"/>
      <c r="BEO13"/>
      <c r="BES13"/>
      <c r="BEW13"/>
      <c r="BFA13"/>
      <c r="BFE13"/>
      <c r="BFI13"/>
      <c r="BFM13"/>
      <c r="BFQ13"/>
      <c r="BFU13"/>
      <c r="BFY13"/>
      <c r="BGC13"/>
      <c r="BGG13"/>
      <c r="BGK13"/>
      <c r="BGO13"/>
      <c r="BGS13"/>
      <c r="BGW13"/>
      <c r="BHA13"/>
      <c r="BHE13"/>
      <c r="BHI13"/>
      <c r="BHM13"/>
      <c r="BHQ13"/>
      <c r="BHU13"/>
      <c r="BHY13"/>
      <c r="BIC13"/>
      <c r="BIG13"/>
      <c r="BIK13"/>
      <c r="BIO13"/>
      <c r="BIS13"/>
      <c r="BIW13"/>
      <c r="BJA13"/>
      <c r="BJE13"/>
      <c r="BJI13"/>
      <c r="BJM13"/>
      <c r="BJQ13"/>
      <c r="BJU13"/>
      <c r="BJY13"/>
      <c r="BKC13"/>
      <c r="BKG13"/>
      <c r="BKK13"/>
      <c r="BKO13"/>
      <c r="BKS13"/>
      <c r="BKW13"/>
      <c r="BLA13"/>
      <c r="BLE13"/>
      <c r="BLI13"/>
      <c r="BLM13"/>
      <c r="BLQ13"/>
      <c r="BLU13"/>
      <c r="BLY13"/>
      <c r="BMC13"/>
      <c r="BMG13"/>
      <c r="BMK13"/>
      <c r="BMO13"/>
      <c r="BMS13"/>
      <c r="BMW13"/>
      <c r="BNA13"/>
      <c r="BNE13"/>
      <c r="BNI13"/>
      <c r="BNM13"/>
      <c r="BNQ13"/>
      <c r="BNU13"/>
      <c r="BNY13"/>
      <c r="BOC13"/>
      <c r="BOG13"/>
      <c r="BOK13"/>
      <c r="BOO13"/>
      <c r="BOS13"/>
      <c r="BOW13"/>
      <c r="BPA13"/>
      <c r="BPE13"/>
      <c r="BPI13"/>
      <c r="BPM13"/>
      <c r="BPQ13"/>
      <c r="BPU13"/>
      <c r="BPY13"/>
      <c r="BQC13"/>
      <c r="BQG13"/>
      <c r="BQK13"/>
      <c r="BQO13"/>
      <c r="BQS13"/>
      <c r="BQW13"/>
      <c r="BRA13"/>
      <c r="BRE13"/>
      <c r="BRI13"/>
      <c r="BRM13"/>
      <c r="BRQ13"/>
      <c r="BRU13"/>
      <c r="BRY13"/>
      <c r="BSC13"/>
      <c r="BSG13"/>
      <c r="BSK13"/>
      <c r="BSO13"/>
      <c r="BSS13"/>
      <c r="BSW13"/>
      <c r="BTA13"/>
      <c r="BTE13"/>
      <c r="BTI13"/>
      <c r="BTM13"/>
      <c r="BTQ13"/>
      <c r="BTU13"/>
      <c r="BTY13"/>
      <c r="BUC13"/>
      <c r="BUG13"/>
      <c r="BUK13"/>
      <c r="BUO13"/>
      <c r="BUS13"/>
      <c r="BUW13"/>
      <c r="BVA13"/>
      <c r="BVE13"/>
      <c r="BVI13"/>
      <c r="BVM13"/>
      <c r="BVQ13"/>
      <c r="BVU13"/>
      <c r="BVY13"/>
      <c r="BWC13"/>
      <c r="BWG13"/>
      <c r="BWK13"/>
      <c r="BWO13"/>
      <c r="BWS13"/>
      <c r="BWW13"/>
      <c r="BXA13"/>
      <c r="BXE13"/>
      <c r="BXI13"/>
      <c r="BXM13"/>
      <c r="BXQ13"/>
      <c r="BXU13"/>
      <c r="BXY13"/>
      <c r="BYC13"/>
      <c r="BYG13"/>
      <c r="BYK13"/>
      <c r="BYO13"/>
      <c r="BYS13"/>
      <c r="BYW13"/>
      <c r="BZA13"/>
      <c r="BZE13"/>
      <c r="BZI13"/>
      <c r="BZM13"/>
      <c r="BZQ13"/>
      <c r="BZU13"/>
      <c r="BZY13"/>
      <c r="CAC13"/>
      <c r="CAG13"/>
      <c r="CAK13"/>
      <c r="CAO13"/>
      <c r="CAS13"/>
      <c r="CAW13"/>
      <c r="CBA13"/>
      <c r="CBE13"/>
      <c r="CBI13"/>
      <c r="CBM13"/>
      <c r="CBQ13"/>
      <c r="CBU13"/>
      <c r="CBY13"/>
      <c r="CCC13"/>
      <c r="CCG13"/>
      <c r="CCK13"/>
      <c r="CCO13"/>
      <c r="CCS13"/>
      <c r="CCW13"/>
      <c r="CDA13"/>
      <c r="CDE13"/>
      <c r="CDI13"/>
      <c r="CDM13"/>
      <c r="CDQ13"/>
      <c r="CDU13"/>
      <c r="CDY13"/>
      <c r="CEC13"/>
      <c r="CEG13"/>
      <c r="CEK13"/>
      <c r="CEO13"/>
      <c r="CES13"/>
      <c r="CEW13"/>
      <c r="CFA13"/>
      <c r="CFE13"/>
      <c r="CFI13"/>
      <c r="CFM13"/>
      <c r="CFQ13"/>
      <c r="CFU13"/>
      <c r="CFY13"/>
      <c r="CGC13"/>
      <c r="CGG13"/>
      <c r="CGK13"/>
      <c r="CGO13"/>
      <c r="CGS13"/>
      <c r="CGW13"/>
      <c r="CHA13"/>
      <c r="CHE13"/>
      <c r="CHI13"/>
      <c r="CHM13"/>
      <c r="CHQ13"/>
      <c r="CHU13"/>
      <c r="CHY13"/>
      <c r="CIC13"/>
      <c r="CIG13"/>
      <c r="CIK13"/>
      <c r="CIO13"/>
      <c r="CIS13"/>
      <c r="CIW13"/>
      <c r="CJA13"/>
      <c r="CJE13"/>
      <c r="CJI13"/>
      <c r="CJM13"/>
      <c r="CJQ13"/>
      <c r="CJU13"/>
      <c r="CJY13"/>
      <c r="CKC13"/>
      <c r="CKG13"/>
      <c r="CKK13"/>
      <c r="CKO13"/>
      <c r="CKS13"/>
      <c r="CKW13"/>
      <c r="CLA13"/>
      <c r="CLE13"/>
      <c r="CLI13"/>
      <c r="CLM13"/>
      <c r="CLQ13"/>
      <c r="CLU13"/>
      <c r="CLY13"/>
      <c r="CMC13"/>
      <c r="CMG13"/>
      <c r="CMK13"/>
      <c r="CMO13"/>
      <c r="CMS13"/>
      <c r="CMW13"/>
      <c r="CNA13"/>
      <c r="CNE13"/>
      <c r="CNI13"/>
      <c r="CNM13"/>
      <c r="CNQ13"/>
      <c r="CNU13"/>
      <c r="CNY13"/>
      <c r="COC13"/>
      <c r="COG13"/>
      <c r="COK13"/>
      <c r="COO13"/>
      <c r="COS13"/>
      <c r="COW13"/>
      <c r="CPA13"/>
      <c r="CPE13"/>
      <c r="CPI13"/>
      <c r="CPM13"/>
      <c r="CPQ13"/>
      <c r="CPU13"/>
      <c r="CPY13"/>
      <c r="CQC13"/>
      <c r="CQG13"/>
      <c r="CQK13"/>
      <c r="CQO13"/>
      <c r="CQS13"/>
      <c r="CQW13"/>
      <c r="CRA13"/>
      <c r="CRE13"/>
      <c r="CRI13"/>
      <c r="CRM13"/>
      <c r="CRQ13"/>
      <c r="CRU13"/>
      <c r="CRY13"/>
      <c r="CSC13"/>
      <c r="CSG13"/>
      <c r="CSK13"/>
      <c r="CSO13"/>
      <c r="CSS13"/>
      <c r="CSW13"/>
      <c r="CTA13"/>
      <c r="CTE13"/>
      <c r="CTI13"/>
      <c r="CTM13"/>
      <c r="CTQ13"/>
      <c r="CTU13"/>
      <c r="CTY13"/>
      <c r="CUC13"/>
      <c r="CUG13"/>
      <c r="CUK13"/>
      <c r="CUO13"/>
      <c r="CUS13"/>
      <c r="CUW13"/>
      <c r="CVA13"/>
      <c r="CVE13"/>
      <c r="CVI13"/>
      <c r="CVM13"/>
      <c r="CVQ13"/>
      <c r="CVU13"/>
      <c r="CVY13"/>
      <c r="CWC13"/>
      <c r="CWG13"/>
      <c r="CWK13"/>
      <c r="CWO13"/>
      <c r="CWS13"/>
      <c r="CWW13"/>
      <c r="CXA13"/>
      <c r="CXE13"/>
      <c r="CXI13"/>
      <c r="CXM13"/>
      <c r="CXQ13"/>
      <c r="CXU13"/>
      <c r="CXY13"/>
      <c r="CYC13"/>
      <c r="CYG13"/>
      <c r="CYK13"/>
      <c r="CYO13"/>
      <c r="CYS13"/>
      <c r="CYW13"/>
      <c r="CZA13"/>
      <c r="CZE13"/>
      <c r="CZI13"/>
      <c r="CZM13"/>
      <c r="CZQ13"/>
      <c r="CZU13"/>
      <c r="CZY13"/>
      <c r="DAC13"/>
      <c r="DAG13"/>
      <c r="DAK13"/>
      <c r="DAO13"/>
      <c r="DAS13"/>
      <c r="DAW13"/>
      <c r="DBA13"/>
      <c r="DBE13"/>
      <c r="DBI13"/>
      <c r="DBM13"/>
      <c r="DBQ13"/>
      <c r="DBU13"/>
      <c r="DBY13"/>
      <c r="DCC13"/>
      <c r="DCG13"/>
      <c r="DCK13"/>
      <c r="DCO13"/>
      <c r="DCS13"/>
      <c r="DCW13"/>
      <c r="DDA13"/>
      <c r="DDE13"/>
      <c r="DDI13"/>
      <c r="DDM13"/>
      <c r="DDQ13"/>
      <c r="DDU13"/>
      <c r="DDY13"/>
      <c r="DEC13"/>
      <c r="DEG13"/>
      <c r="DEK13"/>
      <c r="DEO13"/>
      <c r="DES13"/>
      <c r="DEW13"/>
      <c r="DFA13"/>
      <c r="DFE13"/>
      <c r="DFI13"/>
      <c r="DFM13"/>
      <c r="DFQ13"/>
      <c r="DFU13"/>
      <c r="DFY13"/>
      <c r="DGC13"/>
      <c r="DGG13"/>
      <c r="DGK13"/>
      <c r="DGO13"/>
      <c r="DGS13"/>
      <c r="DGW13"/>
      <c r="DHA13"/>
      <c r="DHE13"/>
      <c r="DHI13"/>
      <c r="DHM13"/>
      <c r="DHQ13"/>
      <c r="DHU13"/>
      <c r="DHY13"/>
      <c r="DIC13"/>
      <c r="DIG13"/>
      <c r="DIK13"/>
      <c r="DIO13"/>
      <c r="DIS13"/>
      <c r="DIW13"/>
      <c r="DJA13"/>
      <c r="DJE13"/>
      <c r="DJI13"/>
      <c r="DJM13"/>
      <c r="DJQ13"/>
      <c r="DJU13"/>
      <c r="DJY13"/>
      <c r="DKC13"/>
      <c r="DKG13"/>
      <c r="DKK13"/>
      <c r="DKO13"/>
      <c r="DKS13"/>
      <c r="DKW13"/>
      <c r="DLA13"/>
      <c r="DLE13"/>
      <c r="DLI13"/>
      <c r="DLM13"/>
      <c r="DLQ13"/>
      <c r="DLU13"/>
      <c r="DLY13"/>
      <c r="DMC13"/>
      <c r="DMG13"/>
      <c r="DMK13"/>
      <c r="DMO13"/>
      <c r="DMS13"/>
      <c r="DMW13"/>
      <c r="DNA13"/>
      <c r="DNE13"/>
      <c r="DNI13"/>
      <c r="DNM13"/>
      <c r="DNQ13"/>
      <c r="DNU13"/>
      <c r="DNY13"/>
      <c r="DOC13"/>
      <c r="DOG13"/>
      <c r="DOK13"/>
      <c r="DOO13"/>
      <c r="DOS13"/>
      <c r="DOW13"/>
      <c r="DPA13"/>
      <c r="DPE13"/>
      <c r="DPI13"/>
      <c r="DPM13"/>
      <c r="DPQ13"/>
      <c r="DPU13"/>
      <c r="DPY13"/>
      <c r="DQC13"/>
      <c r="DQG13"/>
      <c r="DQK13"/>
      <c r="DQO13"/>
      <c r="DQS13"/>
      <c r="DQW13"/>
      <c r="DRA13"/>
      <c r="DRE13"/>
      <c r="DRI13"/>
      <c r="DRM13"/>
      <c r="DRQ13"/>
      <c r="DRU13"/>
      <c r="DRY13"/>
      <c r="DSC13"/>
      <c r="DSG13"/>
      <c r="DSK13"/>
      <c r="DSO13"/>
      <c r="DSS13"/>
      <c r="DSW13"/>
      <c r="DTA13"/>
      <c r="DTE13"/>
      <c r="DTI13"/>
      <c r="DTM13"/>
      <c r="DTQ13"/>
      <c r="DTU13"/>
      <c r="DTY13"/>
      <c r="DUC13"/>
      <c r="DUG13"/>
      <c r="DUK13"/>
      <c r="DUO13"/>
      <c r="DUS13"/>
      <c r="DUW13"/>
      <c r="DVA13"/>
      <c r="DVE13"/>
      <c r="DVI13"/>
      <c r="DVM13"/>
      <c r="DVQ13"/>
      <c r="DVU13"/>
      <c r="DVY13"/>
      <c r="DWC13"/>
      <c r="DWG13"/>
      <c r="DWK13"/>
      <c r="DWO13"/>
      <c r="DWS13"/>
      <c r="DWW13"/>
      <c r="DXA13"/>
      <c r="DXE13"/>
      <c r="DXI13"/>
      <c r="DXM13"/>
      <c r="DXQ13"/>
      <c r="DXU13"/>
      <c r="DXY13"/>
      <c r="DYC13"/>
      <c r="DYG13"/>
      <c r="DYK13"/>
      <c r="DYO13"/>
      <c r="DYS13"/>
      <c r="DYW13"/>
      <c r="DZA13"/>
      <c r="DZE13"/>
      <c r="DZI13"/>
      <c r="DZM13"/>
      <c r="DZQ13"/>
      <c r="DZU13"/>
      <c r="DZY13"/>
      <c r="EAC13"/>
      <c r="EAG13"/>
      <c r="EAK13"/>
      <c r="EAO13"/>
      <c r="EAS13"/>
      <c r="EAW13"/>
      <c r="EBA13"/>
      <c r="EBE13"/>
      <c r="EBI13"/>
      <c r="EBM13"/>
      <c r="EBQ13"/>
      <c r="EBU13"/>
      <c r="EBY13"/>
      <c r="ECC13"/>
      <c r="ECG13"/>
      <c r="ECK13"/>
      <c r="ECO13"/>
      <c r="ECS13"/>
      <c r="ECW13"/>
      <c r="EDA13"/>
      <c r="EDE13"/>
      <c r="EDI13"/>
      <c r="EDM13"/>
      <c r="EDQ13"/>
      <c r="EDU13"/>
      <c r="EDY13"/>
      <c r="EEC13"/>
      <c r="EEG13"/>
      <c r="EEK13"/>
      <c r="EEO13"/>
      <c r="EES13"/>
      <c r="EEW13"/>
      <c r="EFA13"/>
      <c r="EFE13"/>
      <c r="EFI13"/>
      <c r="EFM13"/>
      <c r="EFQ13"/>
      <c r="EFU13"/>
      <c r="EFY13"/>
      <c r="EGC13"/>
      <c r="EGG13"/>
      <c r="EGK13"/>
      <c r="EGO13"/>
      <c r="EGS13"/>
      <c r="EGW13"/>
      <c r="EHA13"/>
      <c r="EHE13"/>
      <c r="EHI13"/>
      <c r="EHM13"/>
      <c r="EHQ13"/>
      <c r="EHU13"/>
      <c r="EHY13"/>
      <c r="EIC13"/>
      <c r="EIG13"/>
      <c r="EIK13"/>
      <c r="EIO13"/>
      <c r="EIS13"/>
      <c r="EIW13"/>
      <c r="EJA13"/>
      <c r="EJE13"/>
      <c r="EJI13"/>
      <c r="EJM13"/>
      <c r="EJQ13"/>
      <c r="EJU13"/>
      <c r="EJY13"/>
      <c r="EKC13"/>
      <c r="EKG13"/>
      <c r="EKK13"/>
      <c r="EKO13"/>
      <c r="EKS13"/>
      <c r="EKW13"/>
      <c r="ELA13"/>
      <c r="ELE13"/>
      <c r="ELI13"/>
      <c r="ELM13"/>
      <c r="ELQ13"/>
      <c r="ELU13"/>
      <c r="ELY13"/>
      <c r="EMC13"/>
      <c r="EMG13"/>
      <c r="EMK13"/>
      <c r="EMO13"/>
      <c r="EMS13"/>
      <c r="EMW13"/>
      <c r="ENA13"/>
      <c r="ENE13"/>
      <c r="ENI13"/>
      <c r="ENM13"/>
      <c r="ENQ13"/>
      <c r="ENU13"/>
      <c r="ENY13"/>
      <c r="EOC13"/>
      <c r="EOG13"/>
      <c r="EOK13"/>
      <c r="EOO13"/>
      <c r="EOS13"/>
      <c r="EOW13"/>
      <c r="EPA13"/>
      <c r="EPE13"/>
      <c r="EPI13"/>
      <c r="EPM13"/>
      <c r="EPQ13"/>
      <c r="EPU13"/>
      <c r="EPY13"/>
      <c r="EQC13"/>
      <c r="EQG13"/>
      <c r="EQK13"/>
      <c r="EQO13"/>
      <c r="EQS13"/>
      <c r="EQW13"/>
      <c r="ERA13"/>
      <c r="ERE13"/>
      <c r="ERI13"/>
      <c r="ERM13"/>
      <c r="ERQ13"/>
      <c r="ERU13"/>
      <c r="ERY13"/>
      <c r="ESC13"/>
      <c r="ESG13"/>
      <c r="ESK13"/>
      <c r="ESO13"/>
      <c r="ESS13"/>
      <c r="ESW13"/>
      <c r="ETA13"/>
      <c r="ETE13"/>
      <c r="ETI13"/>
      <c r="ETM13"/>
      <c r="ETQ13"/>
      <c r="ETU13"/>
      <c r="ETY13"/>
      <c r="EUC13"/>
      <c r="EUG13"/>
      <c r="EUK13"/>
      <c r="EUO13"/>
      <c r="EUS13"/>
      <c r="EUW13"/>
      <c r="EVA13"/>
      <c r="EVE13"/>
      <c r="EVI13"/>
      <c r="EVM13"/>
      <c r="EVQ13"/>
      <c r="EVU13"/>
      <c r="EVY13"/>
      <c r="EWC13"/>
      <c r="EWG13"/>
      <c r="EWK13"/>
      <c r="EWO13"/>
      <c r="EWS13"/>
      <c r="EWW13"/>
      <c r="EXA13"/>
      <c r="EXE13"/>
      <c r="EXI13"/>
      <c r="EXM13"/>
      <c r="EXQ13"/>
      <c r="EXU13"/>
      <c r="EXY13"/>
      <c r="EYC13"/>
      <c r="EYG13"/>
      <c r="EYK13"/>
      <c r="EYO13"/>
      <c r="EYS13"/>
      <c r="EYW13"/>
      <c r="EZA13"/>
      <c r="EZE13"/>
      <c r="EZI13"/>
      <c r="EZM13"/>
      <c r="EZQ13"/>
      <c r="EZU13"/>
      <c r="EZY13"/>
      <c r="FAC13"/>
      <c r="FAG13"/>
      <c r="FAK13"/>
      <c r="FAO13"/>
      <c r="FAS13"/>
      <c r="FAW13"/>
      <c r="FBA13"/>
      <c r="FBE13"/>
      <c r="FBI13"/>
      <c r="FBM13"/>
      <c r="FBQ13"/>
      <c r="FBU13"/>
      <c r="FBY13"/>
      <c r="FCC13"/>
      <c r="FCG13"/>
      <c r="FCK13"/>
      <c r="FCO13"/>
      <c r="FCS13"/>
      <c r="FCW13"/>
      <c r="FDA13"/>
      <c r="FDE13"/>
      <c r="FDI13"/>
      <c r="FDM13"/>
      <c r="FDQ13"/>
      <c r="FDU13"/>
      <c r="FDY13"/>
      <c r="FEC13"/>
      <c r="FEG13"/>
      <c r="FEK13"/>
      <c r="FEO13"/>
      <c r="FES13"/>
      <c r="FEW13"/>
      <c r="FFA13"/>
      <c r="FFE13"/>
      <c r="FFI13"/>
      <c r="FFM13"/>
      <c r="FFQ13"/>
      <c r="FFU13"/>
      <c r="FFY13"/>
      <c r="FGC13"/>
      <c r="FGG13"/>
      <c r="FGK13"/>
      <c r="FGO13"/>
      <c r="FGS13"/>
      <c r="FGW13"/>
      <c r="FHA13"/>
      <c r="FHE13"/>
      <c r="FHI13"/>
      <c r="FHM13"/>
      <c r="FHQ13"/>
      <c r="FHU13"/>
      <c r="FHY13"/>
      <c r="FIC13"/>
      <c r="FIG13"/>
      <c r="FIK13"/>
      <c r="FIO13"/>
      <c r="FIS13"/>
      <c r="FIW13"/>
      <c r="FJA13"/>
      <c r="FJE13"/>
      <c r="FJI13"/>
      <c r="FJM13"/>
      <c r="FJQ13"/>
      <c r="FJU13"/>
      <c r="FJY13"/>
      <c r="FKC13"/>
      <c r="FKG13"/>
      <c r="FKK13"/>
      <c r="FKO13"/>
      <c r="FKS13"/>
      <c r="FKW13"/>
      <c r="FLA13"/>
      <c r="FLE13"/>
      <c r="FLI13"/>
      <c r="FLM13"/>
      <c r="FLQ13"/>
      <c r="FLU13"/>
      <c r="FLY13"/>
      <c r="FMC13"/>
      <c r="FMG13"/>
      <c r="FMK13"/>
      <c r="FMO13"/>
      <c r="FMS13"/>
      <c r="FMW13"/>
      <c r="FNA13"/>
      <c r="FNE13"/>
      <c r="FNI13"/>
      <c r="FNM13"/>
      <c r="FNQ13"/>
      <c r="FNU13"/>
      <c r="FNY13"/>
      <c r="FOC13"/>
      <c r="FOG13"/>
      <c r="FOK13"/>
      <c r="FOO13"/>
      <c r="FOS13"/>
      <c r="FOW13"/>
      <c r="FPA13"/>
      <c r="FPE13"/>
      <c r="FPI13"/>
      <c r="FPM13"/>
      <c r="FPQ13"/>
      <c r="FPU13"/>
      <c r="FPY13"/>
      <c r="FQC13"/>
      <c r="FQG13"/>
      <c r="FQK13"/>
      <c r="FQO13"/>
      <c r="FQS13"/>
      <c r="FQW13"/>
      <c r="FRA13"/>
      <c r="FRE13"/>
      <c r="FRI13"/>
      <c r="FRM13"/>
      <c r="FRQ13"/>
      <c r="FRU13"/>
      <c r="FRY13"/>
      <c r="FSC13"/>
      <c r="FSG13"/>
      <c r="FSK13"/>
      <c r="FSO13"/>
      <c r="FSS13"/>
      <c r="FSW13"/>
      <c r="FTA13"/>
      <c r="FTE13"/>
      <c r="FTI13"/>
      <c r="FTM13"/>
      <c r="FTQ13"/>
      <c r="FTU13"/>
      <c r="FTY13"/>
      <c r="FUC13"/>
      <c r="FUG13"/>
      <c r="FUK13"/>
      <c r="FUO13"/>
      <c r="FUS13"/>
      <c r="FUW13"/>
      <c r="FVA13"/>
      <c r="FVE13"/>
      <c r="FVI13"/>
      <c r="FVM13"/>
      <c r="FVQ13"/>
      <c r="FVU13"/>
      <c r="FVY13"/>
      <c r="FWC13"/>
      <c r="FWG13"/>
      <c r="FWK13"/>
      <c r="FWO13"/>
      <c r="FWS13"/>
      <c r="FWW13"/>
      <c r="FXA13"/>
      <c r="FXE13"/>
      <c r="FXI13"/>
      <c r="FXM13"/>
      <c r="FXQ13"/>
      <c r="FXU13"/>
      <c r="FXY13"/>
      <c r="FYC13"/>
      <c r="FYG13"/>
      <c r="FYK13"/>
      <c r="FYO13"/>
      <c r="FYS13"/>
      <c r="FYW13"/>
      <c r="FZA13"/>
      <c r="FZE13"/>
      <c r="FZI13"/>
      <c r="FZM13"/>
      <c r="FZQ13"/>
      <c r="FZU13"/>
      <c r="FZY13"/>
      <c r="GAC13"/>
      <c r="GAG13"/>
      <c r="GAK13"/>
      <c r="GAO13"/>
      <c r="GAS13"/>
      <c r="GAW13"/>
      <c r="GBA13"/>
      <c r="GBE13"/>
      <c r="GBI13"/>
      <c r="GBM13"/>
      <c r="GBQ13"/>
      <c r="GBU13"/>
      <c r="GBY13"/>
      <c r="GCC13"/>
      <c r="GCG13"/>
      <c r="GCK13"/>
      <c r="GCO13"/>
      <c r="GCS13"/>
      <c r="GCW13"/>
      <c r="GDA13"/>
      <c r="GDE13"/>
      <c r="GDI13"/>
      <c r="GDM13"/>
      <c r="GDQ13"/>
      <c r="GDU13"/>
      <c r="GDY13"/>
      <c r="GEC13"/>
      <c r="GEG13"/>
      <c r="GEK13"/>
      <c r="GEO13"/>
      <c r="GES13"/>
      <c r="GEW13"/>
      <c r="GFA13"/>
      <c r="GFE13"/>
      <c r="GFI13"/>
      <c r="GFM13"/>
      <c r="GFQ13"/>
      <c r="GFU13"/>
      <c r="GFY13"/>
      <c r="GGC13"/>
      <c r="GGG13"/>
      <c r="GGK13"/>
      <c r="GGO13"/>
      <c r="GGS13"/>
      <c r="GGW13"/>
      <c r="GHA13"/>
      <c r="GHE13"/>
      <c r="GHI13"/>
      <c r="GHM13"/>
      <c r="GHQ13"/>
      <c r="GHU13"/>
      <c r="GHY13"/>
      <c r="GIC13"/>
      <c r="GIG13"/>
      <c r="GIK13"/>
      <c r="GIO13"/>
      <c r="GIS13"/>
      <c r="GIW13"/>
      <c r="GJA13"/>
      <c r="GJE13"/>
      <c r="GJI13"/>
      <c r="GJM13"/>
      <c r="GJQ13"/>
      <c r="GJU13"/>
      <c r="GJY13"/>
      <c r="GKC13"/>
      <c r="GKG13"/>
      <c r="GKK13"/>
      <c r="GKO13"/>
      <c r="GKS13"/>
      <c r="GKW13"/>
      <c r="GLA13"/>
      <c r="GLE13"/>
      <c r="GLI13"/>
      <c r="GLM13"/>
      <c r="GLQ13"/>
      <c r="GLU13"/>
      <c r="GLY13"/>
      <c r="GMC13"/>
      <c r="GMG13"/>
      <c r="GMK13"/>
      <c r="GMO13"/>
      <c r="GMS13"/>
      <c r="GMW13"/>
      <c r="GNA13"/>
      <c r="GNE13"/>
      <c r="GNI13"/>
      <c r="GNM13"/>
      <c r="GNQ13"/>
      <c r="GNU13"/>
      <c r="GNY13"/>
      <c r="GOC13"/>
      <c r="GOG13"/>
      <c r="GOK13"/>
      <c r="GOO13"/>
      <c r="GOS13"/>
      <c r="GOW13"/>
      <c r="GPA13"/>
      <c r="GPE13"/>
      <c r="GPI13"/>
      <c r="GPM13"/>
      <c r="GPQ13"/>
      <c r="GPU13"/>
      <c r="GPY13"/>
      <c r="GQC13"/>
      <c r="GQG13"/>
      <c r="GQK13"/>
      <c r="GQO13"/>
      <c r="GQS13"/>
      <c r="GQW13"/>
      <c r="GRA13"/>
      <c r="GRE13"/>
      <c r="GRI13"/>
      <c r="GRM13"/>
      <c r="GRQ13"/>
      <c r="GRU13"/>
      <c r="GRY13"/>
      <c r="GSC13"/>
      <c r="GSG13"/>
      <c r="GSK13"/>
      <c r="GSO13"/>
      <c r="GSS13"/>
      <c r="GSW13"/>
      <c r="GTA13"/>
      <c r="GTE13"/>
      <c r="GTI13"/>
      <c r="GTM13"/>
      <c r="GTQ13"/>
      <c r="GTU13"/>
      <c r="GTY13"/>
      <c r="GUC13"/>
      <c r="GUG13"/>
      <c r="GUK13"/>
      <c r="GUO13"/>
      <c r="GUS13"/>
      <c r="GUW13"/>
      <c r="GVA13"/>
      <c r="GVE13"/>
      <c r="GVI13"/>
      <c r="GVM13"/>
      <c r="GVQ13"/>
      <c r="GVU13"/>
      <c r="GVY13"/>
      <c r="GWC13"/>
      <c r="GWG13"/>
      <c r="GWK13"/>
      <c r="GWO13"/>
      <c r="GWS13"/>
      <c r="GWW13"/>
      <c r="GXA13"/>
      <c r="GXE13"/>
      <c r="GXI13"/>
      <c r="GXM13"/>
      <c r="GXQ13"/>
      <c r="GXU13"/>
      <c r="GXY13"/>
      <c r="GYC13"/>
      <c r="GYG13"/>
      <c r="GYK13"/>
      <c r="GYO13"/>
      <c r="GYS13"/>
      <c r="GYW13"/>
      <c r="GZA13"/>
      <c r="GZE13"/>
      <c r="GZI13"/>
      <c r="GZM13"/>
      <c r="GZQ13"/>
      <c r="GZU13"/>
      <c r="GZY13"/>
      <c r="HAC13"/>
      <c r="HAG13"/>
      <c r="HAK13"/>
      <c r="HAO13"/>
      <c r="HAS13"/>
      <c r="HAW13"/>
      <c r="HBA13"/>
      <c r="HBE13"/>
      <c r="HBI13"/>
      <c r="HBM13"/>
      <c r="HBQ13"/>
      <c r="HBU13"/>
      <c r="HBY13"/>
      <c r="HCC13"/>
      <c r="HCG13"/>
      <c r="HCK13"/>
      <c r="HCO13"/>
      <c r="HCS13"/>
      <c r="HCW13"/>
      <c r="HDA13"/>
      <c r="HDE13"/>
      <c r="HDI13"/>
      <c r="HDM13"/>
      <c r="HDQ13"/>
      <c r="HDU13"/>
      <c r="HDY13"/>
      <c r="HEC13"/>
      <c r="HEG13"/>
      <c r="HEK13"/>
      <c r="HEO13"/>
      <c r="HES13"/>
      <c r="HEW13"/>
      <c r="HFA13"/>
      <c r="HFE13"/>
      <c r="HFI13"/>
      <c r="HFM13"/>
      <c r="HFQ13"/>
      <c r="HFU13"/>
      <c r="HFY13"/>
      <c r="HGC13"/>
      <c r="HGG13"/>
      <c r="HGK13"/>
      <c r="HGO13"/>
      <c r="HGS13"/>
      <c r="HGW13"/>
      <c r="HHA13"/>
      <c r="HHE13"/>
      <c r="HHI13"/>
      <c r="HHM13"/>
      <c r="HHQ13"/>
      <c r="HHU13"/>
      <c r="HHY13"/>
      <c r="HIC13"/>
      <c r="HIG13"/>
      <c r="HIK13"/>
      <c r="HIO13"/>
      <c r="HIS13"/>
      <c r="HIW13"/>
      <c r="HJA13"/>
      <c r="HJE13"/>
      <c r="HJI13"/>
      <c r="HJM13"/>
      <c r="HJQ13"/>
      <c r="HJU13"/>
      <c r="HJY13"/>
      <c r="HKC13"/>
      <c r="HKG13"/>
      <c r="HKK13"/>
      <c r="HKO13"/>
      <c r="HKS13"/>
      <c r="HKW13"/>
      <c r="HLA13"/>
      <c r="HLE13"/>
      <c r="HLI13"/>
      <c r="HLM13"/>
      <c r="HLQ13"/>
      <c r="HLU13"/>
      <c r="HLY13"/>
      <c r="HMC13"/>
      <c r="HMG13"/>
      <c r="HMK13"/>
      <c r="HMO13"/>
      <c r="HMS13"/>
      <c r="HMW13"/>
      <c r="HNA13"/>
      <c r="HNE13"/>
      <c r="HNI13"/>
      <c r="HNM13"/>
      <c r="HNQ13"/>
      <c r="HNU13"/>
      <c r="HNY13"/>
      <c r="HOC13"/>
      <c r="HOG13"/>
      <c r="HOK13"/>
      <c r="HOO13"/>
      <c r="HOS13"/>
      <c r="HOW13"/>
      <c r="HPA13"/>
      <c r="HPE13"/>
      <c r="HPI13"/>
      <c r="HPM13"/>
      <c r="HPQ13"/>
      <c r="HPU13"/>
      <c r="HPY13"/>
      <c r="HQC13"/>
      <c r="HQG13"/>
      <c r="HQK13"/>
      <c r="HQO13"/>
      <c r="HQS13"/>
      <c r="HQW13"/>
      <c r="HRA13"/>
      <c r="HRE13"/>
      <c r="HRI13"/>
      <c r="HRM13"/>
      <c r="HRQ13"/>
      <c r="HRU13"/>
      <c r="HRY13"/>
      <c r="HSC13"/>
      <c r="HSG13"/>
      <c r="HSK13"/>
      <c r="HSO13"/>
      <c r="HSS13"/>
      <c r="HSW13"/>
      <c r="HTA13"/>
      <c r="HTE13"/>
      <c r="HTI13"/>
      <c r="HTM13"/>
      <c r="HTQ13"/>
      <c r="HTU13"/>
      <c r="HTY13"/>
      <c r="HUC13"/>
      <c r="HUG13"/>
      <c r="HUK13"/>
      <c r="HUO13"/>
      <c r="HUS13"/>
      <c r="HUW13"/>
      <c r="HVA13"/>
      <c r="HVE13"/>
      <c r="HVI13"/>
      <c r="HVM13"/>
      <c r="HVQ13"/>
      <c r="HVU13"/>
      <c r="HVY13"/>
      <c r="HWC13"/>
      <c r="HWG13"/>
      <c r="HWK13"/>
      <c r="HWO13"/>
      <c r="HWS13"/>
      <c r="HWW13"/>
      <c r="HXA13"/>
      <c r="HXE13"/>
      <c r="HXI13"/>
      <c r="HXM13"/>
      <c r="HXQ13"/>
      <c r="HXU13"/>
      <c r="HXY13"/>
      <c r="HYC13"/>
      <c r="HYG13"/>
      <c r="HYK13"/>
      <c r="HYO13"/>
      <c r="HYS13"/>
      <c r="HYW13"/>
      <c r="HZA13"/>
      <c r="HZE13"/>
      <c r="HZI13"/>
      <c r="HZM13"/>
      <c r="HZQ13"/>
      <c r="HZU13"/>
      <c r="HZY13"/>
      <c r="IAC13"/>
      <c r="IAG13"/>
      <c r="IAK13"/>
      <c r="IAO13"/>
      <c r="IAS13"/>
      <c r="IAW13"/>
      <c r="IBA13"/>
      <c r="IBE13"/>
      <c r="IBI13"/>
      <c r="IBM13"/>
      <c r="IBQ13"/>
      <c r="IBU13"/>
      <c r="IBY13"/>
      <c r="ICC13"/>
      <c r="ICG13"/>
      <c r="ICK13"/>
      <c r="ICO13"/>
      <c r="ICS13"/>
      <c r="ICW13"/>
      <c r="IDA13"/>
      <c r="IDE13"/>
      <c r="IDI13"/>
      <c r="IDM13"/>
      <c r="IDQ13"/>
      <c r="IDU13"/>
      <c r="IDY13"/>
      <c r="IEC13"/>
      <c r="IEG13"/>
      <c r="IEK13"/>
      <c r="IEO13"/>
      <c r="IES13"/>
      <c r="IEW13"/>
      <c r="IFA13"/>
      <c r="IFE13"/>
      <c r="IFI13"/>
      <c r="IFM13"/>
      <c r="IFQ13"/>
      <c r="IFU13"/>
      <c r="IFY13"/>
      <c r="IGC13"/>
      <c r="IGG13"/>
      <c r="IGK13"/>
      <c r="IGO13"/>
      <c r="IGS13"/>
      <c r="IGW13"/>
      <c r="IHA13"/>
      <c r="IHE13"/>
      <c r="IHI13"/>
      <c r="IHM13"/>
      <c r="IHQ13"/>
      <c r="IHU13"/>
      <c r="IHY13"/>
      <c r="IIC13"/>
      <c r="IIG13"/>
      <c r="IIK13"/>
      <c r="IIO13"/>
      <c r="IIS13"/>
      <c r="IIW13"/>
      <c r="IJA13"/>
      <c r="IJE13"/>
      <c r="IJI13"/>
      <c r="IJM13"/>
      <c r="IJQ13"/>
      <c r="IJU13"/>
      <c r="IJY13"/>
      <c r="IKC13"/>
      <c r="IKG13"/>
      <c r="IKK13"/>
      <c r="IKO13"/>
      <c r="IKS13"/>
      <c r="IKW13"/>
      <c r="ILA13"/>
      <c r="ILE13"/>
      <c r="ILI13"/>
      <c r="ILM13"/>
      <c r="ILQ13"/>
      <c r="ILU13"/>
      <c r="ILY13"/>
      <c r="IMC13"/>
      <c r="IMG13"/>
      <c r="IMK13"/>
      <c r="IMO13"/>
      <c r="IMS13"/>
      <c r="IMW13"/>
      <c r="INA13"/>
      <c r="INE13"/>
      <c r="INI13"/>
      <c r="INM13"/>
      <c r="INQ13"/>
      <c r="INU13"/>
      <c r="INY13"/>
      <c r="IOC13"/>
      <c r="IOG13"/>
      <c r="IOK13"/>
      <c r="IOO13"/>
      <c r="IOS13"/>
      <c r="IOW13"/>
      <c r="IPA13"/>
      <c r="IPE13"/>
      <c r="IPI13"/>
      <c r="IPM13"/>
      <c r="IPQ13"/>
      <c r="IPU13"/>
      <c r="IPY13"/>
      <c r="IQC13"/>
      <c r="IQG13"/>
      <c r="IQK13"/>
      <c r="IQO13"/>
      <c r="IQS13"/>
      <c r="IQW13"/>
      <c r="IRA13"/>
      <c r="IRE13"/>
      <c r="IRI13"/>
      <c r="IRM13"/>
      <c r="IRQ13"/>
      <c r="IRU13"/>
      <c r="IRY13"/>
      <c r="ISC13"/>
      <c r="ISG13"/>
      <c r="ISK13"/>
      <c r="ISO13"/>
      <c r="ISS13"/>
      <c r="ISW13"/>
      <c r="ITA13"/>
      <c r="ITE13"/>
      <c r="ITI13"/>
      <c r="ITM13"/>
      <c r="ITQ13"/>
      <c r="ITU13"/>
      <c r="ITY13"/>
      <c r="IUC13"/>
      <c r="IUG13"/>
      <c r="IUK13"/>
      <c r="IUO13"/>
      <c r="IUS13"/>
      <c r="IUW13"/>
      <c r="IVA13"/>
      <c r="IVE13"/>
      <c r="IVI13"/>
      <c r="IVM13"/>
      <c r="IVQ13"/>
      <c r="IVU13"/>
      <c r="IVY13"/>
      <c r="IWC13"/>
      <c r="IWG13"/>
      <c r="IWK13"/>
      <c r="IWO13"/>
      <c r="IWS13"/>
      <c r="IWW13"/>
      <c r="IXA13"/>
      <c r="IXE13"/>
      <c r="IXI13"/>
      <c r="IXM13"/>
      <c r="IXQ13"/>
      <c r="IXU13"/>
      <c r="IXY13"/>
      <c r="IYC13"/>
      <c r="IYG13"/>
      <c r="IYK13"/>
      <c r="IYO13"/>
      <c r="IYS13"/>
      <c r="IYW13"/>
      <c r="IZA13"/>
      <c r="IZE13"/>
      <c r="IZI13"/>
      <c r="IZM13"/>
      <c r="IZQ13"/>
      <c r="IZU13"/>
      <c r="IZY13"/>
      <c r="JAC13"/>
      <c r="JAG13"/>
      <c r="JAK13"/>
      <c r="JAO13"/>
      <c r="JAS13"/>
      <c r="JAW13"/>
      <c r="JBA13"/>
      <c r="JBE13"/>
      <c r="JBI13"/>
      <c r="JBM13"/>
      <c r="JBQ13"/>
      <c r="JBU13"/>
      <c r="JBY13"/>
      <c r="JCC13"/>
      <c r="JCG13"/>
      <c r="JCK13"/>
      <c r="JCO13"/>
      <c r="JCS13"/>
      <c r="JCW13"/>
      <c r="JDA13"/>
      <c r="JDE13"/>
      <c r="JDI13"/>
      <c r="JDM13"/>
      <c r="JDQ13"/>
      <c r="JDU13"/>
      <c r="JDY13"/>
      <c r="JEC13"/>
      <c r="JEG13"/>
      <c r="JEK13"/>
      <c r="JEO13"/>
      <c r="JES13"/>
      <c r="JEW13"/>
      <c r="JFA13"/>
      <c r="JFE13"/>
      <c r="JFI13"/>
      <c r="JFM13"/>
      <c r="JFQ13"/>
      <c r="JFU13"/>
      <c r="JFY13"/>
      <c r="JGC13"/>
      <c r="JGG13"/>
      <c r="JGK13"/>
      <c r="JGO13"/>
      <c r="JGS13"/>
      <c r="JGW13"/>
      <c r="JHA13"/>
      <c r="JHE13"/>
      <c r="JHI13"/>
      <c r="JHM13"/>
      <c r="JHQ13"/>
      <c r="JHU13"/>
      <c r="JHY13"/>
      <c r="JIC13"/>
      <c r="JIG13"/>
      <c r="JIK13"/>
      <c r="JIO13"/>
      <c r="JIS13"/>
      <c r="JIW13"/>
      <c r="JJA13"/>
      <c r="JJE13"/>
      <c r="JJI13"/>
      <c r="JJM13"/>
      <c r="JJQ13"/>
      <c r="JJU13"/>
      <c r="JJY13"/>
      <c r="JKC13"/>
      <c r="JKG13"/>
      <c r="JKK13"/>
      <c r="JKO13"/>
      <c r="JKS13"/>
      <c r="JKW13"/>
      <c r="JLA13"/>
      <c r="JLE13"/>
      <c r="JLI13"/>
      <c r="JLM13"/>
      <c r="JLQ13"/>
      <c r="JLU13"/>
      <c r="JLY13"/>
      <c r="JMC13"/>
      <c r="JMG13"/>
      <c r="JMK13"/>
      <c r="JMO13"/>
      <c r="JMS13"/>
      <c r="JMW13"/>
      <c r="JNA13"/>
      <c r="JNE13"/>
      <c r="JNI13"/>
      <c r="JNM13"/>
      <c r="JNQ13"/>
      <c r="JNU13"/>
      <c r="JNY13"/>
      <c r="JOC13"/>
      <c r="JOG13"/>
      <c r="JOK13"/>
      <c r="JOO13"/>
      <c r="JOS13"/>
      <c r="JOW13"/>
      <c r="JPA13"/>
      <c r="JPE13"/>
      <c r="JPI13"/>
      <c r="JPM13"/>
      <c r="JPQ13"/>
      <c r="JPU13"/>
      <c r="JPY13"/>
      <c r="JQC13"/>
      <c r="JQG13"/>
      <c r="JQK13"/>
      <c r="JQO13"/>
      <c r="JQS13"/>
      <c r="JQW13"/>
      <c r="JRA13"/>
      <c r="JRE13"/>
      <c r="JRI13"/>
      <c r="JRM13"/>
      <c r="JRQ13"/>
      <c r="JRU13"/>
      <c r="JRY13"/>
      <c r="JSC13"/>
      <c r="JSG13"/>
      <c r="JSK13"/>
      <c r="JSO13"/>
      <c r="JSS13"/>
      <c r="JSW13"/>
      <c r="JTA13"/>
      <c r="JTE13"/>
      <c r="JTI13"/>
      <c r="JTM13"/>
      <c r="JTQ13"/>
      <c r="JTU13"/>
      <c r="JTY13"/>
      <c r="JUC13"/>
      <c r="JUG13"/>
      <c r="JUK13"/>
      <c r="JUO13"/>
      <c r="JUS13"/>
      <c r="JUW13"/>
      <c r="JVA13"/>
      <c r="JVE13"/>
      <c r="JVI13"/>
      <c r="JVM13"/>
      <c r="JVQ13"/>
      <c r="JVU13"/>
      <c r="JVY13"/>
      <c r="JWC13"/>
      <c r="JWG13"/>
      <c r="JWK13"/>
      <c r="JWO13"/>
      <c r="JWS13"/>
      <c r="JWW13"/>
      <c r="JXA13"/>
      <c r="JXE13"/>
      <c r="JXI13"/>
      <c r="JXM13"/>
      <c r="JXQ13"/>
      <c r="JXU13"/>
      <c r="JXY13"/>
      <c r="JYC13"/>
      <c r="JYG13"/>
      <c r="JYK13"/>
      <c r="JYO13"/>
      <c r="JYS13"/>
      <c r="JYW13"/>
      <c r="JZA13"/>
      <c r="JZE13"/>
      <c r="JZI13"/>
      <c r="JZM13"/>
      <c r="JZQ13"/>
      <c r="JZU13"/>
      <c r="JZY13"/>
      <c r="KAC13"/>
      <c r="KAG13"/>
      <c r="KAK13"/>
      <c r="KAO13"/>
      <c r="KAS13"/>
      <c r="KAW13"/>
      <c r="KBA13"/>
      <c r="KBE13"/>
      <c r="KBI13"/>
      <c r="KBM13"/>
      <c r="KBQ13"/>
      <c r="KBU13"/>
      <c r="KBY13"/>
      <c r="KCC13"/>
      <c r="KCG13"/>
      <c r="KCK13"/>
      <c r="KCO13"/>
      <c r="KCS13"/>
      <c r="KCW13"/>
      <c r="KDA13"/>
      <c r="KDE13"/>
      <c r="KDI13"/>
      <c r="KDM13"/>
      <c r="KDQ13"/>
      <c r="KDU13"/>
      <c r="KDY13"/>
      <c r="KEC13"/>
      <c r="KEG13"/>
      <c r="KEK13"/>
      <c r="KEO13"/>
      <c r="KES13"/>
      <c r="KEW13"/>
      <c r="KFA13"/>
      <c r="KFE13"/>
      <c r="KFI13"/>
      <c r="KFM13"/>
      <c r="KFQ13"/>
      <c r="KFU13"/>
      <c r="KFY13"/>
      <c r="KGC13"/>
      <c r="KGG13"/>
      <c r="KGK13"/>
      <c r="KGO13"/>
      <c r="KGS13"/>
      <c r="KGW13"/>
      <c r="KHA13"/>
      <c r="KHE13"/>
      <c r="KHI13"/>
      <c r="KHM13"/>
      <c r="KHQ13"/>
      <c r="KHU13"/>
      <c r="KHY13"/>
      <c r="KIC13"/>
      <c r="KIG13"/>
      <c r="KIK13"/>
      <c r="KIO13"/>
      <c r="KIS13"/>
      <c r="KIW13"/>
      <c r="KJA13"/>
      <c r="KJE13"/>
      <c r="KJI13"/>
      <c r="KJM13"/>
      <c r="KJQ13"/>
      <c r="KJU13"/>
      <c r="KJY13"/>
      <c r="KKC13"/>
      <c r="KKG13"/>
      <c r="KKK13"/>
      <c r="KKO13"/>
      <c r="KKS13"/>
      <c r="KKW13"/>
      <c r="KLA13"/>
      <c r="KLE13"/>
      <c r="KLI13"/>
      <c r="KLM13"/>
      <c r="KLQ13"/>
      <c r="KLU13"/>
      <c r="KLY13"/>
      <c r="KMC13"/>
      <c r="KMG13"/>
      <c r="KMK13"/>
      <c r="KMO13"/>
      <c r="KMS13"/>
      <c r="KMW13"/>
      <c r="KNA13"/>
      <c r="KNE13"/>
      <c r="KNI13"/>
      <c r="KNM13"/>
      <c r="KNQ13"/>
      <c r="KNU13"/>
      <c r="KNY13"/>
      <c r="KOC13"/>
      <c r="KOG13"/>
      <c r="KOK13"/>
      <c r="KOO13"/>
      <c r="KOS13"/>
      <c r="KOW13"/>
      <c r="KPA13"/>
      <c r="KPE13"/>
      <c r="KPI13"/>
      <c r="KPM13"/>
      <c r="KPQ13"/>
      <c r="KPU13"/>
      <c r="KPY13"/>
      <c r="KQC13"/>
      <c r="KQG13"/>
      <c r="KQK13"/>
      <c r="KQO13"/>
      <c r="KQS13"/>
      <c r="KQW13"/>
      <c r="KRA13"/>
      <c r="KRE13"/>
      <c r="KRI13"/>
      <c r="KRM13"/>
      <c r="KRQ13"/>
      <c r="KRU13"/>
      <c r="KRY13"/>
      <c r="KSC13"/>
      <c r="KSG13"/>
      <c r="KSK13"/>
      <c r="KSO13"/>
      <c r="KSS13"/>
      <c r="KSW13"/>
      <c r="KTA13"/>
      <c r="KTE13"/>
      <c r="KTI13"/>
      <c r="KTM13"/>
      <c r="KTQ13"/>
      <c r="KTU13"/>
      <c r="KTY13"/>
      <c r="KUC13"/>
      <c r="KUG13"/>
      <c r="KUK13"/>
      <c r="KUO13"/>
      <c r="KUS13"/>
      <c r="KUW13"/>
      <c r="KVA13"/>
      <c r="KVE13"/>
      <c r="KVI13"/>
      <c r="KVM13"/>
      <c r="KVQ13"/>
      <c r="KVU13"/>
      <c r="KVY13"/>
      <c r="KWC13"/>
      <c r="KWG13"/>
      <c r="KWK13"/>
      <c r="KWO13"/>
      <c r="KWS13"/>
      <c r="KWW13"/>
      <c r="KXA13"/>
      <c r="KXE13"/>
      <c r="KXI13"/>
      <c r="KXM13"/>
      <c r="KXQ13"/>
      <c r="KXU13"/>
      <c r="KXY13"/>
      <c r="KYC13"/>
      <c r="KYG13"/>
      <c r="KYK13"/>
      <c r="KYO13"/>
      <c r="KYS13"/>
      <c r="KYW13"/>
      <c r="KZA13"/>
      <c r="KZE13"/>
      <c r="KZI13"/>
      <c r="KZM13"/>
      <c r="KZQ13"/>
      <c r="KZU13"/>
      <c r="KZY13"/>
      <c r="LAC13"/>
      <c r="LAG13"/>
      <c r="LAK13"/>
      <c r="LAO13"/>
      <c r="LAS13"/>
      <c r="LAW13"/>
      <c r="LBA13"/>
      <c r="LBE13"/>
      <c r="LBI13"/>
      <c r="LBM13"/>
      <c r="LBQ13"/>
      <c r="LBU13"/>
      <c r="LBY13"/>
      <c r="LCC13"/>
      <c r="LCG13"/>
      <c r="LCK13"/>
      <c r="LCO13"/>
      <c r="LCS13"/>
      <c r="LCW13"/>
      <c r="LDA13"/>
      <c r="LDE13"/>
      <c r="LDI13"/>
      <c r="LDM13"/>
      <c r="LDQ13"/>
      <c r="LDU13"/>
      <c r="LDY13"/>
      <c r="LEC13"/>
      <c r="LEG13"/>
      <c r="LEK13"/>
      <c r="LEO13"/>
      <c r="LES13"/>
      <c r="LEW13"/>
      <c r="LFA13"/>
      <c r="LFE13"/>
      <c r="LFI13"/>
      <c r="LFM13"/>
      <c r="LFQ13"/>
      <c r="LFU13"/>
      <c r="LFY13"/>
      <c r="LGC13"/>
      <c r="LGG13"/>
      <c r="LGK13"/>
      <c r="LGO13"/>
      <c r="LGS13"/>
      <c r="LGW13"/>
      <c r="LHA13"/>
      <c r="LHE13"/>
      <c r="LHI13"/>
      <c r="LHM13"/>
      <c r="LHQ13"/>
      <c r="LHU13"/>
      <c r="LHY13"/>
      <c r="LIC13"/>
      <c r="LIG13"/>
      <c r="LIK13"/>
      <c r="LIO13"/>
      <c r="LIS13"/>
      <c r="LIW13"/>
      <c r="LJA13"/>
      <c r="LJE13"/>
      <c r="LJI13"/>
      <c r="LJM13"/>
      <c r="LJQ13"/>
      <c r="LJU13"/>
      <c r="LJY13"/>
      <c r="LKC13"/>
      <c r="LKG13"/>
      <c r="LKK13"/>
      <c r="LKO13"/>
      <c r="LKS13"/>
      <c r="LKW13"/>
      <c r="LLA13"/>
      <c r="LLE13"/>
      <c r="LLI13"/>
      <c r="LLM13"/>
      <c r="LLQ13"/>
      <c r="LLU13"/>
      <c r="LLY13"/>
      <c r="LMC13"/>
      <c r="LMG13"/>
      <c r="LMK13"/>
      <c r="LMO13"/>
      <c r="LMS13"/>
      <c r="LMW13"/>
      <c r="LNA13"/>
      <c r="LNE13"/>
      <c r="LNI13"/>
      <c r="LNM13"/>
      <c r="LNQ13"/>
      <c r="LNU13"/>
      <c r="LNY13"/>
      <c r="LOC13"/>
      <c r="LOG13"/>
      <c r="LOK13"/>
      <c r="LOO13"/>
      <c r="LOS13"/>
      <c r="LOW13"/>
      <c r="LPA13"/>
      <c r="LPE13"/>
      <c r="LPI13"/>
      <c r="LPM13"/>
      <c r="LPQ13"/>
      <c r="LPU13"/>
      <c r="LPY13"/>
      <c r="LQC13"/>
      <c r="LQG13"/>
      <c r="LQK13"/>
      <c r="LQO13"/>
      <c r="LQS13"/>
      <c r="LQW13"/>
      <c r="LRA13"/>
      <c r="LRE13"/>
      <c r="LRI13"/>
      <c r="LRM13"/>
      <c r="LRQ13"/>
      <c r="LRU13"/>
      <c r="LRY13"/>
      <c r="LSC13"/>
      <c r="LSG13"/>
      <c r="LSK13"/>
      <c r="LSO13"/>
      <c r="LSS13"/>
      <c r="LSW13"/>
      <c r="LTA13"/>
      <c r="LTE13"/>
      <c r="LTI13"/>
      <c r="LTM13"/>
      <c r="LTQ13"/>
      <c r="LTU13"/>
      <c r="LTY13"/>
      <c r="LUC13"/>
      <c r="LUG13"/>
      <c r="LUK13"/>
      <c r="LUO13"/>
      <c r="LUS13"/>
      <c r="LUW13"/>
      <c r="LVA13"/>
      <c r="LVE13"/>
      <c r="LVI13"/>
      <c r="LVM13"/>
      <c r="LVQ13"/>
      <c r="LVU13"/>
      <c r="LVY13"/>
      <c r="LWC13"/>
      <c r="LWG13"/>
      <c r="LWK13"/>
      <c r="LWO13"/>
      <c r="LWS13"/>
      <c r="LWW13"/>
      <c r="LXA13"/>
      <c r="LXE13"/>
      <c r="LXI13"/>
      <c r="LXM13"/>
      <c r="LXQ13"/>
      <c r="LXU13"/>
      <c r="LXY13"/>
      <c r="LYC13"/>
      <c r="LYG13"/>
      <c r="LYK13"/>
      <c r="LYO13"/>
      <c r="LYS13"/>
      <c r="LYW13"/>
      <c r="LZA13"/>
      <c r="LZE13"/>
      <c r="LZI13"/>
      <c r="LZM13"/>
      <c r="LZQ13"/>
      <c r="LZU13"/>
      <c r="LZY13"/>
      <c r="MAC13"/>
      <c r="MAG13"/>
      <c r="MAK13"/>
      <c r="MAO13"/>
      <c r="MAS13"/>
      <c r="MAW13"/>
      <c r="MBA13"/>
      <c r="MBE13"/>
      <c r="MBI13"/>
      <c r="MBM13"/>
      <c r="MBQ13"/>
      <c r="MBU13"/>
      <c r="MBY13"/>
      <c r="MCC13"/>
      <c r="MCG13"/>
      <c r="MCK13"/>
      <c r="MCO13"/>
      <c r="MCS13"/>
      <c r="MCW13"/>
      <c r="MDA13"/>
      <c r="MDE13"/>
      <c r="MDI13"/>
      <c r="MDM13"/>
      <c r="MDQ13"/>
      <c r="MDU13"/>
      <c r="MDY13"/>
      <c r="MEC13"/>
      <c r="MEG13"/>
      <c r="MEK13"/>
      <c r="MEO13"/>
      <c r="MES13"/>
      <c r="MEW13"/>
      <c r="MFA13"/>
      <c r="MFE13"/>
      <c r="MFI13"/>
      <c r="MFM13"/>
      <c r="MFQ13"/>
      <c r="MFU13"/>
      <c r="MFY13"/>
      <c r="MGC13"/>
      <c r="MGG13"/>
      <c r="MGK13"/>
      <c r="MGO13"/>
      <c r="MGS13"/>
      <c r="MGW13"/>
      <c r="MHA13"/>
      <c r="MHE13"/>
      <c r="MHI13"/>
      <c r="MHM13"/>
      <c r="MHQ13"/>
      <c r="MHU13"/>
      <c r="MHY13"/>
      <c r="MIC13"/>
      <c r="MIG13"/>
      <c r="MIK13"/>
      <c r="MIO13"/>
      <c r="MIS13"/>
      <c r="MIW13"/>
      <c r="MJA13"/>
      <c r="MJE13"/>
      <c r="MJI13"/>
      <c r="MJM13"/>
      <c r="MJQ13"/>
      <c r="MJU13"/>
      <c r="MJY13"/>
      <c r="MKC13"/>
      <c r="MKG13"/>
      <c r="MKK13"/>
      <c r="MKO13"/>
      <c r="MKS13"/>
      <c r="MKW13"/>
      <c r="MLA13"/>
      <c r="MLE13"/>
      <c r="MLI13"/>
      <c r="MLM13"/>
      <c r="MLQ13"/>
      <c r="MLU13"/>
      <c r="MLY13"/>
      <c r="MMC13"/>
      <c r="MMG13"/>
      <c r="MMK13"/>
      <c r="MMO13"/>
      <c r="MMS13"/>
      <c r="MMW13"/>
      <c r="MNA13"/>
      <c r="MNE13"/>
      <c r="MNI13"/>
      <c r="MNM13"/>
      <c r="MNQ13"/>
      <c r="MNU13"/>
      <c r="MNY13"/>
      <c r="MOC13"/>
      <c r="MOG13"/>
      <c r="MOK13"/>
      <c r="MOO13"/>
      <c r="MOS13"/>
      <c r="MOW13"/>
      <c r="MPA13"/>
      <c r="MPE13"/>
      <c r="MPI13"/>
      <c r="MPM13"/>
      <c r="MPQ13"/>
      <c r="MPU13"/>
      <c r="MPY13"/>
      <c r="MQC13"/>
      <c r="MQG13"/>
      <c r="MQK13"/>
      <c r="MQO13"/>
      <c r="MQS13"/>
      <c r="MQW13"/>
      <c r="MRA13"/>
      <c r="MRE13"/>
      <c r="MRI13"/>
      <c r="MRM13"/>
      <c r="MRQ13"/>
      <c r="MRU13"/>
      <c r="MRY13"/>
      <c r="MSC13"/>
      <c r="MSG13"/>
      <c r="MSK13"/>
      <c r="MSO13"/>
      <c r="MSS13"/>
      <c r="MSW13"/>
      <c r="MTA13"/>
      <c r="MTE13"/>
      <c r="MTI13"/>
      <c r="MTM13"/>
      <c r="MTQ13"/>
      <c r="MTU13"/>
      <c r="MTY13"/>
      <c r="MUC13"/>
      <c r="MUG13"/>
      <c r="MUK13"/>
      <c r="MUO13"/>
      <c r="MUS13"/>
      <c r="MUW13"/>
      <c r="MVA13"/>
      <c r="MVE13"/>
      <c r="MVI13"/>
      <c r="MVM13"/>
      <c r="MVQ13"/>
      <c r="MVU13"/>
      <c r="MVY13"/>
      <c r="MWC13"/>
      <c r="MWG13"/>
      <c r="MWK13"/>
      <c r="MWO13"/>
      <c r="MWS13"/>
      <c r="MWW13"/>
      <c r="MXA13"/>
      <c r="MXE13"/>
      <c r="MXI13"/>
      <c r="MXM13"/>
      <c r="MXQ13"/>
      <c r="MXU13"/>
      <c r="MXY13"/>
      <c r="MYC13"/>
      <c r="MYG13"/>
      <c r="MYK13"/>
      <c r="MYO13"/>
      <c r="MYS13"/>
      <c r="MYW13"/>
      <c r="MZA13"/>
      <c r="MZE13"/>
      <c r="MZI13"/>
      <c r="MZM13"/>
      <c r="MZQ13"/>
      <c r="MZU13"/>
      <c r="MZY13"/>
      <c r="NAC13"/>
      <c r="NAG13"/>
      <c r="NAK13"/>
      <c r="NAO13"/>
      <c r="NAS13"/>
      <c r="NAW13"/>
      <c r="NBA13"/>
      <c r="NBE13"/>
      <c r="NBI13"/>
      <c r="NBM13"/>
      <c r="NBQ13"/>
      <c r="NBU13"/>
      <c r="NBY13"/>
      <c r="NCC13"/>
      <c r="NCG13"/>
      <c r="NCK13"/>
      <c r="NCO13"/>
      <c r="NCS13"/>
      <c r="NCW13"/>
      <c r="NDA13"/>
      <c r="NDE13"/>
      <c r="NDI13"/>
      <c r="NDM13"/>
      <c r="NDQ13"/>
      <c r="NDU13"/>
      <c r="NDY13"/>
      <c r="NEC13"/>
      <c r="NEG13"/>
      <c r="NEK13"/>
      <c r="NEO13"/>
      <c r="NES13"/>
      <c r="NEW13"/>
      <c r="NFA13"/>
      <c r="NFE13"/>
      <c r="NFI13"/>
      <c r="NFM13"/>
      <c r="NFQ13"/>
      <c r="NFU13"/>
      <c r="NFY13"/>
      <c r="NGC13"/>
      <c r="NGG13"/>
      <c r="NGK13"/>
      <c r="NGO13"/>
      <c r="NGS13"/>
      <c r="NGW13"/>
      <c r="NHA13"/>
      <c r="NHE13"/>
      <c r="NHI13"/>
      <c r="NHM13"/>
      <c r="NHQ13"/>
      <c r="NHU13"/>
      <c r="NHY13"/>
      <c r="NIC13"/>
      <c r="NIG13"/>
      <c r="NIK13"/>
      <c r="NIO13"/>
      <c r="NIS13"/>
      <c r="NIW13"/>
      <c r="NJA13"/>
      <c r="NJE13"/>
      <c r="NJI13"/>
      <c r="NJM13"/>
      <c r="NJQ13"/>
      <c r="NJU13"/>
      <c r="NJY13"/>
      <c r="NKC13"/>
      <c r="NKG13"/>
      <c r="NKK13"/>
      <c r="NKO13"/>
      <c r="NKS13"/>
      <c r="NKW13"/>
      <c r="NLA13"/>
      <c r="NLE13"/>
      <c r="NLI13"/>
      <c r="NLM13"/>
      <c r="NLQ13"/>
      <c r="NLU13"/>
      <c r="NLY13"/>
      <c r="NMC13"/>
      <c r="NMG13"/>
      <c r="NMK13"/>
      <c r="NMO13"/>
      <c r="NMS13"/>
      <c r="NMW13"/>
      <c r="NNA13"/>
      <c r="NNE13"/>
      <c r="NNI13"/>
      <c r="NNM13"/>
      <c r="NNQ13"/>
      <c r="NNU13"/>
      <c r="NNY13"/>
      <c r="NOC13"/>
      <c r="NOG13"/>
      <c r="NOK13"/>
      <c r="NOO13"/>
      <c r="NOS13"/>
      <c r="NOW13"/>
      <c r="NPA13"/>
      <c r="NPE13"/>
      <c r="NPI13"/>
      <c r="NPM13"/>
      <c r="NPQ13"/>
      <c r="NPU13"/>
      <c r="NPY13"/>
      <c r="NQC13"/>
      <c r="NQG13"/>
      <c r="NQK13"/>
      <c r="NQO13"/>
      <c r="NQS13"/>
      <c r="NQW13"/>
      <c r="NRA13"/>
      <c r="NRE13"/>
      <c r="NRI13"/>
      <c r="NRM13"/>
      <c r="NRQ13"/>
      <c r="NRU13"/>
      <c r="NRY13"/>
      <c r="NSC13"/>
      <c r="NSG13"/>
      <c r="NSK13"/>
      <c r="NSO13"/>
      <c r="NSS13"/>
      <c r="NSW13"/>
      <c r="NTA13"/>
      <c r="NTE13"/>
      <c r="NTI13"/>
      <c r="NTM13"/>
      <c r="NTQ13"/>
      <c r="NTU13"/>
      <c r="NTY13"/>
      <c r="NUC13"/>
      <c r="NUG13"/>
      <c r="NUK13"/>
      <c r="NUO13"/>
      <c r="NUS13"/>
      <c r="NUW13"/>
      <c r="NVA13"/>
      <c r="NVE13"/>
      <c r="NVI13"/>
      <c r="NVM13"/>
      <c r="NVQ13"/>
      <c r="NVU13"/>
      <c r="NVY13"/>
      <c r="NWC13"/>
      <c r="NWG13"/>
      <c r="NWK13"/>
      <c r="NWO13"/>
      <c r="NWS13"/>
      <c r="NWW13"/>
      <c r="NXA13"/>
      <c r="NXE13"/>
      <c r="NXI13"/>
      <c r="NXM13"/>
      <c r="NXQ13"/>
      <c r="NXU13"/>
      <c r="NXY13"/>
      <c r="NYC13"/>
      <c r="NYG13"/>
      <c r="NYK13"/>
      <c r="NYO13"/>
      <c r="NYS13"/>
      <c r="NYW13"/>
      <c r="NZA13"/>
      <c r="NZE13"/>
      <c r="NZI13"/>
      <c r="NZM13"/>
      <c r="NZQ13"/>
      <c r="NZU13"/>
      <c r="NZY13"/>
      <c r="OAC13"/>
      <c r="OAG13"/>
      <c r="OAK13"/>
      <c r="OAO13"/>
      <c r="OAS13"/>
      <c r="OAW13"/>
      <c r="OBA13"/>
      <c r="OBE13"/>
      <c r="OBI13"/>
      <c r="OBM13"/>
      <c r="OBQ13"/>
      <c r="OBU13"/>
      <c r="OBY13"/>
      <c r="OCC13"/>
      <c r="OCG13"/>
      <c r="OCK13"/>
      <c r="OCO13"/>
      <c r="OCS13"/>
      <c r="OCW13"/>
      <c r="ODA13"/>
      <c r="ODE13"/>
      <c r="ODI13"/>
      <c r="ODM13"/>
      <c r="ODQ13"/>
      <c r="ODU13"/>
      <c r="ODY13"/>
      <c r="OEC13"/>
      <c r="OEG13"/>
      <c r="OEK13"/>
      <c r="OEO13"/>
      <c r="OES13"/>
      <c r="OEW13"/>
      <c r="OFA13"/>
      <c r="OFE13"/>
      <c r="OFI13"/>
      <c r="OFM13"/>
      <c r="OFQ13"/>
      <c r="OFU13"/>
      <c r="OFY13"/>
      <c r="OGC13"/>
      <c r="OGG13"/>
      <c r="OGK13"/>
      <c r="OGO13"/>
      <c r="OGS13"/>
      <c r="OGW13"/>
      <c r="OHA13"/>
      <c r="OHE13"/>
      <c r="OHI13"/>
      <c r="OHM13"/>
      <c r="OHQ13"/>
      <c r="OHU13"/>
      <c r="OHY13"/>
      <c r="OIC13"/>
      <c r="OIG13"/>
      <c r="OIK13"/>
      <c r="OIO13"/>
      <c r="OIS13"/>
      <c r="OIW13"/>
      <c r="OJA13"/>
      <c r="OJE13"/>
      <c r="OJI13"/>
      <c r="OJM13"/>
      <c r="OJQ13"/>
      <c r="OJU13"/>
      <c r="OJY13"/>
      <c r="OKC13"/>
      <c r="OKG13"/>
      <c r="OKK13"/>
      <c r="OKO13"/>
      <c r="OKS13"/>
      <c r="OKW13"/>
      <c r="OLA13"/>
      <c r="OLE13"/>
      <c r="OLI13"/>
      <c r="OLM13"/>
      <c r="OLQ13"/>
      <c r="OLU13"/>
      <c r="OLY13"/>
      <c r="OMC13"/>
      <c r="OMG13"/>
      <c r="OMK13"/>
      <c r="OMO13"/>
      <c r="OMS13"/>
      <c r="OMW13"/>
      <c r="ONA13"/>
      <c r="ONE13"/>
      <c r="ONI13"/>
      <c r="ONM13"/>
      <c r="ONQ13"/>
      <c r="ONU13"/>
      <c r="ONY13"/>
      <c r="OOC13"/>
      <c r="OOG13"/>
      <c r="OOK13"/>
      <c r="OOO13"/>
      <c r="OOS13"/>
      <c r="OOW13"/>
      <c r="OPA13"/>
      <c r="OPE13"/>
      <c r="OPI13"/>
      <c r="OPM13"/>
      <c r="OPQ13"/>
      <c r="OPU13"/>
      <c r="OPY13"/>
      <c r="OQC13"/>
      <c r="OQG13"/>
      <c r="OQK13"/>
      <c r="OQO13"/>
      <c r="OQS13"/>
      <c r="OQW13"/>
      <c r="ORA13"/>
      <c r="ORE13"/>
      <c r="ORI13"/>
      <c r="ORM13"/>
      <c r="ORQ13"/>
      <c r="ORU13"/>
      <c r="ORY13"/>
      <c r="OSC13"/>
      <c r="OSG13"/>
      <c r="OSK13"/>
      <c r="OSO13"/>
      <c r="OSS13"/>
      <c r="OSW13"/>
      <c r="OTA13"/>
      <c r="OTE13"/>
      <c r="OTI13"/>
      <c r="OTM13"/>
      <c r="OTQ13"/>
      <c r="OTU13"/>
      <c r="OTY13"/>
      <c r="OUC13"/>
      <c r="OUG13"/>
      <c r="OUK13"/>
      <c r="OUO13"/>
      <c r="OUS13"/>
      <c r="OUW13"/>
      <c r="OVA13"/>
      <c r="OVE13"/>
      <c r="OVI13"/>
      <c r="OVM13"/>
      <c r="OVQ13"/>
      <c r="OVU13"/>
      <c r="OVY13"/>
      <c r="OWC13"/>
      <c r="OWG13"/>
      <c r="OWK13"/>
      <c r="OWO13"/>
      <c r="OWS13"/>
      <c r="OWW13"/>
      <c r="OXA13"/>
      <c r="OXE13"/>
      <c r="OXI13"/>
      <c r="OXM13"/>
      <c r="OXQ13"/>
      <c r="OXU13"/>
      <c r="OXY13"/>
      <c r="OYC13"/>
      <c r="OYG13"/>
      <c r="OYK13"/>
      <c r="OYO13"/>
      <c r="OYS13"/>
      <c r="OYW13"/>
      <c r="OZA13"/>
      <c r="OZE13"/>
      <c r="OZI13"/>
      <c r="OZM13"/>
      <c r="OZQ13"/>
      <c r="OZU13"/>
      <c r="OZY13"/>
      <c r="PAC13"/>
      <c r="PAG13"/>
      <c r="PAK13"/>
      <c r="PAO13"/>
      <c r="PAS13"/>
      <c r="PAW13"/>
      <c r="PBA13"/>
      <c r="PBE13"/>
      <c r="PBI13"/>
      <c r="PBM13"/>
      <c r="PBQ13"/>
      <c r="PBU13"/>
      <c r="PBY13"/>
      <c r="PCC13"/>
      <c r="PCG13"/>
      <c r="PCK13"/>
      <c r="PCO13"/>
      <c r="PCS13"/>
      <c r="PCW13"/>
      <c r="PDA13"/>
      <c r="PDE13"/>
      <c r="PDI13"/>
      <c r="PDM13"/>
      <c r="PDQ13"/>
      <c r="PDU13"/>
      <c r="PDY13"/>
      <c r="PEC13"/>
      <c r="PEG13"/>
      <c r="PEK13"/>
      <c r="PEO13"/>
      <c r="PES13"/>
      <c r="PEW13"/>
      <c r="PFA13"/>
      <c r="PFE13"/>
      <c r="PFI13"/>
      <c r="PFM13"/>
      <c r="PFQ13"/>
      <c r="PFU13"/>
      <c r="PFY13"/>
      <c r="PGC13"/>
      <c r="PGG13"/>
      <c r="PGK13"/>
      <c r="PGO13"/>
      <c r="PGS13"/>
      <c r="PGW13"/>
      <c r="PHA13"/>
      <c r="PHE13"/>
      <c r="PHI13"/>
      <c r="PHM13"/>
      <c r="PHQ13"/>
      <c r="PHU13"/>
      <c r="PHY13"/>
      <c r="PIC13"/>
      <c r="PIG13"/>
      <c r="PIK13"/>
      <c r="PIO13"/>
      <c r="PIS13"/>
      <c r="PIW13"/>
      <c r="PJA13"/>
      <c r="PJE13"/>
      <c r="PJI13"/>
      <c r="PJM13"/>
      <c r="PJQ13"/>
      <c r="PJU13"/>
      <c r="PJY13"/>
      <c r="PKC13"/>
      <c r="PKG13"/>
      <c r="PKK13"/>
      <c r="PKO13"/>
      <c r="PKS13"/>
      <c r="PKW13"/>
      <c r="PLA13"/>
      <c r="PLE13"/>
      <c r="PLI13"/>
      <c r="PLM13"/>
      <c r="PLQ13"/>
      <c r="PLU13"/>
      <c r="PLY13"/>
      <c r="PMC13"/>
      <c r="PMG13"/>
      <c r="PMK13"/>
      <c r="PMO13"/>
      <c r="PMS13"/>
      <c r="PMW13"/>
      <c r="PNA13"/>
      <c r="PNE13"/>
      <c r="PNI13"/>
      <c r="PNM13"/>
      <c r="PNQ13"/>
      <c r="PNU13"/>
      <c r="PNY13"/>
      <c r="POC13"/>
      <c r="POG13"/>
      <c r="POK13"/>
      <c r="POO13"/>
      <c r="POS13"/>
      <c r="POW13"/>
      <c r="PPA13"/>
      <c r="PPE13"/>
      <c r="PPI13"/>
      <c r="PPM13"/>
      <c r="PPQ13"/>
      <c r="PPU13"/>
      <c r="PPY13"/>
      <c r="PQC13"/>
      <c r="PQG13"/>
      <c r="PQK13"/>
      <c r="PQO13"/>
      <c r="PQS13"/>
      <c r="PQW13"/>
      <c r="PRA13"/>
      <c r="PRE13"/>
      <c r="PRI13"/>
      <c r="PRM13"/>
      <c r="PRQ13"/>
      <c r="PRU13"/>
      <c r="PRY13"/>
      <c r="PSC13"/>
      <c r="PSG13"/>
      <c r="PSK13"/>
      <c r="PSO13"/>
      <c r="PSS13"/>
      <c r="PSW13"/>
      <c r="PTA13"/>
      <c r="PTE13"/>
      <c r="PTI13"/>
      <c r="PTM13"/>
      <c r="PTQ13"/>
      <c r="PTU13"/>
      <c r="PTY13"/>
      <c r="PUC13"/>
      <c r="PUG13"/>
      <c r="PUK13"/>
      <c r="PUO13"/>
      <c r="PUS13"/>
      <c r="PUW13"/>
      <c r="PVA13"/>
      <c r="PVE13"/>
      <c r="PVI13"/>
      <c r="PVM13"/>
      <c r="PVQ13"/>
      <c r="PVU13"/>
      <c r="PVY13"/>
      <c r="PWC13"/>
      <c r="PWG13"/>
      <c r="PWK13"/>
      <c r="PWO13"/>
      <c r="PWS13"/>
      <c r="PWW13"/>
      <c r="PXA13"/>
      <c r="PXE13"/>
      <c r="PXI13"/>
      <c r="PXM13"/>
      <c r="PXQ13"/>
      <c r="PXU13"/>
      <c r="PXY13"/>
      <c r="PYC13"/>
      <c r="PYG13"/>
      <c r="PYK13"/>
      <c r="PYO13"/>
      <c r="PYS13"/>
      <c r="PYW13"/>
      <c r="PZA13"/>
      <c r="PZE13"/>
      <c r="PZI13"/>
      <c r="PZM13"/>
      <c r="PZQ13"/>
      <c r="PZU13"/>
      <c r="PZY13"/>
      <c r="QAC13"/>
      <c r="QAG13"/>
      <c r="QAK13"/>
      <c r="QAO13"/>
      <c r="QAS13"/>
      <c r="QAW13"/>
      <c r="QBA13"/>
      <c r="QBE13"/>
      <c r="QBI13"/>
      <c r="QBM13"/>
      <c r="QBQ13"/>
      <c r="QBU13"/>
      <c r="QBY13"/>
      <c r="QCC13"/>
      <c r="QCG13"/>
      <c r="QCK13"/>
      <c r="QCO13"/>
      <c r="QCS13"/>
      <c r="QCW13"/>
      <c r="QDA13"/>
      <c r="QDE13"/>
      <c r="QDI13"/>
      <c r="QDM13"/>
      <c r="QDQ13"/>
      <c r="QDU13"/>
      <c r="QDY13"/>
      <c r="QEC13"/>
      <c r="QEG13"/>
      <c r="QEK13"/>
      <c r="QEO13"/>
      <c r="QES13"/>
      <c r="QEW13"/>
      <c r="QFA13"/>
      <c r="QFE13"/>
      <c r="QFI13"/>
      <c r="QFM13"/>
      <c r="QFQ13"/>
      <c r="QFU13"/>
      <c r="QFY13"/>
      <c r="QGC13"/>
      <c r="QGG13"/>
      <c r="QGK13"/>
      <c r="QGO13"/>
      <c r="QGS13"/>
      <c r="QGW13"/>
      <c r="QHA13"/>
      <c r="QHE13"/>
      <c r="QHI13"/>
      <c r="QHM13"/>
      <c r="QHQ13"/>
      <c r="QHU13"/>
      <c r="QHY13"/>
      <c r="QIC13"/>
      <c r="QIG13"/>
      <c r="QIK13"/>
      <c r="QIO13"/>
      <c r="QIS13"/>
      <c r="QIW13"/>
      <c r="QJA13"/>
      <c r="QJE13"/>
      <c r="QJI13"/>
      <c r="QJM13"/>
      <c r="QJQ13"/>
      <c r="QJU13"/>
      <c r="QJY13"/>
      <c r="QKC13"/>
      <c r="QKG13"/>
      <c r="QKK13"/>
      <c r="QKO13"/>
      <c r="QKS13"/>
      <c r="QKW13"/>
      <c r="QLA13"/>
      <c r="QLE13"/>
      <c r="QLI13"/>
      <c r="QLM13"/>
      <c r="QLQ13"/>
      <c r="QLU13"/>
      <c r="QLY13"/>
      <c r="QMC13"/>
      <c r="QMG13"/>
      <c r="QMK13"/>
      <c r="QMO13"/>
      <c r="QMS13"/>
      <c r="QMW13"/>
      <c r="QNA13"/>
      <c r="QNE13"/>
      <c r="QNI13"/>
      <c r="QNM13"/>
      <c r="QNQ13"/>
      <c r="QNU13"/>
      <c r="QNY13"/>
      <c r="QOC13"/>
      <c r="QOG13"/>
      <c r="QOK13"/>
      <c r="QOO13"/>
      <c r="QOS13"/>
      <c r="QOW13"/>
      <c r="QPA13"/>
      <c r="QPE13"/>
      <c r="QPI13"/>
      <c r="QPM13"/>
      <c r="QPQ13"/>
      <c r="QPU13"/>
      <c r="QPY13"/>
      <c r="QQC13"/>
      <c r="QQG13"/>
      <c r="QQK13"/>
      <c r="QQO13"/>
      <c r="QQS13"/>
      <c r="QQW13"/>
      <c r="QRA13"/>
      <c r="QRE13"/>
      <c r="QRI13"/>
      <c r="QRM13"/>
      <c r="QRQ13"/>
      <c r="QRU13"/>
      <c r="QRY13"/>
      <c r="QSC13"/>
      <c r="QSG13"/>
      <c r="QSK13"/>
      <c r="QSO13"/>
      <c r="QSS13"/>
      <c r="QSW13"/>
      <c r="QTA13"/>
      <c r="QTE13"/>
      <c r="QTI13"/>
      <c r="QTM13"/>
      <c r="QTQ13"/>
      <c r="QTU13"/>
      <c r="QTY13"/>
      <c r="QUC13"/>
      <c r="QUG13"/>
      <c r="QUK13"/>
      <c r="QUO13"/>
      <c r="QUS13"/>
      <c r="QUW13"/>
      <c r="QVA13"/>
      <c r="QVE13"/>
      <c r="QVI13"/>
      <c r="QVM13"/>
      <c r="QVQ13"/>
      <c r="QVU13"/>
      <c r="QVY13"/>
      <c r="QWC13"/>
      <c r="QWG13"/>
      <c r="QWK13"/>
      <c r="QWO13"/>
      <c r="QWS13"/>
      <c r="QWW13"/>
      <c r="QXA13"/>
      <c r="QXE13"/>
      <c r="QXI13"/>
      <c r="QXM13"/>
      <c r="QXQ13"/>
      <c r="QXU13"/>
      <c r="QXY13"/>
      <c r="QYC13"/>
      <c r="QYG13"/>
      <c r="QYK13"/>
      <c r="QYO13"/>
      <c r="QYS13"/>
      <c r="QYW13"/>
      <c r="QZA13"/>
      <c r="QZE13"/>
      <c r="QZI13"/>
      <c r="QZM13"/>
      <c r="QZQ13"/>
      <c r="QZU13"/>
      <c r="QZY13"/>
      <c r="RAC13"/>
      <c r="RAG13"/>
      <c r="RAK13"/>
      <c r="RAO13"/>
      <c r="RAS13"/>
      <c r="RAW13"/>
      <c r="RBA13"/>
      <c r="RBE13"/>
      <c r="RBI13"/>
      <c r="RBM13"/>
      <c r="RBQ13"/>
      <c r="RBU13"/>
      <c r="RBY13"/>
      <c r="RCC13"/>
      <c r="RCG13"/>
      <c r="RCK13"/>
      <c r="RCO13"/>
      <c r="RCS13"/>
      <c r="RCW13"/>
      <c r="RDA13"/>
      <c r="RDE13"/>
      <c r="RDI13"/>
      <c r="RDM13"/>
      <c r="RDQ13"/>
      <c r="RDU13"/>
      <c r="RDY13"/>
      <c r="REC13"/>
      <c r="REG13"/>
      <c r="REK13"/>
      <c r="REO13"/>
      <c r="RES13"/>
      <c r="REW13"/>
      <c r="RFA13"/>
      <c r="RFE13"/>
      <c r="RFI13"/>
      <c r="RFM13"/>
      <c r="RFQ13"/>
      <c r="RFU13"/>
      <c r="RFY13"/>
      <c r="RGC13"/>
      <c r="RGG13"/>
      <c r="RGK13"/>
      <c r="RGO13"/>
      <c r="RGS13"/>
      <c r="RGW13"/>
      <c r="RHA13"/>
      <c r="RHE13"/>
      <c r="RHI13"/>
      <c r="RHM13"/>
      <c r="RHQ13"/>
      <c r="RHU13"/>
      <c r="RHY13"/>
      <c r="RIC13"/>
      <c r="RIG13"/>
      <c r="RIK13"/>
      <c r="RIO13"/>
      <c r="RIS13"/>
      <c r="RIW13"/>
      <c r="RJA13"/>
      <c r="RJE13"/>
      <c r="RJI13"/>
      <c r="RJM13"/>
      <c r="RJQ13"/>
      <c r="RJU13"/>
      <c r="RJY13"/>
      <c r="RKC13"/>
      <c r="RKG13"/>
      <c r="RKK13"/>
      <c r="RKO13"/>
      <c r="RKS13"/>
      <c r="RKW13"/>
      <c r="RLA13"/>
      <c r="RLE13"/>
      <c r="RLI13"/>
      <c r="RLM13"/>
      <c r="RLQ13"/>
      <c r="RLU13"/>
      <c r="RLY13"/>
      <c r="RMC13"/>
      <c r="RMG13"/>
      <c r="RMK13"/>
      <c r="RMO13"/>
      <c r="RMS13"/>
      <c r="RMW13"/>
      <c r="RNA13"/>
      <c r="RNE13"/>
      <c r="RNI13"/>
      <c r="RNM13"/>
      <c r="RNQ13"/>
      <c r="RNU13"/>
      <c r="RNY13"/>
      <c r="ROC13"/>
      <c r="ROG13"/>
      <c r="ROK13"/>
      <c r="ROO13"/>
      <c r="ROS13"/>
      <c r="ROW13"/>
      <c r="RPA13"/>
      <c r="RPE13"/>
      <c r="RPI13"/>
      <c r="RPM13"/>
      <c r="RPQ13"/>
      <c r="RPU13"/>
      <c r="RPY13"/>
      <c r="RQC13"/>
      <c r="RQG13"/>
      <c r="RQK13"/>
      <c r="RQO13"/>
      <c r="RQS13"/>
      <c r="RQW13"/>
      <c r="RRA13"/>
      <c r="RRE13"/>
      <c r="RRI13"/>
      <c r="RRM13"/>
      <c r="RRQ13"/>
      <c r="RRU13"/>
      <c r="RRY13"/>
      <c r="RSC13"/>
      <c r="RSG13"/>
      <c r="RSK13"/>
      <c r="RSO13"/>
      <c r="RSS13"/>
      <c r="RSW13"/>
      <c r="RTA13"/>
      <c r="RTE13"/>
      <c r="RTI13"/>
      <c r="RTM13"/>
      <c r="RTQ13"/>
      <c r="RTU13"/>
      <c r="RTY13"/>
      <c r="RUC13"/>
      <c r="RUG13"/>
      <c r="RUK13"/>
      <c r="RUO13"/>
      <c r="RUS13"/>
      <c r="RUW13"/>
      <c r="RVA13"/>
      <c r="RVE13"/>
      <c r="RVI13"/>
      <c r="RVM13"/>
      <c r="RVQ13"/>
      <c r="RVU13"/>
      <c r="RVY13"/>
      <c r="RWC13"/>
      <c r="RWG13"/>
      <c r="RWK13"/>
      <c r="RWO13"/>
      <c r="RWS13"/>
      <c r="RWW13"/>
      <c r="RXA13"/>
      <c r="RXE13"/>
      <c r="RXI13"/>
      <c r="RXM13"/>
      <c r="RXQ13"/>
      <c r="RXU13"/>
      <c r="RXY13"/>
      <c r="RYC13"/>
      <c r="RYG13"/>
      <c r="RYK13"/>
      <c r="RYO13"/>
      <c r="RYS13"/>
      <c r="RYW13"/>
      <c r="RZA13"/>
      <c r="RZE13"/>
      <c r="RZI13"/>
      <c r="RZM13"/>
      <c r="RZQ13"/>
      <c r="RZU13"/>
      <c r="RZY13"/>
      <c r="SAC13"/>
      <c r="SAG13"/>
      <c r="SAK13"/>
      <c r="SAO13"/>
      <c r="SAS13"/>
      <c r="SAW13"/>
      <c r="SBA13"/>
      <c r="SBE13"/>
      <c r="SBI13"/>
      <c r="SBM13"/>
      <c r="SBQ13"/>
      <c r="SBU13"/>
      <c r="SBY13"/>
      <c r="SCC13"/>
      <c r="SCG13"/>
      <c r="SCK13"/>
      <c r="SCO13"/>
      <c r="SCS13"/>
      <c r="SCW13"/>
      <c r="SDA13"/>
      <c r="SDE13"/>
      <c r="SDI13"/>
      <c r="SDM13"/>
      <c r="SDQ13"/>
      <c r="SDU13"/>
      <c r="SDY13"/>
      <c r="SEC13"/>
      <c r="SEG13"/>
      <c r="SEK13"/>
      <c r="SEO13"/>
      <c r="SES13"/>
      <c r="SEW13"/>
      <c r="SFA13"/>
      <c r="SFE13"/>
      <c r="SFI13"/>
      <c r="SFM13"/>
      <c r="SFQ13"/>
      <c r="SFU13"/>
      <c r="SFY13"/>
      <c r="SGC13"/>
      <c r="SGG13"/>
      <c r="SGK13"/>
      <c r="SGO13"/>
      <c r="SGS13"/>
      <c r="SGW13"/>
      <c r="SHA13"/>
      <c r="SHE13"/>
      <c r="SHI13"/>
      <c r="SHM13"/>
      <c r="SHQ13"/>
      <c r="SHU13"/>
      <c r="SHY13"/>
      <c r="SIC13"/>
      <c r="SIG13"/>
      <c r="SIK13"/>
      <c r="SIO13"/>
      <c r="SIS13"/>
      <c r="SIW13"/>
      <c r="SJA13"/>
      <c r="SJE13"/>
      <c r="SJI13"/>
      <c r="SJM13"/>
      <c r="SJQ13"/>
      <c r="SJU13"/>
      <c r="SJY13"/>
      <c r="SKC13"/>
      <c r="SKG13"/>
      <c r="SKK13"/>
      <c r="SKO13"/>
      <c r="SKS13"/>
      <c r="SKW13"/>
      <c r="SLA13"/>
      <c r="SLE13"/>
      <c r="SLI13"/>
      <c r="SLM13"/>
      <c r="SLQ13"/>
      <c r="SLU13"/>
      <c r="SLY13"/>
      <c r="SMC13"/>
      <c r="SMG13"/>
      <c r="SMK13"/>
      <c r="SMO13"/>
      <c r="SMS13"/>
      <c r="SMW13"/>
      <c r="SNA13"/>
      <c r="SNE13"/>
      <c r="SNI13"/>
      <c r="SNM13"/>
      <c r="SNQ13"/>
      <c r="SNU13"/>
      <c r="SNY13"/>
      <c r="SOC13"/>
      <c r="SOG13"/>
      <c r="SOK13"/>
      <c r="SOO13"/>
      <c r="SOS13"/>
      <c r="SOW13"/>
      <c r="SPA13"/>
      <c r="SPE13"/>
      <c r="SPI13"/>
      <c r="SPM13"/>
      <c r="SPQ13"/>
      <c r="SPU13"/>
      <c r="SPY13"/>
      <c r="SQC13"/>
      <c r="SQG13"/>
      <c r="SQK13"/>
      <c r="SQO13"/>
      <c r="SQS13"/>
      <c r="SQW13"/>
      <c r="SRA13"/>
      <c r="SRE13"/>
      <c r="SRI13"/>
      <c r="SRM13"/>
      <c r="SRQ13"/>
      <c r="SRU13"/>
      <c r="SRY13"/>
      <c r="SSC13"/>
      <c r="SSG13"/>
      <c r="SSK13"/>
      <c r="SSO13"/>
      <c r="SSS13"/>
      <c r="SSW13"/>
      <c r="STA13"/>
      <c r="STE13"/>
      <c r="STI13"/>
      <c r="STM13"/>
      <c r="STQ13"/>
      <c r="STU13"/>
      <c r="STY13"/>
      <c r="SUC13"/>
      <c r="SUG13"/>
      <c r="SUK13"/>
      <c r="SUO13"/>
      <c r="SUS13"/>
      <c r="SUW13"/>
      <c r="SVA13"/>
      <c r="SVE13"/>
      <c r="SVI13"/>
      <c r="SVM13"/>
      <c r="SVQ13"/>
      <c r="SVU13"/>
      <c r="SVY13"/>
      <c r="SWC13"/>
      <c r="SWG13"/>
      <c r="SWK13"/>
      <c r="SWO13"/>
      <c r="SWS13"/>
      <c r="SWW13"/>
      <c r="SXA13"/>
      <c r="SXE13"/>
      <c r="SXI13"/>
      <c r="SXM13"/>
      <c r="SXQ13"/>
      <c r="SXU13"/>
      <c r="SXY13"/>
      <c r="SYC13"/>
      <c r="SYG13"/>
      <c r="SYK13"/>
      <c r="SYO13"/>
      <c r="SYS13"/>
      <c r="SYW13"/>
      <c r="SZA13"/>
      <c r="SZE13"/>
      <c r="SZI13"/>
      <c r="SZM13"/>
      <c r="SZQ13"/>
      <c r="SZU13"/>
      <c r="SZY13"/>
      <c r="TAC13"/>
      <c r="TAG13"/>
      <c r="TAK13"/>
      <c r="TAO13"/>
      <c r="TAS13"/>
      <c r="TAW13"/>
      <c r="TBA13"/>
      <c r="TBE13"/>
      <c r="TBI13"/>
      <c r="TBM13"/>
      <c r="TBQ13"/>
      <c r="TBU13"/>
      <c r="TBY13"/>
      <c r="TCC13"/>
      <c r="TCG13"/>
      <c r="TCK13"/>
      <c r="TCO13"/>
      <c r="TCS13"/>
      <c r="TCW13"/>
      <c r="TDA13"/>
      <c r="TDE13"/>
      <c r="TDI13"/>
      <c r="TDM13"/>
      <c r="TDQ13"/>
      <c r="TDU13"/>
      <c r="TDY13"/>
      <c r="TEC13"/>
      <c r="TEG13"/>
      <c r="TEK13"/>
      <c r="TEO13"/>
      <c r="TES13"/>
      <c r="TEW13"/>
      <c r="TFA13"/>
      <c r="TFE13"/>
      <c r="TFI13"/>
      <c r="TFM13"/>
      <c r="TFQ13"/>
      <c r="TFU13"/>
      <c r="TFY13"/>
      <c r="TGC13"/>
      <c r="TGG13"/>
      <c r="TGK13"/>
      <c r="TGO13"/>
      <c r="TGS13"/>
      <c r="TGW13"/>
      <c r="THA13"/>
      <c r="THE13"/>
      <c r="THI13"/>
      <c r="THM13"/>
      <c r="THQ13"/>
      <c r="THU13"/>
      <c r="THY13"/>
      <c r="TIC13"/>
      <c r="TIG13"/>
      <c r="TIK13"/>
      <c r="TIO13"/>
      <c r="TIS13"/>
      <c r="TIW13"/>
      <c r="TJA13"/>
      <c r="TJE13"/>
      <c r="TJI13"/>
      <c r="TJM13"/>
      <c r="TJQ13"/>
      <c r="TJU13"/>
      <c r="TJY13"/>
      <c r="TKC13"/>
      <c r="TKG13"/>
      <c r="TKK13"/>
      <c r="TKO13"/>
      <c r="TKS13"/>
      <c r="TKW13"/>
      <c r="TLA13"/>
      <c r="TLE13"/>
      <c r="TLI13"/>
      <c r="TLM13"/>
      <c r="TLQ13"/>
      <c r="TLU13"/>
      <c r="TLY13"/>
      <c r="TMC13"/>
      <c r="TMG13"/>
      <c r="TMK13"/>
      <c r="TMO13"/>
      <c r="TMS13"/>
      <c r="TMW13"/>
      <c r="TNA13"/>
      <c r="TNE13"/>
      <c r="TNI13"/>
      <c r="TNM13"/>
      <c r="TNQ13"/>
      <c r="TNU13"/>
      <c r="TNY13"/>
      <c r="TOC13"/>
      <c r="TOG13"/>
      <c r="TOK13"/>
      <c r="TOO13"/>
      <c r="TOS13"/>
      <c r="TOW13"/>
      <c r="TPA13"/>
      <c r="TPE13"/>
      <c r="TPI13"/>
      <c r="TPM13"/>
      <c r="TPQ13"/>
      <c r="TPU13"/>
      <c r="TPY13"/>
      <c r="TQC13"/>
      <c r="TQG13"/>
      <c r="TQK13"/>
      <c r="TQO13"/>
      <c r="TQS13"/>
      <c r="TQW13"/>
      <c r="TRA13"/>
      <c r="TRE13"/>
      <c r="TRI13"/>
      <c r="TRM13"/>
      <c r="TRQ13"/>
      <c r="TRU13"/>
      <c r="TRY13"/>
      <c r="TSC13"/>
      <c r="TSG13"/>
      <c r="TSK13"/>
      <c r="TSO13"/>
      <c r="TSS13"/>
      <c r="TSW13"/>
      <c r="TTA13"/>
      <c r="TTE13"/>
      <c r="TTI13"/>
      <c r="TTM13"/>
      <c r="TTQ13"/>
      <c r="TTU13"/>
      <c r="TTY13"/>
      <c r="TUC13"/>
      <c r="TUG13"/>
      <c r="TUK13"/>
      <c r="TUO13"/>
      <c r="TUS13"/>
      <c r="TUW13"/>
      <c r="TVA13"/>
      <c r="TVE13"/>
      <c r="TVI13"/>
      <c r="TVM13"/>
      <c r="TVQ13"/>
      <c r="TVU13"/>
      <c r="TVY13"/>
      <c r="TWC13"/>
      <c r="TWG13"/>
      <c r="TWK13"/>
      <c r="TWO13"/>
      <c r="TWS13"/>
      <c r="TWW13"/>
      <c r="TXA13"/>
      <c r="TXE13"/>
      <c r="TXI13"/>
      <c r="TXM13"/>
      <c r="TXQ13"/>
      <c r="TXU13"/>
      <c r="TXY13"/>
      <c r="TYC13"/>
      <c r="TYG13"/>
      <c r="TYK13"/>
      <c r="TYO13"/>
      <c r="TYS13"/>
      <c r="TYW13"/>
      <c r="TZA13"/>
      <c r="TZE13"/>
      <c r="TZI13"/>
      <c r="TZM13"/>
      <c r="TZQ13"/>
      <c r="TZU13"/>
      <c r="TZY13"/>
      <c r="UAC13"/>
      <c r="UAG13"/>
      <c r="UAK13"/>
      <c r="UAO13"/>
      <c r="UAS13"/>
      <c r="UAW13"/>
      <c r="UBA13"/>
      <c r="UBE13"/>
      <c r="UBI13"/>
      <c r="UBM13"/>
      <c r="UBQ13"/>
      <c r="UBU13"/>
      <c r="UBY13"/>
      <c r="UCC13"/>
      <c r="UCG13"/>
      <c r="UCK13"/>
      <c r="UCO13"/>
      <c r="UCS13"/>
      <c r="UCW13"/>
      <c r="UDA13"/>
      <c r="UDE13"/>
      <c r="UDI13"/>
      <c r="UDM13"/>
      <c r="UDQ13"/>
      <c r="UDU13"/>
      <c r="UDY13"/>
      <c r="UEC13"/>
      <c r="UEG13"/>
      <c r="UEK13"/>
      <c r="UEO13"/>
      <c r="UES13"/>
      <c r="UEW13"/>
      <c r="UFA13"/>
      <c r="UFE13"/>
      <c r="UFI13"/>
      <c r="UFM13"/>
      <c r="UFQ13"/>
      <c r="UFU13"/>
      <c r="UFY13"/>
      <c r="UGC13"/>
      <c r="UGG13"/>
      <c r="UGK13"/>
      <c r="UGO13"/>
      <c r="UGS13"/>
      <c r="UGW13"/>
      <c r="UHA13"/>
      <c r="UHE13"/>
      <c r="UHI13"/>
      <c r="UHM13"/>
      <c r="UHQ13"/>
      <c r="UHU13"/>
      <c r="UHY13"/>
      <c r="UIC13"/>
      <c r="UIG13"/>
      <c r="UIK13"/>
      <c r="UIO13"/>
      <c r="UIS13"/>
      <c r="UIW13"/>
      <c r="UJA13"/>
      <c r="UJE13"/>
      <c r="UJI13"/>
      <c r="UJM13"/>
      <c r="UJQ13"/>
      <c r="UJU13"/>
      <c r="UJY13"/>
      <c r="UKC13"/>
      <c r="UKG13"/>
      <c r="UKK13"/>
      <c r="UKO13"/>
      <c r="UKS13"/>
      <c r="UKW13"/>
      <c r="ULA13"/>
      <c r="ULE13"/>
      <c r="ULI13"/>
      <c r="ULM13"/>
      <c r="ULQ13"/>
      <c r="ULU13"/>
      <c r="ULY13"/>
      <c r="UMC13"/>
      <c r="UMG13"/>
      <c r="UMK13"/>
      <c r="UMO13"/>
      <c r="UMS13"/>
      <c r="UMW13"/>
      <c r="UNA13"/>
      <c r="UNE13"/>
      <c r="UNI13"/>
      <c r="UNM13"/>
      <c r="UNQ13"/>
      <c r="UNU13"/>
      <c r="UNY13"/>
      <c r="UOC13"/>
      <c r="UOG13"/>
      <c r="UOK13"/>
      <c r="UOO13"/>
      <c r="UOS13"/>
      <c r="UOW13"/>
      <c r="UPA13"/>
      <c r="UPE13"/>
      <c r="UPI13"/>
      <c r="UPM13"/>
      <c r="UPQ13"/>
      <c r="UPU13"/>
      <c r="UPY13"/>
      <c r="UQC13"/>
      <c r="UQG13"/>
      <c r="UQK13"/>
      <c r="UQO13"/>
      <c r="UQS13"/>
      <c r="UQW13"/>
      <c r="URA13"/>
      <c r="URE13"/>
      <c r="URI13"/>
      <c r="URM13"/>
      <c r="URQ13"/>
      <c r="URU13"/>
      <c r="URY13"/>
      <c r="USC13"/>
      <c r="USG13"/>
      <c r="USK13"/>
      <c r="USO13"/>
      <c r="USS13"/>
      <c r="USW13"/>
      <c r="UTA13"/>
      <c r="UTE13"/>
      <c r="UTI13"/>
      <c r="UTM13"/>
      <c r="UTQ13"/>
      <c r="UTU13"/>
      <c r="UTY13"/>
      <c r="UUC13"/>
      <c r="UUG13"/>
      <c r="UUK13"/>
      <c r="UUO13"/>
      <c r="UUS13"/>
      <c r="UUW13"/>
      <c r="UVA13"/>
      <c r="UVE13"/>
      <c r="UVI13"/>
      <c r="UVM13"/>
      <c r="UVQ13"/>
      <c r="UVU13"/>
      <c r="UVY13"/>
      <c r="UWC13"/>
      <c r="UWG13"/>
      <c r="UWK13"/>
      <c r="UWO13"/>
      <c r="UWS13"/>
      <c r="UWW13"/>
      <c r="UXA13"/>
      <c r="UXE13"/>
      <c r="UXI13"/>
      <c r="UXM13"/>
      <c r="UXQ13"/>
      <c r="UXU13"/>
      <c r="UXY13"/>
      <c r="UYC13"/>
      <c r="UYG13"/>
      <c r="UYK13"/>
      <c r="UYO13"/>
      <c r="UYS13"/>
      <c r="UYW13"/>
      <c r="UZA13"/>
      <c r="UZE13"/>
      <c r="UZI13"/>
      <c r="UZM13"/>
      <c r="UZQ13"/>
      <c r="UZU13"/>
      <c r="UZY13"/>
      <c r="VAC13"/>
      <c r="VAG13"/>
      <c r="VAK13"/>
      <c r="VAO13"/>
      <c r="VAS13"/>
      <c r="VAW13"/>
      <c r="VBA13"/>
      <c r="VBE13"/>
      <c r="VBI13"/>
      <c r="VBM13"/>
      <c r="VBQ13"/>
      <c r="VBU13"/>
      <c r="VBY13"/>
      <c r="VCC13"/>
      <c r="VCG13"/>
      <c r="VCK13"/>
      <c r="VCO13"/>
      <c r="VCS13"/>
      <c r="VCW13"/>
      <c r="VDA13"/>
      <c r="VDE13"/>
      <c r="VDI13"/>
      <c r="VDM13"/>
      <c r="VDQ13"/>
      <c r="VDU13"/>
      <c r="VDY13"/>
      <c r="VEC13"/>
      <c r="VEG13"/>
      <c r="VEK13"/>
      <c r="VEO13"/>
      <c r="VES13"/>
      <c r="VEW13"/>
      <c r="VFA13"/>
      <c r="VFE13"/>
      <c r="VFI13"/>
      <c r="VFM13"/>
      <c r="VFQ13"/>
      <c r="VFU13"/>
      <c r="VFY13"/>
      <c r="VGC13"/>
      <c r="VGG13"/>
      <c r="VGK13"/>
      <c r="VGO13"/>
      <c r="VGS13"/>
      <c r="VGW13"/>
      <c r="VHA13"/>
      <c r="VHE13"/>
      <c r="VHI13"/>
      <c r="VHM13"/>
      <c r="VHQ13"/>
      <c r="VHU13"/>
      <c r="VHY13"/>
      <c r="VIC13"/>
      <c r="VIG13"/>
      <c r="VIK13"/>
      <c r="VIO13"/>
      <c r="VIS13"/>
      <c r="VIW13"/>
      <c r="VJA13"/>
      <c r="VJE13"/>
      <c r="VJI13"/>
      <c r="VJM13"/>
      <c r="VJQ13"/>
      <c r="VJU13"/>
      <c r="VJY13"/>
      <c r="VKC13"/>
      <c r="VKG13"/>
      <c r="VKK13"/>
      <c r="VKO13"/>
      <c r="VKS13"/>
      <c r="VKW13"/>
      <c r="VLA13"/>
      <c r="VLE13"/>
      <c r="VLI13"/>
      <c r="VLM13"/>
      <c r="VLQ13"/>
      <c r="VLU13"/>
      <c r="VLY13"/>
      <c r="VMC13"/>
      <c r="VMG13"/>
      <c r="VMK13"/>
      <c r="VMO13"/>
      <c r="VMS13"/>
      <c r="VMW13"/>
      <c r="VNA13"/>
      <c r="VNE13"/>
      <c r="VNI13"/>
      <c r="VNM13"/>
      <c r="VNQ13"/>
      <c r="VNU13"/>
      <c r="VNY13"/>
      <c r="VOC13"/>
      <c r="VOG13"/>
      <c r="VOK13"/>
      <c r="VOO13"/>
      <c r="VOS13"/>
      <c r="VOW13"/>
      <c r="VPA13"/>
      <c r="VPE13"/>
      <c r="VPI13"/>
      <c r="VPM13"/>
      <c r="VPQ13"/>
      <c r="VPU13"/>
      <c r="VPY13"/>
      <c r="VQC13"/>
      <c r="VQG13"/>
      <c r="VQK13"/>
      <c r="VQO13"/>
      <c r="VQS13"/>
      <c r="VQW13"/>
      <c r="VRA13"/>
      <c r="VRE13"/>
      <c r="VRI13"/>
      <c r="VRM13"/>
      <c r="VRQ13"/>
      <c r="VRU13"/>
      <c r="VRY13"/>
      <c r="VSC13"/>
      <c r="VSG13"/>
      <c r="VSK13"/>
      <c r="VSO13"/>
      <c r="VSS13"/>
      <c r="VSW13"/>
      <c r="VTA13"/>
      <c r="VTE13"/>
      <c r="VTI13"/>
      <c r="VTM13"/>
      <c r="VTQ13"/>
      <c r="VTU13"/>
      <c r="VTY13"/>
      <c r="VUC13"/>
      <c r="VUG13"/>
      <c r="VUK13"/>
      <c r="VUO13"/>
      <c r="VUS13"/>
      <c r="VUW13"/>
      <c r="VVA13"/>
      <c r="VVE13"/>
      <c r="VVI13"/>
      <c r="VVM13"/>
      <c r="VVQ13"/>
      <c r="VVU13"/>
      <c r="VVY13"/>
      <c r="VWC13"/>
      <c r="VWG13"/>
      <c r="VWK13"/>
      <c r="VWO13"/>
      <c r="VWS13"/>
      <c r="VWW13"/>
      <c r="VXA13"/>
      <c r="VXE13"/>
      <c r="VXI13"/>
      <c r="VXM13"/>
      <c r="VXQ13"/>
      <c r="VXU13"/>
      <c r="VXY13"/>
      <c r="VYC13"/>
      <c r="VYG13"/>
      <c r="VYK13"/>
      <c r="VYO13"/>
      <c r="VYS13"/>
      <c r="VYW13"/>
      <c r="VZA13"/>
      <c r="VZE13"/>
      <c r="VZI13"/>
      <c r="VZM13"/>
      <c r="VZQ13"/>
      <c r="VZU13"/>
      <c r="VZY13"/>
      <c r="WAC13"/>
      <c r="WAG13"/>
      <c r="WAK13"/>
      <c r="WAO13"/>
      <c r="WAS13"/>
      <c r="WAW13"/>
      <c r="WBA13"/>
      <c r="WBE13"/>
      <c r="WBI13"/>
      <c r="WBM13"/>
      <c r="WBQ13"/>
      <c r="WBU13"/>
      <c r="WBY13"/>
      <c r="WCC13"/>
      <c r="WCG13"/>
      <c r="WCK13"/>
      <c r="WCO13"/>
      <c r="WCS13"/>
      <c r="WCW13"/>
      <c r="WDA13"/>
      <c r="WDE13"/>
      <c r="WDI13"/>
      <c r="WDM13"/>
      <c r="WDQ13"/>
      <c r="WDU13"/>
      <c r="WDY13"/>
      <c r="WEC13"/>
      <c r="WEG13"/>
      <c r="WEK13"/>
      <c r="WEO13"/>
      <c r="WES13"/>
      <c r="WEW13"/>
      <c r="WFA13"/>
      <c r="WFE13"/>
      <c r="WFI13"/>
      <c r="WFM13"/>
      <c r="WFQ13"/>
      <c r="WFU13"/>
      <c r="WFY13"/>
      <c r="WGC13"/>
      <c r="WGG13"/>
      <c r="WGK13"/>
      <c r="WGO13"/>
      <c r="WGS13"/>
      <c r="WGW13"/>
      <c r="WHA13"/>
      <c r="WHE13"/>
      <c r="WHI13"/>
      <c r="WHM13"/>
      <c r="WHQ13"/>
      <c r="WHU13"/>
      <c r="WHY13"/>
      <c r="WIC13"/>
      <c r="WIG13"/>
      <c r="WIK13"/>
      <c r="WIO13"/>
      <c r="WIS13"/>
      <c r="WIW13"/>
      <c r="WJA13"/>
      <c r="WJE13"/>
      <c r="WJI13"/>
      <c r="WJM13"/>
      <c r="WJQ13"/>
      <c r="WJU13"/>
      <c r="WJY13"/>
      <c r="WKC13"/>
      <c r="WKG13"/>
      <c r="WKK13"/>
      <c r="WKO13"/>
      <c r="WKS13"/>
      <c r="WKW13"/>
      <c r="WLA13"/>
      <c r="WLE13"/>
      <c r="WLI13"/>
      <c r="WLM13"/>
      <c r="WLQ13"/>
      <c r="WLU13"/>
      <c r="WLY13"/>
      <c r="WMC13"/>
      <c r="WMG13"/>
      <c r="WMK13"/>
      <c r="WMO13"/>
      <c r="WMS13"/>
      <c r="WMW13"/>
      <c r="WNA13"/>
      <c r="WNE13"/>
      <c r="WNI13"/>
      <c r="WNM13"/>
      <c r="WNQ13"/>
      <c r="WNU13"/>
      <c r="WNY13"/>
      <c r="WOC13"/>
      <c r="WOG13"/>
      <c r="WOK13"/>
      <c r="WOO13"/>
      <c r="WOS13"/>
      <c r="WOW13"/>
      <c r="WPA13"/>
      <c r="WPE13"/>
      <c r="WPI13"/>
      <c r="WPM13"/>
      <c r="WPQ13"/>
      <c r="WPU13"/>
      <c r="WPY13"/>
      <c r="WQC13"/>
      <c r="WQG13"/>
      <c r="WQK13"/>
      <c r="WQO13"/>
      <c r="WQS13"/>
      <c r="WQW13"/>
      <c r="WRA13"/>
      <c r="WRE13"/>
      <c r="WRI13"/>
      <c r="WRM13"/>
      <c r="WRQ13"/>
      <c r="WRU13"/>
      <c r="WRY13"/>
      <c r="WSC13"/>
      <c r="WSG13"/>
      <c r="WSK13"/>
      <c r="WSO13"/>
      <c r="WSS13"/>
      <c r="WSW13"/>
      <c r="WTA13"/>
      <c r="WTE13"/>
      <c r="WTI13"/>
      <c r="WTM13"/>
      <c r="WTQ13"/>
      <c r="WTU13"/>
      <c r="WTY13"/>
      <c r="WUC13"/>
      <c r="WUG13"/>
      <c r="WUK13"/>
      <c r="WUO13"/>
      <c r="WUS13"/>
      <c r="WUW13"/>
      <c r="WVA13"/>
      <c r="WVE13"/>
      <c r="WVI13"/>
      <c r="WVM13"/>
      <c r="WVQ13"/>
      <c r="WVU13"/>
      <c r="WVY13"/>
      <c r="WWC13"/>
      <c r="WWG13"/>
      <c r="WWK13"/>
      <c r="WWO13"/>
      <c r="WWS13"/>
      <c r="WWW13"/>
      <c r="WXA13"/>
      <c r="WXE13"/>
      <c r="WXI13"/>
      <c r="WXM13"/>
      <c r="WXQ13"/>
      <c r="WXU13"/>
      <c r="WXY13"/>
      <c r="WYC13"/>
      <c r="WYG13"/>
      <c r="WYK13"/>
      <c r="WYO13"/>
      <c r="WYS13"/>
      <c r="WYW13"/>
      <c r="WZA13"/>
      <c r="WZE13"/>
      <c r="WZI13"/>
      <c r="WZM13"/>
      <c r="WZQ13"/>
      <c r="WZU13"/>
      <c r="WZY13"/>
      <c r="XAC13"/>
      <c r="XAG13"/>
      <c r="XAK13"/>
      <c r="XAO13"/>
      <c r="XAS13"/>
      <c r="XAW13"/>
      <c r="XBA13"/>
      <c r="XBE13"/>
      <c r="XBI13"/>
      <c r="XBM13"/>
      <c r="XBQ13"/>
      <c r="XBU13"/>
      <c r="XBY13"/>
      <c r="XCC13"/>
      <c r="XCG13"/>
      <c r="XCK13"/>
      <c r="XCO13"/>
      <c r="XCS13"/>
      <c r="XCW13"/>
      <c r="XDA13"/>
      <c r="XDE13"/>
      <c r="XDI13"/>
      <c r="XDM13"/>
      <c r="XDQ13"/>
      <c r="XDU13"/>
      <c r="XDY13"/>
      <c r="XEC13"/>
      <c r="XEG13"/>
      <c r="XEK13"/>
      <c r="XEO13"/>
      <c r="XES13"/>
      <c r="XEW13"/>
      <c r="XFA13"/>
    </row>
    <row r="14" spans="1:1021 1025:2045 2049:3069 3073:4093 4097:5117 5121:6141 6145:7165 7169:8189 8193:9213 9217:10237 10241:11261 11265:12285 12289:13309 13313:14333 14337:15357 15361:16381" s="1" customFormat="1" x14ac:dyDescent="0.35">
      <c r="A14" s="21">
        <v>1</v>
      </c>
      <c r="B14" s="21">
        <v>10</v>
      </c>
      <c r="C14" s="1" t="str">
        <f xml:space="preserve"> IF('Master Player List'!L12=1,'Master Player List'!C12,"")</f>
        <v/>
      </c>
      <c r="D14" s="1" t="str">
        <f xml:space="preserve"> IF('Master Player List'!L12=1,'Master Player List'!F12,"")</f>
        <v/>
      </c>
      <c r="E14" s="21" t="str">
        <f xml:space="preserve"> IF('Master Player List'!L12=1,'Master Player List'!I12,"")</f>
        <v/>
      </c>
      <c r="F14" s="22"/>
      <c r="I14" s="21"/>
      <c r="J14" s="22"/>
      <c r="M14"/>
      <c r="N14"/>
      <c r="Q14"/>
      <c r="U14"/>
      <c r="Y14"/>
      <c r="AC14"/>
      <c r="AG14"/>
      <c r="AK14"/>
      <c r="AO14"/>
      <c r="AS14"/>
      <c r="AW14"/>
      <c r="BA14"/>
      <c r="BE14"/>
      <c r="BI14"/>
      <c r="BM14"/>
      <c r="BQ14"/>
      <c r="BU14"/>
      <c r="BY14"/>
      <c r="CC14"/>
      <c r="CG14"/>
      <c r="CK14"/>
      <c r="CO14"/>
      <c r="CS14"/>
      <c r="CW14"/>
      <c r="DA14"/>
      <c r="DE14"/>
      <c r="DI14"/>
      <c r="DM14"/>
      <c r="DQ14"/>
      <c r="DU14"/>
      <c r="DY14"/>
      <c r="EC14"/>
      <c r="EG14"/>
      <c r="EK14"/>
      <c r="EO14"/>
      <c r="ES14"/>
      <c r="EW14"/>
      <c r="FA14"/>
      <c r="FE14"/>
      <c r="FI14"/>
      <c r="FM14"/>
      <c r="FQ14"/>
      <c r="FU14"/>
      <c r="FY14"/>
      <c r="GC14"/>
      <c r="GG14"/>
      <c r="GK14"/>
      <c r="GO14"/>
      <c r="GS14"/>
      <c r="GW14"/>
      <c r="HA14"/>
      <c r="HE14"/>
      <c r="HI14"/>
      <c r="HM14"/>
      <c r="HQ14"/>
      <c r="HU14"/>
      <c r="HY14"/>
      <c r="IC14"/>
      <c r="IG14"/>
      <c r="IK14"/>
      <c r="IO14"/>
      <c r="IS14"/>
      <c r="IW14"/>
      <c r="JA14"/>
      <c r="JE14"/>
      <c r="JI14"/>
      <c r="JM14"/>
      <c r="JQ14"/>
      <c r="JU14"/>
      <c r="JY14"/>
      <c r="KC14"/>
      <c r="KG14"/>
      <c r="KK14"/>
      <c r="KO14"/>
      <c r="KS14"/>
      <c r="KW14"/>
      <c r="LA14"/>
      <c r="LE14"/>
      <c r="LI14"/>
      <c r="LM14"/>
      <c r="LQ14"/>
      <c r="LU14"/>
      <c r="LY14"/>
      <c r="MC14"/>
      <c r="MG14"/>
      <c r="MK14"/>
      <c r="MO14"/>
      <c r="MS14"/>
      <c r="MW14"/>
      <c r="NA14"/>
      <c r="NE14"/>
      <c r="NI14"/>
      <c r="NM14"/>
      <c r="NQ14"/>
      <c r="NU14"/>
      <c r="NY14"/>
      <c r="OC14"/>
      <c r="OG14"/>
      <c r="OK14"/>
      <c r="OO14"/>
      <c r="OS14"/>
      <c r="OW14"/>
      <c r="PA14"/>
      <c r="PE14"/>
      <c r="PI14"/>
      <c r="PM14"/>
      <c r="PQ14"/>
      <c r="PU14"/>
      <c r="PY14"/>
      <c r="QC14"/>
      <c r="QG14"/>
      <c r="QK14"/>
      <c r="QO14"/>
      <c r="QS14"/>
      <c r="QW14"/>
      <c r="RA14"/>
      <c r="RE14"/>
      <c r="RI14"/>
      <c r="RM14"/>
      <c r="RQ14"/>
      <c r="RU14"/>
      <c r="RY14"/>
      <c r="SC14"/>
      <c r="SG14"/>
      <c r="SK14"/>
      <c r="SO14"/>
      <c r="SS14"/>
      <c r="SW14"/>
      <c r="TA14"/>
      <c r="TE14"/>
      <c r="TI14"/>
      <c r="TM14"/>
      <c r="TQ14"/>
      <c r="TU14"/>
      <c r="TY14"/>
      <c r="UC14"/>
      <c r="UG14"/>
      <c r="UK14"/>
      <c r="UO14"/>
      <c r="US14"/>
      <c r="UW14"/>
      <c r="VA14"/>
      <c r="VE14"/>
      <c r="VI14"/>
      <c r="VM14"/>
      <c r="VQ14"/>
      <c r="VU14"/>
      <c r="VY14"/>
      <c r="WC14"/>
      <c r="WG14"/>
      <c r="WK14"/>
      <c r="WO14"/>
      <c r="WS14"/>
      <c r="WW14"/>
      <c r="XA14"/>
      <c r="XE14"/>
      <c r="XI14"/>
      <c r="XM14"/>
      <c r="XQ14"/>
      <c r="XU14"/>
      <c r="XY14"/>
      <c r="YC14"/>
      <c r="YG14"/>
      <c r="YK14"/>
      <c r="YO14"/>
      <c r="YS14"/>
      <c r="YW14"/>
      <c r="ZA14"/>
      <c r="ZE14"/>
      <c r="ZI14"/>
      <c r="ZM14"/>
      <c r="ZQ14"/>
      <c r="ZU14"/>
      <c r="ZY14"/>
      <c r="AAC14"/>
      <c r="AAG14"/>
      <c r="AAK14"/>
      <c r="AAO14"/>
      <c r="AAS14"/>
      <c r="AAW14"/>
      <c r="ABA14"/>
      <c r="ABE14"/>
      <c r="ABI14"/>
      <c r="ABM14"/>
      <c r="ABQ14"/>
      <c r="ABU14"/>
      <c r="ABY14"/>
      <c r="ACC14"/>
      <c r="ACG14"/>
      <c r="ACK14"/>
      <c r="ACO14"/>
      <c r="ACS14"/>
      <c r="ACW14"/>
      <c r="ADA14"/>
      <c r="ADE14"/>
      <c r="ADI14"/>
      <c r="ADM14"/>
      <c r="ADQ14"/>
      <c r="ADU14"/>
      <c r="ADY14"/>
      <c r="AEC14"/>
      <c r="AEG14"/>
      <c r="AEK14"/>
      <c r="AEO14"/>
      <c r="AES14"/>
      <c r="AEW14"/>
      <c r="AFA14"/>
      <c r="AFE14"/>
      <c r="AFI14"/>
      <c r="AFM14"/>
      <c r="AFQ14"/>
      <c r="AFU14"/>
      <c r="AFY14"/>
      <c r="AGC14"/>
      <c r="AGG14"/>
      <c r="AGK14"/>
      <c r="AGO14"/>
      <c r="AGS14"/>
      <c r="AGW14"/>
      <c r="AHA14"/>
      <c r="AHE14"/>
      <c r="AHI14"/>
      <c r="AHM14"/>
      <c r="AHQ14"/>
      <c r="AHU14"/>
      <c r="AHY14"/>
      <c r="AIC14"/>
      <c r="AIG14"/>
      <c r="AIK14"/>
      <c r="AIO14"/>
      <c r="AIS14"/>
      <c r="AIW14"/>
      <c r="AJA14"/>
      <c r="AJE14"/>
      <c r="AJI14"/>
      <c r="AJM14"/>
      <c r="AJQ14"/>
      <c r="AJU14"/>
      <c r="AJY14"/>
      <c r="AKC14"/>
      <c r="AKG14"/>
      <c r="AKK14"/>
      <c r="AKO14"/>
      <c r="AKS14"/>
      <c r="AKW14"/>
      <c r="ALA14"/>
      <c r="ALE14"/>
      <c r="ALI14"/>
      <c r="ALM14"/>
      <c r="ALQ14"/>
      <c r="ALU14"/>
      <c r="ALY14"/>
      <c r="AMC14"/>
      <c r="AMG14"/>
      <c r="AMK14"/>
      <c r="AMO14"/>
      <c r="AMS14"/>
      <c r="AMW14"/>
      <c r="ANA14"/>
      <c r="ANE14"/>
      <c r="ANI14"/>
      <c r="ANM14"/>
      <c r="ANQ14"/>
      <c r="ANU14"/>
      <c r="ANY14"/>
      <c r="AOC14"/>
      <c r="AOG14"/>
      <c r="AOK14"/>
      <c r="AOO14"/>
      <c r="AOS14"/>
      <c r="AOW14"/>
      <c r="APA14"/>
      <c r="APE14"/>
      <c r="API14"/>
      <c r="APM14"/>
      <c r="APQ14"/>
      <c r="APU14"/>
      <c r="APY14"/>
      <c r="AQC14"/>
      <c r="AQG14"/>
      <c r="AQK14"/>
      <c r="AQO14"/>
      <c r="AQS14"/>
      <c r="AQW14"/>
      <c r="ARA14"/>
      <c r="ARE14"/>
      <c r="ARI14"/>
      <c r="ARM14"/>
      <c r="ARQ14"/>
      <c r="ARU14"/>
      <c r="ARY14"/>
      <c r="ASC14"/>
      <c r="ASG14"/>
      <c r="ASK14"/>
      <c r="ASO14"/>
      <c r="ASS14"/>
      <c r="ASW14"/>
      <c r="ATA14"/>
      <c r="ATE14"/>
      <c r="ATI14"/>
      <c r="ATM14"/>
      <c r="ATQ14"/>
      <c r="ATU14"/>
      <c r="ATY14"/>
      <c r="AUC14"/>
      <c r="AUG14"/>
      <c r="AUK14"/>
      <c r="AUO14"/>
      <c r="AUS14"/>
      <c r="AUW14"/>
      <c r="AVA14"/>
      <c r="AVE14"/>
      <c r="AVI14"/>
      <c r="AVM14"/>
      <c r="AVQ14"/>
      <c r="AVU14"/>
      <c r="AVY14"/>
      <c r="AWC14"/>
      <c r="AWG14"/>
      <c r="AWK14"/>
      <c r="AWO14"/>
      <c r="AWS14"/>
      <c r="AWW14"/>
      <c r="AXA14"/>
      <c r="AXE14"/>
      <c r="AXI14"/>
      <c r="AXM14"/>
      <c r="AXQ14"/>
      <c r="AXU14"/>
      <c r="AXY14"/>
      <c r="AYC14"/>
      <c r="AYG14"/>
      <c r="AYK14"/>
      <c r="AYO14"/>
      <c r="AYS14"/>
      <c r="AYW14"/>
      <c r="AZA14"/>
      <c r="AZE14"/>
      <c r="AZI14"/>
      <c r="AZM14"/>
      <c r="AZQ14"/>
      <c r="AZU14"/>
      <c r="AZY14"/>
      <c r="BAC14"/>
      <c r="BAG14"/>
      <c r="BAK14"/>
      <c r="BAO14"/>
      <c r="BAS14"/>
      <c r="BAW14"/>
      <c r="BBA14"/>
      <c r="BBE14"/>
      <c r="BBI14"/>
      <c r="BBM14"/>
      <c r="BBQ14"/>
      <c r="BBU14"/>
      <c r="BBY14"/>
      <c r="BCC14"/>
      <c r="BCG14"/>
      <c r="BCK14"/>
      <c r="BCO14"/>
      <c r="BCS14"/>
      <c r="BCW14"/>
      <c r="BDA14"/>
      <c r="BDE14"/>
      <c r="BDI14"/>
      <c r="BDM14"/>
      <c r="BDQ14"/>
      <c r="BDU14"/>
      <c r="BDY14"/>
      <c r="BEC14"/>
      <c r="BEG14"/>
      <c r="BEK14"/>
      <c r="BEO14"/>
      <c r="BES14"/>
      <c r="BEW14"/>
      <c r="BFA14"/>
      <c r="BFE14"/>
      <c r="BFI14"/>
      <c r="BFM14"/>
      <c r="BFQ14"/>
      <c r="BFU14"/>
      <c r="BFY14"/>
      <c r="BGC14"/>
      <c r="BGG14"/>
      <c r="BGK14"/>
      <c r="BGO14"/>
      <c r="BGS14"/>
      <c r="BGW14"/>
      <c r="BHA14"/>
      <c r="BHE14"/>
      <c r="BHI14"/>
      <c r="BHM14"/>
      <c r="BHQ14"/>
      <c r="BHU14"/>
      <c r="BHY14"/>
      <c r="BIC14"/>
      <c r="BIG14"/>
      <c r="BIK14"/>
      <c r="BIO14"/>
      <c r="BIS14"/>
      <c r="BIW14"/>
      <c r="BJA14"/>
      <c r="BJE14"/>
      <c r="BJI14"/>
      <c r="BJM14"/>
      <c r="BJQ14"/>
      <c r="BJU14"/>
      <c r="BJY14"/>
      <c r="BKC14"/>
      <c r="BKG14"/>
      <c r="BKK14"/>
      <c r="BKO14"/>
      <c r="BKS14"/>
      <c r="BKW14"/>
      <c r="BLA14"/>
      <c r="BLE14"/>
      <c r="BLI14"/>
      <c r="BLM14"/>
      <c r="BLQ14"/>
      <c r="BLU14"/>
      <c r="BLY14"/>
      <c r="BMC14"/>
      <c r="BMG14"/>
      <c r="BMK14"/>
      <c r="BMO14"/>
      <c r="BMS14"/>
      <c r="BMW14"/>
      <c r="BNA14"/>
      <c r="BNE14"/>
      <c r="BNI14"/>
      <c r="BNM14"/>
      <c r="BNQ14"/>
      <c r="BNU14"/>
      <c r="BNY14"/>
      <c r="BOC14"/>
      <c r="BOG14"/>
      <c r="BOK14"/>
      <c r="BOO14"/>
      <c r="BOS14"/>
      <c r="BOW14"/>
      <c r="BPA14"/>
      <c r="BPE14"/>
      <c r="BPI14"/>
      <c r="BPM14"/>
      <c r="BPQ14"/>
      <c r="BPU14"/>
      <c r="BPY14"/>
      <c r="BQC14"/>
      <c r="BQG14"/>
      <c r="BQK14"/>
      <c r="BQO14"/>
      <c r="BQS14"/>
      <c r="BQW14"/>
      <c r="BRA14"/>
      <c r="BRE14"/>
      <c r="BRI14"/>
      <c r="BRM14"/>
      <c r="BRQ14"/>
      <c r="BRU14"/>
      <c r="BRY14"/>
      <c r="BSC14"/>
      <c r="BSG14"/>
      <c r="BSK14"/>
      <c r="BSO14"/>
      <c r="BSS14"/>
      <c r="BSW14"/>
      <c r="BTA14"/>
      <c r="BTE14"/>
      <c r="BTI14"/>
      <c r="BTM14"/>
      <c r="BTQ14"/>
      <c r="BTU14"/>
      <c r="BTY14"/>
      <c r="BUC14"/>
      <c r="BUG14"/>
      <c r="BUK14"/>
      <c r="BUO14"/>
      <c r="BUS14"/>
      <c r="BUW14"/>
      <c r="BVA14"/>
      <c r="BVE14"/>
      <c r="BVI14"/>
      <c r="BVM14"/>
      <c r="BVQ14"/>
      <c r="BVU14"/>
      <c r="BVY14"/>
      <c r="BWC14"/>
      <c r="BWG14"/>
      <c r="BWK14"/>
      <c r="BWO14"/>
      <c r="BWS14"/>
      <c r="BWW14"/>
      <c r="BXA14"/>
      <c r="BXE14"/>
      <c r="BXI14"/>
      <c r="BXM14"/>
      <c r="BXQ14"/>
      <c r="BXU14"/>
      <c r="BXY14"/>
      <c r="BYC14"/>
      <c r="BYG14"/>
      <c r="BYK14"/>
      <c r="BYO14"/>
      <c r="BYS14"/>
      <c r="BYW14"/>
      <c r="BZA14"/>
      <c r="BZE14"/>
      <c r="BZI14"/>
      <c r="BZM14"/>
      <c r="BZQ14"/>
      <c r="BZU14"/>
      <c r="BZY14"/>
      <c r="CAC14"/>
      <c r="CAG14"/>
      <c r="CAK14"/>
      <c r="CAO14"/>
      <c r="CAS14"/>
      <c r="CAW14"/>
      <c r="CBA14"/>
      <c r="CBE14"/>
      <c r="CBI14"/>
      <c r="CBM14"/>
      <c r="CBQ14"/>
      <c r="CBU14"/>
      <c r="CBY14"/>
      <c r="CCC14"/>
      <c r="CCG14"/>
      <c r="CCK14"/>
      <c r="CCO14"/>
      <c r="CCS14"/>
      <c r="CCW14"/>
      <c r="CDA14"/>
      <c r="CDE14"/>
      <c r="CDI14"/>
      <c r="CDM14"/>
      <c r="CDQ14"/>
      <c r="CDU14"/>
      <c r="CDY14"/>
      <c r="CEC14"/>
      <c r="CEG14"/>
      <c r="CEK14"/>
      <c r="CEO14"/>
      <c r="CES14"/>
      <c r="CEW14"/>
      <c r="CFA14"/>
      <c r="CFE14"/>
      <c r="CFI14"/>
      <c r="CFM14"/>
      <c r="CFQ14"/>
      <c r="CFU14"/>
      <c r="CFY14"/>
      <c r="CGC14"/>
      <c r="CGG14"/>
      <c r="CGK14"/>
      <c r="CGO14"/>
      <c r="CGS14"/>
      <c r="CGW14"/>
      <c r="CHA14"/>
      <c r="CHE14"/>
      <c r="CHI14"/>
      <c r="CHM14"/>
      <c r="CHQ14"/>
      <c r="CHU14"/>
      <c r="CHY14"/>
      <c r="CIC14"/>
      <c r="CIG14"/>
      <c r="CIK14"/>
      <c r="CIO14"/>
      <c r="CIS14"/>
      <c r="CIW14"/>
      <c r="CJA14"/>
      <c r="CJE14"/>
      <c r="CJI14"/>
      <c r="CJM14"/>
      <c r="CJQ14"/>
      <c r="CJU14"/>
      <c r="CJY14"/>
      <c r="CKC14"/>
      <c r="CKG14"/>
      <c r="CKK14"/>
      <c r="CKO14"/>
      <c r="CKS14"/>
      <c r="CKW14"/>
      <c r="CLA14"/>
      <c r="CLE14"/>
      <c r="CLI14"/>
      <c r="CLM14"/>
      <c r="CLQ14"/>
      <c r="CLU14"/>
      <c r="CLY14"/>
      <c r="CMC14"/>
      <c r="CMG14"/>
      <c r="CMK14"/>
      <c r="CMO14"/>
      <c r="CMS14"/>
      <c r="CMW14"/>
      <c r="CNA14"/>
      <c r="CNE14"/>
      <c r="CNI14"/>
      <c r="CNM14"/>
      <c r="CNQ14"/>
      <c r="CNU14"/>
      <c r="CNY14"/>
      <c r="COC14"/>
      <c r="COG14"/>
      <c r="COK14"/>
      <c r="COO14"/>
      <c r="COS14"/>
      <c r="COW14"/>
      <c r="CPA14"/>
      <c r="CPE14"/>
      <c r="CPI14"/>
      <c r="CPM14"/>
      <c r="CPQ14"/>
      <c r="CPU14"/>
      <c r="CPY14"/>
      <c r="CQC14"/>
      <c r="CQG14"/>
      <c r="CQK14"/>
      <c r="CQO14"/>
      <c r="CQS14"/>
      <c r="CQW14"/>
      <c r="CRA14"/>
      <c r="CRE14"/>
      <c r="CRI14"/>
      <c r="CRM14"/>
      <c r="CRQ14"/>
      <c r="CRU14"/>
      <c r="CRY14"/>
      <c r="CSC14"/>
      <c r="CSG14"/>
      <c r="CSK14"/>
      <c r="CSO14"/>
      <c r="CSS14"/>
      <c r="CSW14"/>
      <c r="CTA14"/>
      <c r="CTE14"/>
      <c r="CTI14"/>
      <c r="CTM14"/>
      <c r="CTQ14"/>
      <c r="CTU14"/>
      <c r="CTY14"/>
      <c r="CUC14"/>
      <c r="CUG14"/>
      <c r="CUK14"/>
      <c r="CUO14"/>
      <c r="CUS14"/>
      <c r="CUW14"/>
      <c r="CVA14"/>
      <c r="CVE14"/>
      <c r="CVI14"/>
      <c r="CVM14"/>
      <c r="CVQ14"/>
      <c r="CVU14"/>
      <c r="CVY14"/>
      <c r="CWC14"/>
      <c r="CWG14"/>
      <c r="CWK14"/>
      <c r="CWO14"/>
      <c r="CWS14"/>
      <c r="CWW14"/>
      <c r="CXA14"/>
      <c r="CXE14"/>
      <c r="CXI14"/>
      <c r="CXM14"/>
      <c r="CXQ14"/>
      <c r="CXU14"/>
      <c r="CXY14"/>
      <c r="CYC14"/>
      <c r="CYG14"/>
      <c r="CYK14"/>
      <c r="CYO14"/>
      <c r="CYS14"/>
      <c r="CYW14"/>
      <c r="CZA14"/>
      <c r="CZE14"/>
      <c r="CZI14"/>
      <c r="CZM14"/>
      <c r="CZQ14"/>
      <c r="CZU14"/>
      <c r="CZY14"/>
      <c r="DAC14"/>
      <c r="DAG14"/>
      <c r="DAK14"/>
      <c r="DAO14"/>
      <c r="DAS14"/>
      <c r="DAW14"/>
      <c r="DBA14"/>
      <c r="DBE14"/>
      <c r="DBI14"/>
      <c r="DBM14"/>
      <c r="DBQ14"/>
      <c r="DBU14"/>
      <c r="DBY14"/>
      <c r="DCC14"/>
      <c r="DCG14"/>
      <c r="DCK14"/>
      <c r="DCO14"/>
      <c r="DCS14"/>
      <c r="DCW14"/>
      <c r="DDA14"/>
      <c r="DDE14"/>
      <c r="DDI14"/>
      <c r="DDM14"/>
      <c r="DDQ14"/>
      <c r="DDU14"/>
      <c r="DDY14"/>
      <c r="DEC14"/>
      <c r="DEG14"/>
      <c r="DEK14"/>
      <c r="DEO14"/>
      <c r="DES14"/>
      <c r="DEW14"/>
      <c r="DFA14"/>
      <c r="DFE14"/>
      <c r="DFI14"/>
      <c r="DFM14"/>
      <c r="DFQ14"/>
      <c r="DFU14"/>
      <c r="DFY14"/>
      <c r="DGC14"/>
      <c r="DGG14"/>
      <c r="DGK14"/>
      <c r="DGO14"/>
      <c r="DGS14"/>
      <c r="DGW14"/>
      <c r="DHA14"/>
      <c r="DHE14"/>
      <c r="DHI14"/>
      <c r="DHM14"/>
      <c r="DHQ14"/>
      <c r="DHU14"/>
      <c r="DHY14"/>
      <c r="DIC14"/>
      <c r="DIG14"/>
      <c r="DIK14"/>
      <c r="DIO14"/>
      <c r="DIS14"/>
      <c r="DIW14"/>
      <c r="DJA14"/>
      <c r="DJE14"/>
      <c r="DJI14"/>
      <c r="DJM14"/>
      <c r="DJQ14"/>
      <c r="DJU14"/>
      <c r="DJY14"/>
      <c r="DKC14"/>
      <c r="DKG14"/>
      <c r="DKK14"/>
      <c r="DKO14"/>
      <c r="DKS14"/>
      <c r="DKW14"/>
      <c r="DLA14"/>
      <c r="DLE14"/>
      <c r="DLI14"/>
      <c r="DLM14"/>
      <c r="DLQ14"/>
      <c r="DLU14"/>
      <c r="DLY14"/>
      <c r="DMC14"/>
      <c r="DMG14"/>
      <c r="DMK14"/>
      <c r="DMO14"/>
      <c r="DMS14"/>
      <c r="DMW14"/>
      <c r="DNA14"/>
      <c r="DNE14"/>
      <c r="DNI14"/>
      <c r="DNM14"/>
      <c r="DNQ14"/>
      <c r="DNU14"/>
      <c r="DNY14"/>
      <c r="DOC14"/>
      <c r="DOG14"/>
      <c r="DOK14"/>
      <c r="DOO14"/>
      <c r="DOS14"/>
      <c r="DOW14"/>
      <c r="DPA14"/>
      <c r="DPE14"/>
      <c r="DPI14"/>
      <c r="DPM14"/>
      <c r="DPQ14"/>
      <c r="DPU14"/>
      <c r="DPY14"/>
      <c r="DQC14"/>
      <c r="DQG14"/>
      <c r="DQK14"/>
      <c r="DQO14"/>
      <c r="DQS14"/>
      <c r="DQW14"/>
      <c r="DRA14"/>
      <c r="DRE14"/>
      <c r="DRI14"/>
      <c r="DRM14"/>
      <c r="DRQ14"/>
      <c r="DRU14"/>
      <c r="DRY14"/>
      <c r="DSC14"/>
      <c r="DSG14"/>
      <c r="DSK14"/>
      <c r="DSO14"/>
      <c r="DSS14"/>
      <c r="DSW14"/>
      <c r="DTA14"/>
      <c r="DTE14"/>
      <c r="DTI14"/>
      <c r="DTM14"/>
      <c r="DTQ14"/>
      <c r="DTU14"/>
      <c r="DTY14"/>
      <c r="DUC14"/>
      <c r="DUG14"/>
      <c r="DUK14"/>
      <c r="DUO14"/>
      <c r="DUS14"/>
      <c r="DUW14"/>
      <c r="DVA14"/>
      <c r="DVE14"/>
      <c r="DVI14"/>
      <c r="DVM14"/>
      <c r="DVQ14"/>
      <c r="DVU14"/>
      <c r="DVY14"/>
      <c r="DWC14"/>
      <c r="DWG14"/>
      <c r="DWK14"/>
      <c r="DWO14"/>
      <c r="DWS14"/>
      <c r="DWW14"/>
      <c r="DXA14"/>
      <c r="DXE14"/>
      <c r="DXI14"/>
      <c r="DXM14"/>
      <c r="DXQ14"/>
      <c r="DXU14"/>
      <c r="DXY14"/>
      <c r="DYC14"/>
      <c r="DYG14"/>
      <c r="DYK14"/>
      <c r="DYO14"/>
      <c r="DYS14"/>
      <c r="DYW14"/>
      <c r="DZA14"/>
      <c r="DZE14"/>
      <c r="DZI14"/>
      <c r="DZM14"/>
      <c r="DZQ14"/>
      <c r="DZU14"/>
      <c r="DZY14"/>
      <c r="EAC14"/>
      <c r="EAG14"/>
      <c r="EAK14"/>
      <c r="EAO14"/>
      <c r="EAS14"/>
      <c r="EAW14"/>
      <c r="EBA14"/>
      <c r="EBE14"/>
      <c r="EBI14"/>
      <c r="EBM14"/>
      <c r="EBQ14"/>
      <c r="EBU14"/>
      <c r="EBY14"/>
      <c r="ECC14"/>
      <c r="ECG14"/>
      <c r="ECK14"/>
      <c r="ECO14"/>
      <c r="ECS14"/>
      <c r="ECW14"/>
      <c r="EDA14"/>
      <c r="EDE14"/>
      <c r="EDI14"/>
      <c r="EDM14"/>
      <c r="EDQ14"/>
      <c r="EDU14"/>
      <c r="EDY14"/>
      <c r="EEC14"/>
      <c r="EEG14"/>
      <c r="EEK14"/>
      <c r="EEO14"/>
      <c r="EES14"/>
      <c r="EEW14"/>
      <c r="EFA14"/>
      <c r="EFE14"/>
      <c r="EFI14"/>
      <c r="EFM14"/>
      <c r="EFQ14"/>
      <c r="EFU14"/>
      <c r="EFY14"/>
      <c r="EGC14"/>
      <c r="EGG14"/>
      <c r="EGK14"/>
      <c r="EGO14"/>
      <c r="EGS14"/>
      <c r="EGW14"/>
      <c r="EHA14"/>
      <c r="EHE14"/>
      <c r="EHI14"/>
      <c r="EHM14"/>
      <c r="EHQ14"/>
      <c r="EHU14"/>
      <c r="EHY14"/>
      <c r="EIC14"/>
      <c r="EIG14"/>
      <c r="EIK14"/>
      <c r="EIO14"/>
      <c r="EIS14"/>
      <c r="EIW14"/>
      <c r="EJA14"/>
      <c r="EJE14"/>
      <c r="EJI14"/>
      <c r="EJM14"/>
      <c r="EJQ14"/>
      <c r="EJU14"/>
      <c r="EJY14"/>
      <c r="EKC14"/>
      <c r="EKG14"/>
      <c r="EKK14"/>
      <c r="EKO14"/>
      <c r="EKS14"/>
      <c r="EKW14"/>
      <c r="ELA14"/>
      <c r="ELE14"/>
      <c r="ELI14"/>
      <c r="ELM14"/>
      <c r="ELQ14"/>
      <c r="ELU14"/>
      <c r="ELY14"/>
      <c r="EMC14"/>
      <c r="EMG14"/>
      <c r="EMK14"/>
      <c r="EMO14"/>
      <c r="EMS14"/>
      <c r="EMW14"/>
      <c r="ENA14"/>
      <c r="ENE14"/>
      <c r="ENI14"/>
      <c r="ENM14"/>
      <c r="ENQ14"/>
      <c r="ENU14"/>
      <c r="ENY14"/>
      <c r="EOC14"/>
      <c r="EOG14"/>
      <c r="EOK14"/>
      <c r="EOO14"/>
      <c r="EOS14"/>
      <c r="EOW14"/>
      <c r="EPA14"/>
      <c r="EPE14"/>
      <c r="EPI14"/>
      <c r="EPM14"/>
      <c r="EPQ14"/>
      <c r="EPU14"/>
      <c r="EPY14"/>
      <c r="EQC14"/>
      <c r="EQG14"/>
      <c r="EQK14"/>
      <c r="EQO14"/>
      <c r="EQS14"/>
      <c r="EQW14"/>
      <c r="ERA14"/>
      <c r="ERE14"/>
      <c r="ERI14"/>
      <c r="ERM14"/>
      <c r="ERQ14"/>
      <c r="ERU14"/>
      <c r="ERY14"/>
      <c r="ESC14"/>
      <c r="ESG14"/>
      <c r="ESK14"/>
      <c r="ESO14"/>
      <c r="ESS14"/>
      <c r="ESW14"/>
      <c r="ETA14"/>
      <c r="ETE14"/>
      <c r="ETI14"/>
      <c r="ETM14"/>
      <c r="ETQ14"/>
      <c r="ETU14"/>
      <c r="ETY14"/>
      <c r="EUC14"/>
      <c r="EUG14"/>
      <c r="EUK14"/>
      <c r="EUO14"/>
      <c r="EUS14"/>
      <c r="EUW14"/>
      <c r="EVA14"/>
      <c r="EVE14"/>
      <c r="EVI14"/>
      <c r="EVM14"/>
      <c r="EVQ14"/>
      <c r="EVU14"/>
      <c r="EVY14"/>
      <c r="EWC14"/>
      <c r="EWG14"/>
      <c r="EWK14"/>
      <c r="EWO14"/>
      <c r="EWS14"/>
      <c r="EWW14"/>
      <c r="EXA14"/>
      <c r="EXE14"/>
      <c r="EXI14"/>
      <c r="EXM14"/>
      <c r="EXQ14"/>
      <c r="EXU14"/>
      <c r="EXY14"/>
      <c r="EYC14"/>
      <c r="EYG14"/>
      <c r="EYK14"/>
      <c r="EYO14"/>
      <c r="EYS14"/>
      <c r="EYW14"/>
      <c r="EZA14"/>
      <c r="EZE14"/>
      <c r="EZI14"/>
      <c r="EZM14"/>
      <c r="EZQ14"/>
      <c r="EZU14"/>
      <c r="EZY14"/>
      <c r="FAC14"/>
      <c r="FAG14"/>
      <c r="FAK14"/>
      <c r="FAO14"/>
      <c r="FAS14"/>
      <c r="FAW14"/>
      <c r="FBA14"/>
      <c r="FBE14"/>
      <c r="FBI14"/>
      <c r="FBM14"/>
      <c r="FBQ14"/>
      <c r="FBU14"/>
      <c r="FBY14"/>
      <c r="FCC14"/>
      <c r="FCG14"/>
      <c r="FCK14"/>
      <c r="FCO14"/>
      <c r="FCS14"/>
      <c r="FCW14"/>
      <c r="FDA14"/>
      <c r="FDE14"/>
      <c r="FDI14"/>
      <c r="FDM14"/>
      <c r="FDQ14"/>
      <c r="FDU14"/>
      <c r="FDY14"/>
      <c r="FEC14"/>
      <c r="FEG14"/>
      <c r="FEK14"/>
      <c r="FEO14"/>
      <c r="FES14"/>
      <c r="FEW14"/>
      <c r="FFA14"/>
      <c r="FFE14"/>
      <c r="FFI14"/>
      <c r="FFM14"/>
      <c r="FFQ14"/>
      <c r="FFU14"/>
      <c r="FFY14"/>
      <c r="FGC14"/>
      <c r="FGG14"/>
      <c r="FGK14"/>
      <c r="FGO14"/>
      <c r="FGS14"/>
      <c r="FGW14"/>
      <c r="FHA14"/>
      <c r="FHE14"/>
      <c r="FHI14"/>
      <c r="FHM14"/>
      <c r="FHQ14"/>
      <c r="FHU14"/>
      <c r="FHY14"/>
      <c r="FIC14"/>
      <c r="FIG14"/>
      <c r="FIK14"/>
      <c r="FIO14"/>
      <c r="FIS14"/>
      <c r="FIW14"/>
      <c r="FJA14"/>
      <c r="FJE14"/>
      <c r="FJI14"/>
      <c r="FJM14"/>
      <c r="FJQ14"/>
      <c r="FJU14"/>
      <c r="FJY14"/>
      <c r="FKC14"/>
      <c r="FKG14"/>
      <c r="FKK14"/>
      <c r="FKO14"/>
      <c r="FKS14"/>
      <c r="FKW14"/>
      <c r="FLA14"/>
      <c r="FLE14"/>
      <c r="FLI14"/>
      <c r="FLM14"/>
      <c r="FLQ14"/>
      <c r="FLU14"/>
      <c r="FLY14"/>
      <c r="FMC14"/>
      <c r="FMG14"/>
      <c r="FMK14"/>
      <c r="FMO14"/>
      <c r="FMS14"/>
      <c r="FMW14"/>
      <c r="FNA14"/>
      <c r="FNE14"/>
      <c r="FNI14"/>
      <c r="FNM14"/>
      <c r="FNQ14"/>
      <c r="FNU14"/>
      <c r="FNY14"/>
      <c r="FOC14"/>
      <c r="FOG14"/>
      <c r="FOK14"/>
      <c r="FOO14"/>
      <c r="FOS14"/>
      <c r="FOW14"/>
      <c r="FPA14"/>
      <c r="FPE14"/>
      <c r="FPI14"/>
      <c r="FPM14"/>
      <c r="FPQ14"/>
      <c r="FPU14"/>
      <c r="FPY14"/>
      <c r="FQC14"/>
      <c r="FQG14"/>
      <c r="FQK14"/>
      <c r="FQO14"/>
      <c r="FQS14"/>
      <c r="FQW14"/>
      <c r="FRA14"/>
      <c r="FRE14"/>
      <c r="FRI14"/>
      <c r="FRM14"/>
      <c r="FRQ14"/>
      <c r="FRU14"/>
      <c r="FRY14"/>
      <c r="FSC14"/>
      <c r="FSG14"/>
      <c r="FSK14"/>
      <c r="FSO14"/>
      <c r="FSS14"/>
      <c r="FSW14"/>
      <c r="FTA14"/>
      <c r="FTE14"/>
      <c r="FTI14"/>
      <c r="FTM14"/>
      <c r="FTQ14"/>
      <c r="FTU14"/>
      <c r="FTY14"/>
      <c r="FUC14"/>
      <c r="FUG14"/>
      <c r="FUK14"/>
      <c r="FUO14"/>
      <c r="FUS14"/>
      <c r="FUW14"/>
      <c r="FVA14"/>
      <c r="FVE14"/>
      <c r="FVI14"/>
      <c r="FVM14"/>
      <c r="FVQ14"/>
      <c r="FVU14"/>
      <c r="FVY14"/>
      <c r="FWC14"/>
      <c r="FWG14"/>
      <c r="FWK14"/>
      <c r="FWO14"/>
      <c r="FWS14"/>
      <c r="FWW14"/>
      <c r="FXA14"/>
      <c r="FXE14"/>
      <c r="FXI14"/>
      <c r="FXM14"/>
      <c r="FXQ14"/>
      <c r="FXU14"/>
      <c r="FXY14"/>
      <c r="FYC14"/>
      <c r="FYG14"/>
      <c r="FYK14"/>
      <c r="FYO14"/>
      <c r="FYS14"/>
      <c r="FYW14"/>
      <c r="FZA14"/>
      <c r="FZE14"/>
      <c r="FZI14"/>
      <c r="FZM14"/>
      <c r="FZQ14"/>
      <c r="FZU14"/>
      <c r="FZY14"/>
      <c r="GAC14"/>
      <c r="GAG14"/>
      <c r="GAK14"/>
      <c r="GAO14"/>
      <c r="GAS14"/>
      <c r="GAW14"/>
      <c r="GBA14"/>
      <c r="GBE14"/>
      <c r="GBI14"/>
      <c r="GBM14"/>
      <c r="GBQ14"/>
      <c r="GBU14"/>
      <c r="GBY14"/>
      <c r="GCC14"/>
      <c r="GCG14"/>
      <c r="GCK14"/>
      <c r="GCO14"/>
      <c r="GCS14"/>
      <c r="GCW14"/>
      <c r="GDA14"/>
      <c r="GDE14"/>
      <c r="GDI14"/>
      <c r="GDM14"/>
      <c r="GDQ14"/>
      <c r="GDU14"/>
      <c r="GDY14"/>
      <c r="GEC14"/>
      <c r="GEG14"/>
      <c r="GEK14"/>
      <c r="GEO14"/>
      <c r="GES14"/>
      <c r="GEW14"/>
      <c r="GFA14"/>
      <c r="GFE14"/>
      <c r="GFI14"/>
      <c r="GFM14"/>
      <c r="GFQ14"/>
      <c r="GFU14"/>
      <c r="GFY14"/>
      <c r="GGC14"/>
      <c r="GGG14"/>
      <c r="GGK14"/>
      <c r="GGO14"/>
      <c r="GGS14"/>
      <c r="GGW14"/>
      <c r="GHA14"/>
      <c r="GHE14"/>
      <c r="GHI14"/>
      <c r="GHM14"/>
      <c r="GHQ14"/>
      <c r="GHU14"/>
      <c r="GHY14"/>
      <c r="GIC14"/>
      <c r="GIG14"/>
      <c r="GIK14"/>
      <c r="GIO14"/>
      <c r="GIS14"/>
      <c r="GIW14"/>
      <c r="GJA14"/>
      <c r="GJE14"/>
      <c r="GJI14"/>
      <c r="GJM14"/>
      <c r="GJQ14"/>
      <c r="GJU14"/>
      <c r="GJY14"/>
      <c r="GKC14"/>
      <c r="GKG14"/>
      <c r="GKK14"/>
      <c r="GKO14"/>
      <c r="GKS14"/>
      <c r="GKW14"/>
      <c r="GLA14"/>
      <c r="GLE14"/>
      <c r="GLI14"/>
      <c r="GLM14"/>
      <c r="GLQ14"/>
      <c r="GLU14"/>
      <c r="GLY14"/>
      <c r="GMC14"/>
      <c r="GMG14"/>
      <c r="GMK14"/>
      <c r="GMO14"/>
      <c r="GMS14"/>
      <c r="GMW14"/>
      <c r="GNA14"/>
      <c r="GNE14"/>
      <c r="GNI14"/>
      <c r="GNM14"/>
      <c r="GNQ14"/>
      <c r="GNU14"/>
      <c r="GNY14"/>
      <c r="GOC14"/>
      <c r="GOG14"/>
      <c r="GOK14"/>
      <c r="GOO14"/>
      <c r="GOS14"/>
      <c r="GOW14"/>
      <c r="GPA14"/>
      <c r="GPE14"/>
      <c r="GPI14"/>
      <c r="GPM14"/>
      <c r="GPQ14"/>
      <c r="GPU14"/>
      <c r="GPY14"/>
      <c r="GQC14"/>
      <c r="GQG14"/>
      <c r="GQK14"/>
      <c r="GQO14"/>
      <c r="GQS14"/>
      <c r="GQW14"/>
      <c r="GRA14"/>
      <c r="GRE14"/>
      <c r="GRI14"/>
      <c r="GRM14"/>
      <c r="GRQ14"/>
      <c r="GRU14"/>
      <c r="GRY14"/>
      <c r="GSC14"/>
      <c r="GSG14"/>
      <c r="GSK14"/>
      <c r="GSO14"/>
      <c r="GSS14"/>
      <c r="GSW14"/>
      <c r="GTA14"/>
      <c r="GTE14"/>
      <c r="GTI14"/>
      <c r="GTM14"/>
      <c r="GTQ14"/>
      <c r="GTU14"/>
      <c r="GTY14"/>
      <c r="GUC14"/>
      <c r="GUG14"/>
      <c r="GUK14"/>
      <c r="GUO14"/>
      <c r="GUS14"/>
      <c r="GUW14"/>
      <c r="GVA14"/>
      <c r="GVE14"/>
      <c r="GVI14"/>
      <c r="GVM14"/>
      <c r="GVQ14"/>
      <c r="GVU14"/>
      <c r="GVY14"/>
      <c r="GWC14"/>
      <c r="GWG14"/>
      <c r="GWK14"/>
      <c r="GWO14"/>
      <c r="GWS14"/>
      <c r="GWW14"/>
      <c r="GXA14"/>
      <c r="GXE14"/>
      <c r="GXI14"/>
      <c r="GXM14"/>
      <c r="GXQ14"/>
      <c r="GXU14"/>
      <c r="GXY14"/>
      <c r="GYC14"/>
      <c r="GYG14"/>
      <c r="GYK14"/>
      <c r="GYO14"/>
      <c r="GYS14"/>
      <c r="GYW14"/>
      <c r="GZA14"/>
      <c r="GZE14"/>
      <c r="GZI14"/>
      <c r="GZM14"/>
      <c r="GZQ14"/>
      <c r="GZU14"/>
      <c r="GZY14"/>
      <c r="HAC14"/>
      <c r="HAG14"/>
      <c r="HAK14"/>
      <c r="HAO14"/>
      <c r="HAS14"/>
      <c r="HAW14"/>
      <c r="HBA14"/>
      <c r="HBE14"/>
      <c r="HBI14"/>
      <c r="HBM14"/>
      <c r="HBQ14"/>
      <c r="HBU14"/>
      <c r="HBY14"/>
      <c r="HCC14"/>
      <c r="HCG14"/>
      <c r="HCK14"/>
      <c r="HCO14"/>
      <c r="HCS14"/>
      <c r="HCW14"/>
      <c r="HDA14"/>
      <c r="HDE14"/>
      <c r="HDI14"/>
      <c r="HDM14"/>
      <c r="HDQ14"/>
      <c r="HDU14"/>
      <c r="HDY14"/>
      <c r="HEC14"/>
      <c r="HEG14"/>
      <c r="HEK14"/>
      <c r="HEO14"/>
      <c r="HES14"/>
      <c r="HEW14"/>
      <c r="HFA14"/>
      <c r="HFE14"/>
      <c r="HFI14"/>
      <c r="HFM14"/>
      <c r="HFQ14"/>
      <c r="HFU14"/>
      <c r="HFY14"/>
      <c r="HGC14"/>
      <c r="HGG14"/>
      <c r="HGK14"/>
      <c r="HGO14"/>
      <c r="HGS14"/>
      <c r="HGW14"/>
      <c r="HHA14"/>
      <c r="HHE14"/>
      <c r="HHI14"/>
      <c r="HHM14"/>
      <c r="HHQ14"/>
      <c r="HHU14"/>
      <c r="HHY14"/>
      <c r="HIC14"/>
      <c r="HIG14"/>
      <c r="HIK14"/>
      <c r="HIO14"/>
      <c r="HIS14"/>
      <c r="HIW14"/>
      <c r="HJA14"/>
      <c r="HJE14"/>
      <c r="HJI14"/>
      <c r="HJM14"/>
      <c r="HJQ14"/>
      <c r="HJU14"/>
      <c r="HJY14"/>
      <c r="HKC14"/>
      <c r="HKG14"/>
      <c r="HKK14"/>
      <c r="HKO14"/>
      <c r="HKS14"/>
      <c r="HKW14"/>
      <c r="HLA14"/>
      <c r="HLE14"/>
      <c r="HLI14"/>
      <c r="HLM14"/>
      <c r="HLQ14"/>
      <c r="HLU14"/>
      <c r="HLY14"/>
      <c r="HMC14"/>
      <c r="HMG14"/>
      <c r="HMK14"/>
      <c r="HMO14"/>
      <c r="HMS14"/>
      <c r="HMW14"/>
      <c r="HNA14"/>
      <c r="HNE14"/>
      <c r="HNI14"/>
      <c r="HNM14"/>
      <c r="HNQ14"/>
      <c r="HNU14"/>
      <c r="HNY14"/>
      <c r="HOC14"/>
      <c r="HOG14"/>
      <c r="HOK14"/>
      <c r="HOO14"/>
      <c r="HOS14"/>
      <c r="HOW14"/>
      <c r="HPA14"/>
      <c r="HPE14"/>
      <c r="HPI14"/>
      <c r="HPM14"/>
      <c r="HPQ14"/>
      <c r="HPU14"/>
      <c r="HPY14"/>
      <c r="HQC14"/>
      <c r="HQG14"/>
      <c r="HQK14"/>
      <c r="HQO14"/>
      <c r="HQS14"/>
      <c r="HQW14"/>
      <c r="HRA14"/>
      <c r="HRE14"/>
      <c r="HRI14"/>
      <c r="HRM14"/>
      <c r="HRQ14"/>
      <c r="HRU14"/>
      <c r="HRY14"/>
      <c r="HSC14"/>
      <c r="HSG14"/>
      <c r="HSK14"/>
      <c r="HSO14"/>
      <c r="HSS14"/>
      <c r="HSW14"/>
      <c r="HTA14"/>
      <c r="HTE14"/>
      <c r="HTI14"/>
      <c r="HTM14"/>
      <c r="HTQ14"/>
      <c r="HTU14"/>
      <c r="HTY14"/>
      <c r="HUC14"/>
      <c r="HUG14"/>
      <c r="HUK14"/>
      <c r="HUO14"/>
      <c r="HUS14"/>
      <c r="HUW14"/>
      <c r="HVA14"/>
      <c r="HVE14"/>
      <c r="HVI14"/>
      <c r="HVM14"/>
      <c r="HVQ14"/>
      <c r="HVU14"/>
      <c r="HVY14"/>
      <c r="HWC14"/>
      <c r="HWG14"/>
      <c r="HWK14"/>
      <c r="HWO14"/>
      <c r="HWS14"/>
      <c r="HWW14"/>
      <c r="HXA14"/>
      <c r="HXE14"/>
      <c r="HXI14"/>
      <c r="HXM14"/>
      <c r="HXQ14"/>
      <c r="HXU14"/>
      <c r="HXY14"/>
      <c r="HYC14"/>
      <c r="HYG14"/>
      <c r="HYK14"/>
      <c r="HYO14"/>
      <c r="HYS14"/>
      <c r="HYW14"/>
      <c r="HZA14"/>
      <c r="HZE14"/>
      <c r="HZI14"/>
      <c r="HZM14"/>
      <c r="HZQ14"/>
      <c r="HZU14"/>
      <c r="HZY14"/>
      <c r="IAC14"/>
      <c r="IAG14"/>
      <c r="IAK14"/>
      <c r="IAO14"/>
      <c r="IAS14"/>
      <c r="IAW14"/>
      <c r="IBA14"/>
      <c r="IBE14"/>
      <c r="IBI14"/>
      <c r="IBM14"/>
      <c r="IBQ14"/>
      <c r="IBU14"/>
      <c r="IBY14"/>
      <c r="ICC14"/>
      <c r="ICG14"/>
      <c r="ICK14"/>
      <c r="ICO14"/>
      <c r="ICS14"/>
      <c r="ICW14"/>
      <c r="IDA14"/>
      <c r="IDE14"/>
      <c r="IDI14"/>
      <c r="IDM14"/>
      <c r="IDQ14"/>
      <c r="IDU14"/>
      <c r="IDY14"/>
      <c r="IEC14"/>
      <c r="IEG14"/>
      <c r="IEK14"/>
      <c r="IEO14"/>
      <c r="IES14"/>
      <c r="IEW14"/>
      <c r="IFA14"/>
      <c r="IFE14"/>
      <c r="IFI14"/>
      <c r="IFM14"/>
      <c r="IFQ14"/>
      <c r="IFU14"/>
      <c r="IFY14"/>
      <c r="IGC14"/>
      <c r="IGG14"/>
      <c r="IGK14"/>
      <c r="IGO14"/>
      <c r="IGS14"/>
      <c r="IGW14"/>
      <c r="IHA14"/>
      <c r="IHE14"/>
      <c r="IHI14"/>
      <c r="IHM14"/>
      <c r="IHQ14"/>
      <c r="IHU14"/>
      <c r="IHY14"/>
      <c r="IIC14"/>
      <c r="IIG14"/>
      <c r="IIK14"/>
      <c r="IIO14"/>
      <c r="IIS14"/>
      <c r="IIW14"/>
      <c r="IJA14"/>
      <c r="IJE14"/>
      <c r="IJI14"/>
      <c r="IJM14"/>
      <c r="IJQ14"/>
      <c r="IJU14"/>
      <c r="IJY14"/>
      <c r="IKC14"/>
      <c r="IKG14"/>
      <c r="IKK14"/>
      <c r="IKO14"/>
      <c r="IKS14"/>
      <c r="IKW14"/>
      <c r="ILA14"/>
      <c r="ILE14"/>
      <c r="ILI14"/>
      <c r="ILM14"/>
      <c r="ILQ14"/>
      <c r="ILU14"/>
      <c r="ILY14"/>
      <c r="IMC14"/>
      <c r="IMG14"/>
      <c r="IMK14"/>
      <c r="IMO14"/>
      <c r="IMS14"/>
      <c r="IMW14"/>
      <c r="INA14"/>
      <c r="INE14"/>
      <c r="INI14"/>
      <c r="INM14"/>
      <c r="INQ14"/>
      <c r="INU14"/>
      <c r="INY14"/>
      <c r="IOC14"/>
      <c r="IOG14"/>
      <c r="IOK14"/>
      <c r="IOO14"/>
      <c r="IOS14"/>
      <c r="IOW14"/>
      <c r="IPA14"/>
      <c r="IPE14"/>
      <c r="IPI14"/>
      <c r="IPM14"/>
      <c r="IPQ14"/>
      <c r="IPU14"/>
      <c r="IPY14"/>
      <c r="IQC14"/>
      <c r="IQG14"/>
      <c r="IQK14"/>
      <c r="IQO14"/>
      <c r="IQS14"/>
      <c r="IQW14"/>
      <c r="IRA14"/>
      <c r="IRE14"/>
      <c r="IRI14"/>
      <c r="IRM14"/>
      <c r="IRQ14"/>
      <c r="IRU14"/>
      <c r="IRY14"/>
      <c r="ISC14"/>
      <c r="ISG14"/>
      <c r="ISK14"/>
      <c r="ISO14"/>
      <c r="ISS14"/>
      <c r="ISW14"/>
      <c r="ITA14"/>
      <c r="ITE14"/>
      <c r="ITI14"/>
      <c r="ITM14"/>
      <c r="ITQ14"/>
      <c r="ITU14"/>
      <c r="ITY14"/>
      <c r="IUC14"/>
      <c r="IUG14"/>
      <c r="IUK14"/>
      <c r="IUO14"/>
      <c r="IUS14"/>
      <c r="IUW14"/>
      <c r="IVA14"/>
      <c r="IVE14"/>
      <c r="IVI14"/>
      <c r="IVM14"/>
      <c r="IVQ14"/>
      <c r="IVU14"/>
      <c r="IVY14"/>
      <c r="IWC14"/>
      <c r="IWG14"/>
      <c r="IWK14"/>
      <c r="IWO14"/>
      <c r="IWS14"/>
      <c r="IWW14"/>
      <c r="IXA14"/>
      <c r="IXE14"/>
      <c r="IXI14"/>
      <c r="IXM14"/>
      <c r="IXQ14"/>
      <c r="IXU14"/>
      <c r="IXY14"/>
      <c r="IYC14"/>
      <c r="IYG14"/>
      <c r="IYK14"/>
      <c r="IYO14"/>
      <c r="IYS14"/>
      <c r="IYW14"/>
      <c r="IZA14"/>
      <c r="IZE14"/>
      <c r="IZI14"/>
      <c r="IZM14"/>
      <c r="IZQ14"/>
      <c r="IZU14"/>
      <c r="IZY14"/>
      <c r="JAC14"/>
      <c r="JAG14"/>
      <c r="JAK14"/>
      <c r="JAO14"/>
      <c r="JAS14"/>
      <c r="JAW14"/>
      <c r="JBA14"/>
      <c r="JBE14"/>
      <c r="JBI14"/>
      <c r="JBM14"/>
      <c r="JBQ14"/>
      <c r="JBU14"/>
      <c r="JBY14"/>
      <c r="JCC14"/>
      <c r="JCG14"/>
      <c r="JCK14"/>
      <c r="JCO14"/>
      <c r="JCS14"/>
      <c r="JCW14"/>
      <c r="JDA14"/>
      <c r="JDE14"/>
      <c r="JDI14"/>
      <c r="JDM14"/>
      <c r="JDQ14"/>
      <c r="JDU14"/>
      <c r="JDY14"/>
      <c r="JEC14"/>
      <c r="JEG14"/>
      <c r="JEK14"/>
      <c r="JEO14"/>
      <c r="JES14"/>
      <c r="JEW14"/>
      <c r="JFA14"/>
      <c r="JFE14"/>
      <c r="JFI14"/>
      <c r="JFM14"/>
      <c r="JFQ14"/>
      <c r="JFU14"/>
      <c r="JFY14"/>
      <c r="JGC14"/>
      <c r="JGG14"/>
      <c r="JGK14"/>
      <c r="JGO14"/>
      <c r="JGS14"/>
      <c r="JGW14"/>
      <c r="JHA14"/>
      <c r="JHE14"/>
      <c r="JHI14"/>
      <c r="JHM14"/>
      <c r="JHQ14"/>
      <c r="JHU14"/>
      <c r="JHY14"/>
      <c r="JIC14"/>
      <c r="JIG14"/>
      <c r="JIK14"/>
      <c r="JIO14"/>
      <c r="JIS14"/>
      <c r="JIW14"/>
      <c r="JJA14"/>
      <c r="JJE14"/>
      <c r="JJI14"/>
      <c r="JJM14"/>
      <c r="JJQ14"/>
      <c r="JJU14"/>
      <c r="JJY14"/>
      <c r="JKC14"/>
      <c r="JKG14"/>
      <c r="JKK14"/>
      <c r="JKO14"/>
      <c r="JKS14"/>
      <c r="JKW14"/>
      <c r="JLA14"/>
      <c r="JLE14"/>
      <c r="JLI14"/>
      <c r="JLM14"/>
      <c r="JLQ14"/>
      <c r="JLU14"/>
      <c r="JLY14"/>
      <c r="JMC14"/>
      <c r="JMG14"/>
      <c r="JMK14"/>
      <c r="JMO14"/>
      <c r="JMS14"/>
      <c r="JMW14"/>
      <c r="JNA14"/>
      <c r="JNE14"/>
      <c r="JNI14"/>
      <c r="JNM14"/>
      <c r="JNQ14"/>
      <c r="JNU14"/>
      <c r="JNY14"/>
      <c r="JOC14"/>
      <c r="JOG14"/>
      <c r="JOK14"/>
      <c r="JOO14"/>
      <c r="JOS14"/>
      <c r="JOW14"/>
      <c r="JPA14"/>
      <c r="JPE14"/>
      <c r="JPI14"/>
      <c r="JPM14"/>
      <c r="JPQ14"/>
      <c r="JPU14"/>
      <c r="JPY14"/>
      <c r="JQC14"/>
      <c r="JQG14"/>
      <c r="JQK14"/>
      <c r="JQO14"/>
      <c r="JQS14"/>
      <c r="JQW14"/>
      <c r="JRA14"/>
      <c r="JRE14"/>
      <c r="JRI14"/>
      <c r="JRM14"/>
      <c r="JRQ14"/>
      <c r="JRU14"/>
      <c r="JRY14"/>
      <c r="JSC14"/>
      <c r="JSG14"/>
      <c r="JSK14"/>
      <c r="JSO14"/>
      <c r="JSS14"/>
      <c r="JSW14"/>
      <c r="JTA14"/>
      <c r="JTE14"/>
      <c r="JTI14"/>
      <c r="JTM14"/>
      <c r="JTQ14"/>
      <c r="JTU14"/>
      <c r="JTY14"/>
      <c r="JUC14"/>
      <c r="JUG14"/>
      <c r="JUK14"/>
      <c r="JUO14"/>
      <c r="JUS14"/>
      <c r="JUW14"/>
      <c r="JVA14"/>
      <c r="JVE14"/>
      <c r="JVI14"/>
      <c r="JVM14"/>
      <c r="JVQ14"/>
      <c r="JVU14"/>
      <c r="JVY14"/>
      <c r="JWC14"/>
      <c r="JWG14"/>
      <c r="JWK14"/>
      <c r="JWO14"/>
      <c r="JWS14"/>
      <c r="JWW14"/>
      <c r="JXA14"/>
      <c r="JXE14"/>
      <c r="JXI14"/>
      <c r="JXM14"/>
      <c r="JXQ14"/>
      <c r="JXU14"/>
      <c r="JXY14"/>
      <c r="JYC14"/>
      <c r="JYG14"/>
      <c r="JYK14"/>
      <c r="JYO14"/>
      <c r="JYS14"/>
      <c r="JYW14"/>
      <c r="JZA14"/>
      <c r="JZE14"/>
      <c r="JZI14"/>
      <c r="JZM14"/>
      <c r="JZQ14"/>
      <c r="JZU14"/>
      <c r="JZY14"/>
      <c r="KAC14"/>
      <c r="KAG14"/>
      <c r="KAK14"/>
      <c r="KAO14"/>
      <c r="KAS14"/>
      <c r="KAW14"/>
      <c r="KBA14"/>
      <c r="KBE14"/>
      <c r="KBI14"/>
      <c r="KBM14"/>
      <c r="KBQ14"/>
      <c r="KBU14"/>
      <c r="KBY14"/>
      <c r="KCC14"/>
      <c r="KCG14"/>
      <c r="KCK14"/>
      <c r="KCO14"/>
      <c r="KCS14"/>
      <c r="KCW14"/>
      <c r="KDA14"/>
      <c r="KDE14"/>
      <c r="KDI14"/>
      <c r="KDM14"/>
      <c r="KDQ14"/>
      <c r="KDU14"/>
      <c r="KDY14"/>
      <c r="KEC14"/>
      <c r="KEG14"/>
      <c r="KEK14"/>
      <c r="KEO14"/>
      <c r="KES14"/>
      <c r="KEW14"/>
      <c r="KFA14"/>
      <c r="KFE14"/>
      <c r="KFI14"/>
      <c r="KFM14"/>
      <c r="KFQ14"/>
      <c r="KFU14"/>
      <c r="KFY14"/>
      <c r="KGC14"/>
      <c r="KGG14"/>
      <c r="KGK14"/>
      <c r="KGO14"/>
      <c r="KGS14"/>
      <c r="KGW14"/>
      <c r="KHA14"/>
      <c r="KHE14"/>
      <c r="KHI14"/>
      <c r="KHM14"/>
      <c r="KHQ14"/>
      <c r="KHU14"/>
      <c r="KHY14"/>
      <c r="KIC14"/>
      <c r="KIG14"/>
      <c r="KIK14"/>
      <c r="KIO14"/>
      <c r="KIS14"/>
      <c r="KIW14"/>
      <c r="KJA14"/>
      <c r="KJE14"/>
      <c r="KJI14"/>
      <c r="KJM14"/>
      <c r="KJQ14"/>
      <c r="KJU14"/>
      <c r="KJY14"/>
      <c r="KKC14"/>
      <c r="KKG14"/>
      <c r="KKK14"/>
      <c r="KKO14"/>
      <c r="KKS14"/>
      <c r="KKW14"/>
      <c r="KLA14"/>
      <c r="KLE14"/>
      <c r="KLI14"/>
      <c r="KLM14"/>
      <c r="KLQ14"/>
      <c r="KLU14"/>
      <c r="KLY14"/>
      <c r="KMC14"/>
      <c r="KMG14"/>
      <c r="KMK14"/>
      <c r="KMO14"/>
      <c r="KMS14"/>
      <c r="KMW14"/>
      <c r="KNA14"/>
      <c r="KNE14"/>
      <c r="KNI14"/>
      <c r="KNM14"/>
      <c r="KNQ14"/>
      <c r="KNU14"/>
      <c r="KNY14"/>
      <c r="KOC14"/>
      <c r="KOG14"/>
      <c r="KOK14"/>
      <c r="KOO14"/>
      <c r="KOS14"/>
      <c r="KOW14"/>
      <c r="KPA14"/>
      <c r="KPE14"/>
      <c r="KPI14"/>
      <c r="KPM14"/>
      <c r="KPQ14"/>
      <c r="KPU14"/>
      <c r="KPY14"/>
      <c r="KQC14"/>
      <c r="KQG14"/>
      <c r="KQK14"/>
      <c r="KQO14"/>
      <c r="KQS14"/>
      <c r="KQW14"/>
      <c r="KRA14"/>
      <c r="KRE14"/>
      <c r="KRI14"/>
      <c r="KRM14"/>
      <c r="KRQ14"/>
      <c r="KRU14"/>
      <c r="KRY14"/>
      <c r="KSC14"/>
      <c r="KSG14"/>
      <c r="KSK14"/>
      <c r="KSO14"/>
      <c r="KSS14"/>
      <c r="KSW14"/>
      <c r="KTA14"/>
      <c r="KTE14"/>
      <c r="KTI14"/>
      <c r="KTM14"/>
      <c r="KTQ14"/>
      <c r="KTU14"/>
      <c r="KTY14"/>
      <c r="KUC14"/>
      <c r="KUG14"/>
      <c r="KUK14"/>
      <c r="KUO14"/>
      <c r="KUS14"/>
      <c r="KUW14"/>
      <c r="KVA14"/>
      <c r="KVE14"/>
      <c r="KVI14"/>
      <c r="KVM14"/>
      <c r="KVQ14"/>
      <c r="KVU14"/>
      <c r="KVY14"/>
      <c r="KWC14"/>
      <c r="KWG14"/>
      <c r="KWK14"/>
      <c r="KWO14"/>
      <c r="KWS14"/>
      <c r="KWW14"/>
      <c r="KXA14"/>
      <c r="KXE14"/>
      <c r="KXI14"/>
      <c r="KXM14"/>
      <c r="KXQ14"/>
      <c r="KXU14"/>
      <c r="KXY14"/>
      <c r="KYC14"/>
      <c r="KYG14"/>
      <c r="KYK14"/>
      <c r="KYO14"/>
      <c r="KYS14"/>
      <c r="KYW14"/>
      <c r="KZA14"/>
      <c r="KZE14"/>
      <c r="KZI14"/>
      <c r="KZM14"/>
      <c r="KZQ14"/>
      <c r="KZU14"/>
      <c r="KZY14"/>
      <c r="LAC14"/>
      <c r="LAG14"/>
      <c r="LAK14"/>
      <c r="LAO14"/>
      <c r="LAS14"/>
      <c r="LAW14"/>
      <c r="LBA14"/>
      <c r="LBE14"/>
      <c r="LBI14"/>
      <c r="LBM14"/>
      <c r="LBQ14"/>
      <c r="LBU14"/>
      <c r="LBY14"/>
      <c r="LCC14"/>
      <c r="LCG14"/>
      <c r="LCK14"/>
      <c r="LCO14"/>
      <c r="LCS14"/>
      <c r="LCW14"/>
      <c r="LDA14"/>
      <c r="LDE14"/>
      <c r="LDI14"/>
      <c r="LDM14"/>
      <c r="LDQ14"/>
      <c r="LDU14"/>
      <c r="LDY14"/>
      <c r="LEC14"/>
      <c r="LEG14"/>
      <c r="LEK14"/>
      <c r="LEO14"/>
      <c r="LES14"/>
      <c r="LEW14"/>
      <c r="LFA14"/>
      <c r="LFE14"/>
      <c r="LFI14"/>
      <c r="LFM14"/>
      <c r="LFQ14"/>
      <c r="LFU14"/>
      <c r="LFY14"/>
      <c r="LGC14"/>
      <c r="LGG14"/>
      <c r="LGK14"/>
      <c r="LGO14"/>
      <c r="LGS14"/>
      <c r="LGW14"/>
      <c r="LHA14"/>
      <c r="LHE14"/>
      <c r="LHI14"/>
      <c r="LHM14"/>
      <c r="LHQ14"/>
      <c r="LHU14"/>
      <c r="LHY14"/>
      <c r="LIC14"/>
      <c r="LIG14"/>
      <c r="LIK14"/>
      <c r="LIO14"/>
      <c r="LIS14"/>
      <c r="LIW14"/>
      <c r="LJA14"/>
      <c r="LJE14"/>
      <c r="LJI14"/>
      <c r="LJM14"/>
      <c r="LJQ14"/>
      <c r="LJU14"/>
      <c r="LJY14"/>
      <c r="LKC14"/>
      <c r="LKG14"/>
      <c r="LKK14"/>
      <c r="LKO14"/>
      <c r="LKS14"/>
      <c r="LKW14"/>
      <c r="LLA14"/>
      <c r="LLE14"/>
      <c r="LLI14"/>
      <c r="LLM14"/>
      <c r="LLQ14"/>
      <c r="LLU14"/>
      <c r="LLY14"/>
      <c r="LMC14"/>
      <c r="LMG14"/>
      <c r="LMK14"/>
      <c r="LMO14"/>
      <c r="LMS14"/>
      <c r="LMW14"/>
      <c r="LNA14"/>
      <c r="LNE14"/>
      <c r="LNI14"/>
      <c r="LNM14"/>
      <c r="LNQ14"/>
      <c r="LNU14"/>
      <c r="LNY14"/>
      <c r="LOC14"/>
      <c r="LOG14"/>
      <c r="LOK14"/>
      <c r="LOO14"/>
      <c r="LOS14"/>
      <c r="LOW14"/>
      <c r="LPA14"/>
      <c r="LPE14"/>
      <c r="LPI14"/>
      <c r="LPM14"/>
      <c r="LPQ14"/>
      <c r="LPU14"/>
      <c r="LPY14"/>
      <c r="LQC14"/>
      <c r="LQG14"/>
      <c r="LQK14"/>
      <c r="LQO14"/>
      <c r="LQS14"/>
      <c r="LQW14"/>
      <c r="LRA14"/>
      <c r="LRE14"/>
      <c r="LRI14"/>
      <c r="LRM14"/>
      <c r="LRQ14"/>
      <c r="LRU14"/>
      <c r="LRY14"/>
      <c r="LSC14"/>
      <c r="LSG14"/>
      <c r="LSK14"/>
      <c r="LSO14"/>
      <c r="LSS14"/>
      <c r="LSW14"/>
      <c r="LTA14"/>
      <c r="LTE14"/>
      <c r="LTI14"/>
      <c r="LTM14"/>
      <c r="LTQ14"/>
      <c r="LTU14"/>
      <c r="LTY14"/>
      <c r="LUC14"/>
      <c r="LUG14"/>
      <c r="LUK14"/>
      <c r="LUO14"/>
      <c r="LUS14"/>
      <c r="LUW14"/>
      <c r="LVA14"/>
      <c r="LVE14"/>
      <c r="LVI14"/>
      <c r="LVM14"/>
      <c r="LVQ14"/>
      <c r="LVU14"/>
      <c r="LVY14"/>
      <c r="LWC14"/>
      <c r="LWG14"/>
      <c r="LWK14"/>
      <c r="LWO14"/>
      <c r="LWS14"/>
      <c r="LWW14"/>
      <c r="LXA14"/>
      <c r="LXE14"/>
      <c r="LXI14"/>
      <c r="LXM14"/>
      <c r="LXQ14"/>
      <c r="LXU14"/>
      <c r="LXY14"/>
      <c r="LYC14"/>
      <c r="LYG14"/>
      <c r="LYK14"/>
      <c r="LYO14"/>
      <c r="LYS14"/>
      <c r="LYW14"/>
      <c r="LZA14"/>
      <c r="LZE14"/>
      <c r="LZI14"/>
      <c r="LZM14"/>
      <c r="LZQ14"/>
      <c r="LZU14"/>
      <c r="LZY14"/>
      <c r="MAC14"/>
      <c r="MAG14"/>
      <c r="MAK14"/>
      <c r="MAO14"/>
      <c r="MAS14"/>
      <c r="MAW14"/>
      <c r="MBA14"/>
      <c r="MBE14"/>
      <c r="MBI14"/>
      <c r="MBM14"/>
      <c r="MBQ14"/>
      <c r="MBU14"/>
      <c r="MBY14"/>
      <c r="MCC14"/>
      <c r="MCG14"/>
      <c r="MCK14"/>
      <c r="MCO14"/>
      <c r="MCS14"/>
      <c r="MCW14"/>
      <c r="MDA14"/>
      <c r="MDE14"/>
      <c r="MDI14"/>
      <c r="MDM14"/>
      <c r="MDQ14"/>
      <c r="MDU14"/>
      <c r="MDY14"/>
      <c r="MEC14"/>
      <c r="MEG14"/>
      <c r="MEK14"/>
      <c r="MEO14"/>
      <c r="MES14"/>
      <c r="MEW14"/>
      <c r="MFA14"/>
      <c r="MFE14"/>
      <c r="MFI14"/>
      <c r="MFM14"/>
      <c r="MFQ14"/>
      <c r="MFU14"/>
      <c r="MFY14"/>
      <c r="MGC14"/>
      <c r="MGG14"/>
      <c r="MGK14"/>
      <c r="MGO14"/>
      <c r="MGS14"/>
      <c r="MGW14"/>
      <c r="MHA14"/>
      <c r="MHE14"/>
      <c r="MHI14"/>
      <c r="MHM14"/>
      <c r="MHQ14"/>
      <c r="MHU14"/>
      <c r="MHY14"/>
      <c r="MIC14"/>
      <c r="MIG14"/>
      <c r="MIK14"/>
      <c r="MIO14"/>
      <c r="MIS14"/>
      <c r="MIW14"/>
      <c r="MJA14"/>
      <c r="MJE14"/>
      <c r="MJI14"/>
      <c r="MJM14"/>
      <c r="MJQ14"/>
      <c r="MJU14"/>
      <c r="MJY14"/>
      <c r="MKC14"/>
      <c r="MKG14"/>
      <c r="MKK14"/>
      <c r="MKO14"/>
      <c r="MKS14"/>
      <c r="MKW14"/>
      <c r="MLA14"/>
      <c r="MLE14"/>
      <c r="MLI14"/>
      <c r="MLM14"/>
      <c r="MLQ14"/>
      <c r="MLU14"/>
      <c r="MLY14"/>
      <c r="MMC14"/>
      <c r="MMG14"/>
      <c r="MMK14"/>
      <c r="MMO14"/>
      <c r="MMS14"/>
      <c r="MMW14"/>
      <c r="MNA14"/>
      <c r="MNE14"/>
      <c r="MNI14"/>
      <c r="MNM14"/>
      <c r="MNQ14"/>
      <c r="MNU14"/>
      <c r="MNY14"/>
      <c r="MOC14"/>
      <c r="MOG14"/>
      <c r="MOK14"/>
      <c r="MOO14"/>
      <c r="MOS14"/>
      <c r="MOW14"/>
      <c r="MPA14"/>
      <c r="MPE14"/>
      <c r="MPI14"/>
      <c r="MPM14"/>
      <c r="MPQ14"/>
      <c r="MPU14"/>
      <c r="MPY14"/>
      <c r="MQC14"/>
      <c r="MQG14"/>
      <c r="MQK14"/>
      <c r="MQO14"/>
      <c r="MQS14"/>
      <c r="MQW14"/>
      <c r="MRA14"/>
      <c r="MRE14"/>
      <c r="MRI14"/>
      <c r="MRM14"/>
      <c r="MRQ14"/>
      <c r="MRU14"/>
      <c r="MRY14"/>
      <c r="MSC14"/>
      <c r="MSG14"/>
      <c r="MSK14"/>
      <c r="MSO14"/>
      <c r="MSS14"/>
      <c r="MSW14"/>
      <c r="MTA14"/>
      <c r="MTE14"/>
      <c r="MTI14"/>
      <c r="MTM14"/>
      <c r="MTQ14"/>
      <c r="MTU14"/>
      <c r="MTY14"/>
      <c r="MUC14"/>
      <c r="MUG14"/>
      <c r="MUK14"/>
      <c r="MUO14"/>
      <c r="MUS14"/>
      <c r="MUW14"/>
      <c r="MVA14"/>
      <c r="MVE14"/>
      <c r="MVI14"/>
      <c r="MVM14"/>
      <c r="MVQ14"/>
      <c r="MVU14"/>
      <c r="MVY14"/>
      <c r="MWC14"/>
      <c r="MWG14"/>
      <c r="MWK14"/>
      <c r="MWO14"/>
      <c r="MWS14"/>
      <c r="MWW14"/>
      <c r="MXA14"/>
      <c r="MXE14"/>
      <c r="MXI14"/>
      <c r="MXM14"/>
      <c r="MXQ14"/>
      <c r="MXU14"/>
      <c r="MXY14"/>
      <c r="MYC14"/>
      <c r="MYG14"/>
      <c r="MYK14"/>
      <c r="MYO14"/>
      <c r="MYS14"/>
      <c r="MYW14"/>
      <c r="MZA14"/>
      <c r="MZE14"/>
      <c r="MZI14"/>
      <c r="MZM14"/>
      <c r="MZQ14"/>
      <c r="MZU14"/>
      <c r="MZY14"/>
      <c r="NAC14"/>
      <c r="NAG14"/>
      <c r="NAK14"/>
      <c r="NAO14"/>
      <c r="NAS14"/>
      <c r="NAW14"/>
      <c r="NBA14"/>
      <c r="NBE14"/>
      <c r="NBI14"/>
      <c r="NBM14"/>
      <c r="NBQ14"/>
      <c r="NBU14"/>
      <c r="NBY14"/>
      <c r="NCC14"/>
      <c r="NCG14"/>
      <c r="NCK14"/>
      <c r="NCO14"/>
      <c r="NCS14"/>
      <c r="NCW14"/>
      <c r="NDA14"/>
      <c r="NDE14"/>
      <c r="NDI14"/>
      <c r="NDM14"/>
      <c r="NDQ14"/>
      <c r="NDU14"/>
      <c r="NDY14"/>
      <c r="NEC14"/>
      <c r="NEG14"/>
      <c r="NEK14"/>
      <c r="NEO14"/>
      <c r="NES14"/>
      <c r="NEW14"/>
      <c r="NFA14"/>
      <c r="NFE14"/>
      <c r="NFI14"/>
      <c r="NFM14"/>
      <c r="NFQ14"/>
      <c r="NFU14"/>
      <c r="NFY14"/>
      <c r="NGC14"/>
      <c r="NGG14"/>
      <c r="NGK14"/>
      <c r="NGO14"/>
      <c r="NGS14"/>
      <c r="NGW14"/>
      <c r="NHA14"/>
      <c r="NHE14"/>
      <c r="NHI14"/>
      <c r="NHM14"/>
      <c r="NHQ14"/>
      <c r="NHU14"/>
      <c r="NHY14"/>
      <c r="NIC14"/>
      <c r="NIG14"/>
      <c r="NIK14"/>
      <c r="NIO14"/>
      <c r="NIS14"/>
      <c r="NIW14"/>
      <c r="NJA14"/>
      <c r="NJE14"/>
      <c r="NJI14"/>
      <c r="NJM14"/>
      <c r="NJQ14"/>
      <c r="NJU14"/>
      <c r="NJY14"/>
      <c r="NKC14"/>
      <c r="NKG14"/>
      <c r="NKK14"/>
      <c r="NKO14"/>
      <c r="NKS14"/>
      <c r="NKW14"/>
      <c r="NLA14"/>
      <c r="NLE14"/>
      <c r="NLI14"/>
      <c r="NLM14"/>
      <c r="NLQ14"/>
      <c r="NLU14"/>
      <c r="NLY14"/>
      <c r="NMC14"/>
      <c r="NMG14"/>
      <c r="NMK14"/>
      <c r="NMO14"/>
      <c r="NMS14"/>
      <c r="NMW14"/>
      <c r="NNA14"/>
      <c r="NNE14"/>
      <c r="NNI14"/>
      <c r="NNM14"/>
      <c r="NNQ14"/>
      <c r="NNU14"/>
      <c r="NNY14"/>
      <c r="NOC14"/>
      <c r="NOG14"/>
      <c r="NOK14"/>
      <c r="NOO14"/>
      <c r="NOS14"/>
      <c r="NOW14"/>
      <c r="NPA14"/>
      <c r="NPE14"/>
      <c r="NPI14"/>
      <c r="NPM14"/>
      <c r="NPQ14"/>
      <c r="NPU14"/>
      <c r="NPY14"/>
      <c r="NQC14"/>
      <c r="NQG14"/>
      <c r="NQK14"/>
      <c r="NQO14"/>
      <c r="NQS14"/>
      <c r="NQW14"/>
      <c r="NRA14"/>
      <c r="NRE14"/>
      <c r="NRI14"/>
      <c r="NRM14"/>
      <c r="NRQ14"/>
      <c r="NRU14"/>
      <c r="NRY14"/>
      <c r="NSC14"/>
      <c r="NSG14"/>
      <c r="NSK14"/>
      <c r="NSO14"/>
      <c r="NSS14"/>
      <c r="NSW14"/>
      <c r="NTA14"/>
      <c r="NTE14"/>
      <c r="NTI14"/>
      <c r="NTM14"/>
      <c r="NTQ14"/>
      <c r="NTU14"/>
      <c r="NTY14"/>
      <c r="NUC14"/>
      <c r="NUG14"/>
      <c r="NUK14"/>
      <c r="NUO14"/>
      <c r="NUS14"/>
      <c r="NUW14"/>
      <c r="NVA14"/>
      <c r="NVE14"/>
      <c r="NVI14"/>
      <c r="NVM14"/>
      <c r="NVQ14"/>
      <c r="NVU14"/>
      <c r="NVY14"/>
      <c r="NWC14"/>
      <c r="NWG14"/>
      <c r="NWK14"/>
      <c r="NWO14"/>
      <c r="NWS14"/>
      <c r="NWW14"/>
      <c r="NXA14"/>
      <c r="NXE14"/>
      <c r="NXI14"/>
      <c r="NXM14"/>
      <c r="NXQ14"/>
      <c r="NXU14"/>
      <c r="NXY14"/>
      <c r="NYC14"/>
      <c r="NYG14"/>
      <c r="NYK14"/>
      <c r="NYO14"/>
      <c r="NYS14"/>
      <c r="NYW14"/>
      <c r="NZA14"/>
      <c r="NZE14"/>
      <c r="NZI14"/>
      <c r="NZM14"/>
      <c r="NZQ14"/>
      <c r="NZU14"/>
      <c r="NZY14"/>
      <c r="OAC14"/>
      <c r="OAG14"/>
      <c r="OAK14"/>
      <c r="OAO14"/>
      <c r="OAS14"/>
      <c r="OAW14"/>
      <c r="OBA14"/>
      <c r="OBE14"/>
      <c r="OBI14"/>
      <c r="OBM14"/>
      <c r="OBQ14"/>
      <c r="OBU14"/>
      <c r="OBY14"/>
      <c r="OCC14"/>
      <c r="OCG14"/>
      <c r="OCK14"/>
      <c r="OCO14"/>
      <c r="OCS14"/>
      <c r="OCW14"/>
      <c r="ODA14"/>
      <c r="ODE14"/>
      <c r="ODI14"/>
      <c r="ODM14"/>
      <c r="ODQ14"/>
      <c r="ODU14"/>
      <c r="ODY14"/>
      <c r="OEC14"/>
      <c r="OEG14"/>
      <c r="OEK14"/>
      <c r="OEO14"/>
      <c r="OES14"/>
      <c r="OEW14"/>
      <c r="OFA14"/>
      <c r="OFE14"/>
      <c r="OFI14"/>
      <c r="OFM14"/>
      <c r="OFQ14"/>
      <c r="OFU14"/>
      <c r="OFY14"/>
      <c r="OGC14"/>
      <c r="OGG14"/>
      <c r="OGK14"/>
      <c r="OGO14"/>
      <c r="OGS14"/>
      <c r="OGW14"/>
      <c r="OHA14"/>
      <c r="OHE14"/>
      <c r="OHI14"/>
      <c r="OHM14"/>
      <c r="OHQ14"/>
      <c r="OHU14"/>
      <c r="OHY14"/>
      <c r="OIC14"/>
      <c r="OIG14"/>
      <c r="OIK14"/>
      <c r="OIO14"/>
      <c r="OIS14"/>
      <c r="OIW14"/>
      <c r="OJA14"/>
      <c r="OJE14"/>
      <c r="OJI14"/>
      <c r="OJM14"/>
      <c r="OJQ14"/>
      <c r="OJU14"/>
      <c r="OJY14"/>
      <c r="OKC14"/>
      <c r="OKG14"/>
      <c r="OKK14"/>
      <c r="OKO14"/>
      <c r="OKS14"/>
      <c r="OKW14"/>
      <c r="OLA14"/>
      <c r="OLE14"/>
      <c r="OLI14"/>
      <c r="OLM14"/>
      <c r="OLQ14"/>
      <c r="OLU14"/>
      <c r="OLY14"/>
      <c r="OMC14"/>
      <c r="OMG14"/>
      <c r="OMK14"/>
      <c r="OMO14"/>
      <c r="OMS14"/>
      <c r="OMW14"/>
      <c r="ONA14"/>
      <c r="ONE14"/>
      <c r="ONI14"/>
      <c r="ONM14"/>
      <c r="ONQ14"/>
      <c r="ONU14"/>
      <c r="ONY14"/>
      <c r="OOC14"/>
      <c r="OOG14"/>
      <c r="OOK14"/>
      <c r="OOO14"/>
      <c r="OOS14"/>
      <c r="OOW14"/>
      <c r="OPA14"/>
      <c r="OPE14"/>
      <c r="OPI14"/>
      <c r="OPM14"/>
      <c r="OPQ14"/>
      <c r="OPU14"/>
      <c r="OPY14"/>
      <c r="OQC14"/>
      <c r="OQG14"/>
      <c r="OQK14"/>
      <c r="OQO14"/>
      <c r="OQS14"/>
      <c r="OQW14"/>
      <c r="ORA14"/>
      <c r="ORE14"/>
      <c r="ORI14"/>
      <c r="ORM14"/>
      <c r="ORQ14"/>
      <c r="ORU14"/>
      <c r="ORY14"/>
      <c r="OSC14"/>
      <c r="OSG14"/>
      <c r="OSK14"/>
      <c r="OSO14"/>
      <c r="OSS14"/>
      <c r="OSW14"/>
      <c r="OTA14"/>
      <c r="OTE14"/>
      <c r="OTI14"/>
      <c r="OTM14"/>
      <c r="OTQ14"/>
      <c r="OTU14"/>
      <c r="OTY14"/>
      <c r="OUC14"/>
      <c r="OUG14"/>
      <c r="OUK14"/>
      <c r="OUO14"/>
      <c r="OUS14"/>
      <c r="OUW14"/>
      <c r="OVA14"/>
      <c r="OVE14"/>
      <c r="OVI14"/>
      <c r="OVM14"/>
      <c r="OVQ14"/>
      <c r="OVU14"/>
      <c r="OVY14"/>
      <c r="OWC14"/>
      <c r="OWG14"/>
      <c r="OWK14"/>
      <c r="OWO14"/>
      <c r="OWS14"/>
      <c r="OWW14"/>
      <c r="OXA14"/>
      <c r="OXE14"/>
      <c r="OXI14"/>
      <c r="OXM14"/>
      <c r="OXQ14"/>
      <c r="OXU14"/>
      <c r="OXY14"/>
      <c r="OYC14"/>
      <c r="OYG14"/>
      <c r="OYK14"/>
      <c r="OYO14"/>
      <c r="OYS14"/>
      <c r="OYW14"/>
      <c r="OZA14"/>
      <c r="OZE14"/>
      <c r="OZI14"/>
      <c r="OZM14"/>
      <c r="OZQ14"/>
      <c r="OZU14"/>
      <c r="OZY14"/>
      <c r="PAC14"/>
      <c r="PAG14"/>
      <c r="PAK14"/>
      <c r="PAO14"/>
      <c r="PAS14"/>
      <c r="PAW14"/>
      <c r="PBA14"/>
      <c r="PBE14"/>
      <c r="PBI14"/>
      <c r="PBM14"/>
      <c r="PBQ14"/>
      <c r="PBU14"/>
      <c r="PBY14"/>
      <c r="PCC14"/>
      <c r="PCG14"/>
      <c r="PCK14"/>
      <c r="PCO14"/>
      <c r="PCS14"/>
      <c r="PCW14"/>
      <c r="PDA14"/>
      <c r="PDE14"/>
      <c r="PDI14"/>
      <c r="PDM14"/>
      <c r="PDQ14"/>
      <c r="PDU14"/>
      <c r="PDY14"/>
      <c r="PEC14"/>
      <c r="PEG14"/>
      <c r="PEK14"/>
      <c r="PEO14"/>
      <c r="PES14"/>
      <c r="PEW14"/>
      <c r="PFA14"/>
      <c r="PFE14"/>
      <c r="PFI14"/>
      <c r="PFM14"/>
      <c r="PFQ14"/>
      <c r="PFU14"/>
      <c r="PFY14"/>
      <c r="PGC14"/>
      <c r="PGG14"/>
      <c r="PGK14"/>
      <c r="PGO14"/>
      <c r="PGS14"/>
      <c r="PGW14"/>
      <c r="PHA14"/>
      <c r="PHE14"/>
      <c r="PHI14"/>
      <c r="PHM14"/>
      <c r="PHQ14"/>
      <c r="PHU14"/>
      <c r="PHY14"/>
      <c r="PIC14"/>
      <c r="PIG14"/>
      <c r="PIK14"/>
      <c r="PIO14"/>
      <c r="PIS14"/>
      <c r="PIW14"/>
      <c r="PJA14"/>
      <c r="PJE14"/>
      <c r="PJI14"/>
      <c r="PJM14"/>
      <c r="PJQ14"/>
      <c r="PJU14"/>
      <c r="PJY14"/>
      <c r="PKC14"/>
      <c r="PKG14"/>
      <c r="PKK14"/>
      <c r="PKO14"/>
      <c r="PKS14"/>
      <c r="PKW14"/>
      <c r="PLA14"/>
      <c r="PLE14"/>
      <c r="PLI14"/>
      <c r="PLM14"/>
      <c r="PLQ14"/>
      <c r="PLU14"/>
      <c r="PLY14"/>
      <c r="PMC14"/>
      <c r="PMG14"/>
      <c r="PMK14"/>
      <c r="PMO14"/>
      <c r="PMS14"/>
      <c r="PMW14"/>
      <c r="PNA14"/>
      <c r="PNE14"/>
      <c r="PNI14"/>
      <c r="PNM14"/>
      <c r="PNQ14"/>
      <c r="PNU14"/>
      <c r="PNY14"/>
      <c r="POC14"/>
      <c r="POG14"/>
      <c r="POK14"/>
      <c r="POO14"/>
      <c r="POS14"/>
      <c r="POW14"/>
      <c r="PPA14"/>
      <c r="PPE14"/>
      <c r="PPI14"/>
      <c r="PPM14"/>
      <c r="PPQ14"/>
      <c r="PPU14"/>
      <c r="PPY14"/>
      <c r="PQC14"/>
      <c r="PQG14"/>
      <c r="PQK14"/>
      <c r="PQO14"/>
      <c r="PQS14"/>
      <c r="PQW14"/>
      <c r="PRA14"/>
      <c r="PRE14"/>
      <c r="PRI14"/>
      <c r="PRM14"/>
      <c r="PRQ14"/>
      <c r="PRU14"/>
      <c r="PRY14"/>
      <c r="PSC14"/>
      <c r="PSG14"/>
      <c r="PSK14"/>
      <c r="PSO14"/>
      <c r="PSS14"/>
      <c r="PSW14"/>
      <c r="PTA14"/>
      <c r="PTE14"/>
      <c r="PTI14"/>
      <c r="PTM14"/>
      <c r="PTQ14"/>
      <c r="PTU14"/>
      <c r="PTY14"/>
      <c r="PUC14"/>
      <c r="PUG14"/>
      <c r="PUK14"/>
      <c r="PUO14"/>
      <c r="PUS14"/>
      <c r="PUW14"/>
      <c r="PVA14"/>
      <c r="PVE14"/>
      <c r="PVI14"/>
      <c r="PVM14"/>
      <c r="PVQ14"/>
      <c r="PVU14"/>
      <c r="PVY14"/>
      <c r="PWC14"/>
      <c r="PWG14"/>
      <c r="PWK14"/>
      <c r="PWO14"/>
      <c r="PWS14"/>
      <c r="PWW14"/>
      <c r="PXA14"/>
      <c r="PXE14"/>
      <c r="PXI14"/>
      <c r="PXM14"/>
      <c r="PXQ14"/>
      <c r="PXU14"/>
      <c r="PXY14"/>
      <c r="PYC14"/>
      <c r="PYG14"/>
      <c r="PYK14"/>
      <c r="PYO14"/>
      <c r="PYS14"/>
      <c r="PYW14"/>
      <c r="PZA14"/>
      <c r="PZE14"/>
      <c r="PZI14"/>
      <c r="PZM14"/>
      <c r="PZQ14"/>
      <c r="PZU14"/>
      <c r="PZY14"/>
      <c r="QAC14"/>
      <c r="QAG14"/>
      <c r="QAK14"/>
      <c r="QAO14"/>
      <c r="QAS14"/>
      <c r="QAW14"/>
      <c r="QBA14"/>
      <c r="QBE14"/>
      <c r="QBI14"/>
      <c r="QBM14"/>
      <c r="QBQ14"/>
      <c r="QBU14"/>
      <c r="QBY14"/>
      <c r="QCC14"/>
      <c r="QCG14"/>
      <c r="QCK14"/>
      <c r="QCO14"/>
      <c r="QCS14"/>
      <c r="QCW14"/>
      <c r="QDA14"/>
      <c r="QDE14"/>
      <c r="QDI14"/>
      <c r="QDM14"/>
      <c r="QDQ14"/>
      <c r="QDU14"/>
      <c r="QDY14"/>
      <c r="QEC14"/>
      <c r="QEG14"/>
      <c r="QEK14"/>
      <c r="QEO14"/>
      <c r="QES14"/>
      <c r="QEW14"/>
      <c r="QFA14"/>
      <c r="QFE14"/>
      <c r="QFI14"/>
      <c r="QFM14"/>
      <c r="QFQ14"/>
      <c r="QFU14"/>
      <c r="QFY14"/>
      <c r="QGC14"/>
      <c r="QGG14"/>
      <c r="QGK14"/>
      <c r="QGO14"/>
      <c r="QGS14"/>
      <c r="QGW14"/>
      <c r="QHA14"/>
      <c r="QHE14"/>
      <c r="QHI14"/>
      <c r="QHM14"/>
      <c r="QHQ14"/>
      <c r="QHU14"/>
      <c r="QHY14"/>
      <c r="QIC14"/>
      <c r="QIG14"/>
      <c r="QIK14"/>
      <c r="QIO14"/>
      <c r="QIS14"/>
      <c r="QIW14"/>
      <c r="QJA14"/>
      <c r="QJE14"/>
      <c r="QJI14"/>
      <c r="QJM14"/>
      <c r="QJQ14"/>
      <c r="QJU14"/>
      <c r="QJY14"/>
      <c r="QKC14"/>
      <c r="QKG14"/>
      <c r="QKK14"/>
      <c r="QKO14"/>
      <c r="QKS14"/>
      <c r="QKW14"/>
      <c r="QLA14"/>
      <c r="QLE14"/>
      <c r="QLI14"/>
      <c r="QLM14"/>
      <c r="QLQ14"/>
      <c r="QLU14"/>
      <c r="QLY14"/>
      <c r="QMC14"/>
      <c r="QMG14"/>
      <c r="QMK14"/>
      <c r="QMO14"/>
      <c r="QMS14"/>
      <c r="QMW14"/>
      <c r="QNA14"/>
      <c r="QNE14"/>
      <c r="QNI14"/>
      <c r="QNM14"/>
      <c r="QNQ14"/>
      <c r="QNU14"/>
      <c r="QNY14"/>
      <c r="QOC14"/>
      <c r="QOG14"/>
      <c r="QOK14"/>
      <c r="QOO14"/>
      <c r="QOS14"/>
      <c r="QOW14"/>
      <c r="QPA14"/>
      <c r="QPE14"/>
      <c r="QPI14"/>
      <c r="QPM14"/>
      <c r="QPQ14"/>
      <c r="QPU14"/>
      <c r="QPY14"/>
      <c r="QQC14"/>
      <c r="QQG14"/>
      <c r="QQK14"/>
      <c r="QQO14"/>
      <c r="QQS14"/>
      <c r="QQW14"/>
      <c r="QRA14"/>
      <c r="QRE14"/>
      <c r="QRI14"/>
      <c r="QRM14"/>
      <c r="QRQ14"/>
      <c r="QRU14"/>
      <c r="QRY14"/>
      <c r="QSC14"/>
      <c r="QSG14"/>
      <c r="QSK14"/>
      <c r="QSO14"/>
      <c r="QSS14"/>
      <c r="QSW14"/>
      <c r="QTA14"/>
      <c r="QTE14"/>
      <c r="QTI14"/>
      <c r="QTM14"/>
      <c r="QTQ14"/>
      <c r="QTU14"/>
      <c r="QTY14"/>
      <c r="QUC14"/>
      <c r="QUG14"/>
      <c r="QUK14"/>
      <c r="QUO14"/>
      <c r="QUS14"/>
      <c r="QUW14"/>
      <c r="QVA14"/>
      <c r="QVE14"/>
      <c r="QVI14"/>
      <c r="QVM14"/>
      <c r="QVQ14"/>
      <c r="QVU14"/>
      <c r="QVY14"/>
      <c r="QWC14"/>
      <c r="QWG14"/>
      <c r="QWK14"/>
      <c r="QWO14"/>
      <c r="QWS14"/>
      <c r="QWW14"/>
      <c r="QXA14"/>
      <c r="QXE14"/>
      <c r="QXI14"/>
      <c r="QXM14"/>
      <c r="QXQ14"/>
      <c r="QXU14"/>
      <c r="QXY14"/>
      <c r="QYC14"/>
      <c r="QYG14"/>
      <c r="QYK14"/>
      <c r="QYO14"/>
      <c r="QYS14"/>
      <c r="QYW14"/>
      <c r="QZA14"/>
      <c r="QZE14"/>
      <c r="QZI14"/>
      <c r="QZM14"/>
      <c r="QZQ14"/>
      <c r="QZU14"/>
      <c r="QZY14"/>
      <c r="RAC14"/>
      <c r="RAG14"/>
      <c r="RAK14"/>
      <c r="RAO14"/>
      <c r="RAS14"/>
      <c r="RAW14"/>
      <c r="RBA14"/>
      <c r="RBE14"/>
      <c r="RBI14"/>
      <c r="RBM14"/>
      <c r="RBQ14"/>
      <c r="RBU14"/>
      <c r="RBY14"/>
      <c r="RCC14"/>
      <c r="RCG14"/>
      <c r="RCK14"/>
      <c r="RCO14"/>
      <c r="RCS14"/>
      <c r="RCW14"/>
      <c r="RDA14"/>
      <c r="RDE14"/>
      <c r="RDI14"/>
      <c r="RDM14"/>
      <c r="RDQ14"/>
      <c r="RDU14"/>
      <c r="RDY14"/>
      <c r="REC14"/>
      <c r="REG14"/>
      <c r="REK14"/>
      <c r="REO14"/>
      <c r="RES14"/>
      <c r="REW14"/>
      <c r="RFA14"/>
      <c r="RFE14"/>
      <c r="RFI14"/>
      <c r="RFM14"/>
      <c r="RFQ14"/>
      <c r="RFU14"/>
      <c r="RFY14"/>
      <c r="RGC14"/>
      <c r="RGG14"/>
      <c r="RGK14"/>
      <c r="RGO14"/>
      <c r="RGS14"/>
      <c r="RGW14"/>
      <c r="RHA14"/>
      <c r="RHE14"/>
      <c r="RHI14"/>
      <c r="RHM14"/>
      <c r="RHQ14"/>
      <c r="RHU14"/>
      <c r="RHY14"/>
      <c r="RIC14"/>
      <c r="RIG14"/>
      <c r="RIK14"/>
      <c r="RIO14"/>
      <c r="RIS14"/>
      <c r="RIW14"/>
      <c r="RJA14"/>
      <c r="RJE14"/>
      <c r="RJI14"/>
      <c r="RJM14"/>
      <c r="RJQ14"/>
      <c r="RJU14"/>
      <c r="RJY14"/>
      <c r="RKC14"/>
      <c r="RKG14"/>
      <c r="RKK14"/>
      <c r="RKO14"/>
      <c r="RKS14"/>
      <c r="RKW14"/>
      <c r="RLA14"/>
      <c r="RLE14"/>
      <c r="RLI14"/>
      <c r="RLM14"/>
      <c r="RLQ14"/>
      <c r="RLU14"/>
      <c r="RLY14"/>
      <c r="RMC14"/>
      <c r="RMG14"/>
      <c r="RMK14"/>
      <c r="RMO14"/>
      <c r="RMS14"/>
      <c r="RMW14"/>
      <c r="RNA14"/>
      <c r="RNE14"/>
      <c r="RNI14"/>
      <c r="RNM14"/>
      <c r="RNQ14"/>
      <c r="RNU14"/>
      <c r="RNY14"/>
      <c r="ROC14"/>
      <c r="ROG14"/>
      <c r="ROK14"/>
      <c r="ROO14"/>
      <c r="ROS14"/>
      <c r="ROW14"/>
      <c r="RPA14"/>
      <c r="RPE14"/>
      <c r="RPI14"/>
      <c r="RPM14"/>
      <c r="RPQ14"/>
      <c r="RPU14"/>
      <c r="RPY14"/>
      <c r="RQC14"/>
      <c r="RQG14"/>
      <c r="RQK14"/>
      <c r="RQO14"/>
      <c r="RQS14"/>
      <c r="RQW14"/>
      <c r="RRA14"/>
      <c r="RRE14"/>
      <c r="RRI14"/>
      <c r="RRM14"/>
      <c r="RRQ14"/>
      <c r="RRU14"/>
      <c r="RRY14"/>
      <c r="RSC14"/>
      <c r="RSG14"/>
      <c r="RSK14"/>
      <c r="RSO14"/>
      <c r="RSS14"/>
      <c r="RSW14"/>
      <c r="RTA14"/>
      <c r="RTE14"/>
      <c r="RTI14"/>
      <c r="RTM14"/>
      <c r="RTQ14"/>
      <c r="RTU14"/>
      <c r="RTY14"/>
      <c r="RUC14"/>
      <c r="RUG14"/>
      <c r="RUK14"/>
      <c r="RUO14"/>
      <c r="RUS14"/>
      <c r="RUW14"/>
      <c r="RVA14"/>
      <c r="RVE14"/>
      <c r="RVI14"/>
      <c r="RVM14"/>
      <c r="RVQ14"/>
      <c r="RVU14"/>
      <c r="RVY14"/>
      <c r="RWC14"/>
      <c r="RWG14"/>
      <c r="RWK14"/>
      <c r="RWO14"/>
      <c r="RWS14"/>
      <c r="RWW14"/>
      <c r="RXA14"/>
      <c r="RXE14"/>
      <c r="RXI14"/>
      <c r="RXM14"/>
      <c r="RXQ14"/>
      <c r="RXU14"/>
      <c r="RXY14"/>
      <c r="RYC14"/>
      <c r="RYG14"/>
      <c r="RYK14"/>
      <c r="RYO14"/>
      <c r="RYS14"/>
      <c r="RYW14"/>
      <c r="RZA14"/>
      <c r="RZE14"/>
      <c r="RZI14"/>
      <c r="RZM14"/>
      <c r="RZQ14"/>
      <c r="RZU14"/>
      <c r="RZY14"/>
      <c r="SAC14"/>
      <c r="SAG14"/>
      <c r="SAK14"/>
      <c r="SAO14"/>
      <c r="SAS14"/>
      <c r="SAW14"/>
      <c r="SBA14"/>
      <c r="SBE14"/>
      <c r="SBI14"/>
      <c r="SBM14"/>
      <c r="SBQ14"/>
      <c r="SBU14"/>
      <c r="SBY14"/>
      <c r="SCC14"/>
      <c r="SCG14"/>
      <c r="SCK14"/>
      <c r="SCO14"/>
      <c r="SCS14"/>
      <c r="SCW14"/>
      <c r="SDA14"/>
      <c r="SDE14"/>
      <c r="SDI14"/>
      <c r="SDM14"/>
      <c r="SDQ14"/>
      <c r="SDU14"/>
      <c r="SDY14"/>
      <c r="SEC14"/>
      <c r="SEG14"/>
      <c r="SEK14"/>
      <c r="SEO14"/>
      <c r="SES14"/>
      <c r="SEW14"/>
      <c r="SFA14"/>
      <c r="SFE14"/>
      <c r="SFI14"/>
      <c r="SFM14"/>
      <c r="SFQ14"/>
      <c r="SFU14"/>
      <c r="SFY14"/>
      <c r="SGC14"/>
      <c r="SGG14"/>
      <c r="SGK14"/>
      <c r="SGO14"/>
      <c r="SGS14"/>
      <c r="SGW14"/>
      <c r="SHA14"/>
      <c r="SHE14"/>
      <c r="SHI14"/>
      <c r="SHM14"/>
      <c r="SHQ14"/>
      <c r="SHU14"/>
      <c r="SHY14"/>
      <c r="SIC14"/>
      <c r="SIG14"/>
      <c r="SIK14"/>
      <c r="SIO14"/>
      <c r="SIS14"/>
      <c r="SIW14"/>
      <c r="SJA14"/>
      <c r="SJE14"/>
      <c r="SJI14"/>
      <c r="SJM14"/>
      <c r="SJQ14"/>
      <c r="SJU14"/>
      <c r="SJY14"/>
      <c r="SKC14"/>
      <c r="SKG14"/>
      <c r="SKK14"/>
      <c r="SKO14"/>
      <c r="SKS14"/>
      <c r="SKW14"/>
      <c r="SLA14"/>
      <c r="SLE14"/>
      <c r="SLI14"/>
      <c r="SLM14"/>
      <c r="SLQ14"/>
      <c r="SLU14"/>
      <c r="SLY14"/>
      <c r="SMC14"/>
      <c r="SMG14"/>
      <c r="SMK14"/>
      <c r="SMO14"/>
      <c r="SMS14"/>
      <c r="SMW14"/>
      <c r="SNA14"/>
      <c r="SNE14"/>
      <c r="SNI14"/>
      <c r="SNM14"/>
      <c r="SNQ14"/>
      <c r="SNU14"/>
      <c r="SNY14"/>
      <c r="SOC14"/>
      <c r="SOG14"/>
      <c r="SOK14"/>
      <c r="SOO14"/>
      <c r="SOS14"/>
      <c r="SOW14"/>
      <c r="SPA14"/>
      <c r="SPE14"/>
      <c r="SPI14"/>
      <c r="SPM14"/>
      <c r="SPQ14"/>
      <c r="SPU14"/>
      <c r="SPY14"/>
      <c r="SQC14"/>
      <c r="SQG14"/>
      <c r="SQK14"/>
      <c r="SQO14"/>
      <c r="SQS14"/>
      <c r="SQW14"/>
      <c r="SRA14"/>
      <c r="SRE14"/>
      <c r="SRI14"/>
      <c r="SRM14"/>
      <c r="SRQ14"/>
      <c r="SRU14"/>
      <c r="SRY14"/>
      <c r="SSC14"/>
      <c r="SSG14"/>
      <c r="SSK14"/>
      <c r="SSO14"/>
      <c r="SSS14"/>
      <c r="SSW14"/>
      <c r="STA14"/>
      <c r="STE14"/>
      <c r="STI14"/>
      <c r="STM14"/>
      <c r="STQ14"/>
      <c r="STU14"/>
      <c r="STY14"/>
      <c r="SUC14"/>
      <c r="SUG14"/>
      <c r="SUK14"/>
      <c r="SUO14"/>
      <c r="SUS14"/>
      <c r="SUW14"/>
      <c r="SVA14"/>
      <c r="SVE14"/>
      <c r="SVI14"/>
      <c r="SVM14"/>
      <c r="SVQ14"/>
      <c r="SVU14"/>
      <c r="SVY14"/>
      <c r="SWC14"/>
      <c r="SWG14"/>
      <c r="SWK14"/>
      <c r="SWO14"/>
      <c r="SWS14"/>
      <c r="SWW14"/>
      <c r="SXA14"/>
      <c r="SXE14"/>
      <c r="SXI14"/>
      <c r="SXM14"/>
      <c r="SXQ14"/>
      <c r="SXU14"/>
      <c r="SXY14"/>
      <c r="SYC14"/>
      <c r="SYG14"/>
      <c r="SYK14"/>
      <c r="SYO14"/>
      <c r="SYS14"/>
      <c r="SYW14"/>
      <c r="SZA14"/>
      <c r="SZE14"/>
      <c r="SZI14"/>
      <c r="SZM14"/>
      <c r="SZQ14"/>
      <c r="SZU14"/>
      <c r="SZY14"/>
      <c r="TAC14"/>
      <c r="TAG14"/>
      <c r="TAK14"/>
      <c r="TAO14"/>
      <c r="TAS14"/>
      <c r="TAW14"/>
      <c r="TBA14"/>
      <c r="TBE14"/>
      <c r="TBI14"/>
      <c r="TBM14"/>
      <c r="TBQ14"/>
      <c r="TBU14"/>
      <c r="TBY14"/>
      <c r="TCC14"/>
      <c r="TCG14"/>
      <c r="TCK14"/>
      <c r="TCO14"/>
      <c r="TCS14"/>
      <c r="TCW14"/>
      <c r="TDA14"/>
      <c r="TDE14"/>
      <c r="TDI14"/>
      <c r="TDM14"/>
      <c r="TDQ14"/>
      <c r="TDU14"/>
      <c r="TDY14"/>
      <c r="TEC14"/>
      <c r="TEG14"/>
      <c r="TEK14"/>
      <c r="TEO14"/>
      <c r="TES14"/>
      <c r="TEW14"/>
      <c r="TFA14"/>
      <c r="TFE14"/>
      <c r="TFI14"/>
      <c r="TFM14"/>
      <c r="TFQ14"/>
      <c r="TFU14"/>
      <c r="TFY14"/>
      <c r="TGC14"/>
      <c r="TGG14"/>
      <c r="TGK14"/>
      <c r="TGO14"/>
      <c r="TGS14"/>
      <c r="TGW14"/>
      <c r="THA14"/>
      <c r="THE14"/>
      <c r="THI14"/>
      <c r="THM14"/>
      <c r="THQ14"/>
      <c r="THU14"/>
      <c r="THY14"/>
      <c r="TIC14"/>
      <c r="TIG14"/>
      <c r="TIK14"/>
      <c r="TIO14"/>
      <c r="TIS14"/>
      <c r="TIW14"/>
      <c r="TJA14"/>
      <c r="TJE14"/>
      <c r="TJI14"/>
      <c r="TJM14"/>
      <c r="TJQ14"/>
      <c r="TJU14"/>
      <c r="TJY14"/>
      <c r="TKC14"/>
      <c r="TKG14"/>
      <c r="TKK14"/>
      <c r="TKO14"/>
      <c r="TKS14"/>
      <c r="TKW14"/>
      <c r="TLA14"/>
      <c r="TLE14"/>
      <c r="TLI14"/>
      <c r="TLM14"/>
      <c r="TLQ14"/>
      <c r="TLU14"/>
      <c r="TLY14"/>
      <c r="TMC14"/>
      <c r="TMG14"/>
      <c r="TMK14"/>
      <c r="TMO14"/>
      <c r="TMS14"/>
      <c r="TMW14"/>
      <c r="TNA14"/>
      <c r="TNE14"/>
      <c r="TNI14"/>
      <c r="TNM14"/>
      <c r="TNQ14"/>
      <c r="TNU14"/>
      <c r="TNY14"/>
      <c r="TOC14"/>
      <c r="TOG14"/>
      <c r="TOK14"/>
      <c r="TOO14"/>
      <c r="TOS14"/>
      <c r="TOW14"/>
      <c r="TPA14"/>
      <c r="TPE14"/>
      <c r="TPI14"/>
      <c r="TPM14"/>
      <c r="TPQ14"/>
      <c r="TPU14"/>
      <c r="TPY14"/>
      <c r="TQC14"/>
      <c r="TQG14"/>
      <c r="TQK14"/>
      <c r="TQO14"/>
      <c r="TQS14"/>
      <c r="TQW14"/>
      <c r="TRA14"/>
      <c r="TRE14"/>
      <c r="TRI14"/>
      <c r="TRM14"/>
      <c r="TRQ14"/>
      <c r="TRU14"/>
      <c r="TRY14"/>
      <c r="TSC14"/>
      <c r="TSG14"/>
      <c r="TSK14"/>
      <c r="TSO14"/>
      <c r="TSS14"/>
      <c r="TSW14"/>
      <c r="TTA14"/>
      <c r="TTE14"/>
      <c r="TTI14"/>
      <c r="TTM14"/>
      <c r="TTQ14"/>
      <c r="TTU14"/>
      <c r="TTY14"/>
      <c r="TUC14"/>
      <c r="TUG14"/>
      <c r="TUK14"/>
      <c r="TUO14"/>
      <c r="TUS14"/>
      <c r="TUW14"/>
      <c r="TVA14"/>
      <c r="TVE14"/>
      <c r="TVI14"/>
      <c r="TVM14"/>
      <c r="TVQ14"/>
      <c r="TVU14"/>
      <c r="TVY14"/>
      <c r="TWC14"/>
      <c r="TWG14"/>
      <c r="TWK14"/>
      <c r="TWO14"/>
      <c r="TWS14"/>
      <c r="TWW14"/>
      <c r="TXA14"/>
      <c r="TXE14"/>
      <c r="TXI14"/>
      <c r="TXM14"/>
      <c r="TXQ14"/>
      <c r="TXU14"/>
      <c r="TXY14"/>
      <c r="TYC14"/>
      <c r="TYG14"/>
      <c r="TYK14"/>
      <c r="TYO14"/>
      <c r="TYS14"/>
      <c r="TYW14"/>
      <c r="TZA14"/>
      <c r="TZE14"/>
      <c r="TZI14"/>
      <c r="TZM14"/>
      <c r="TZQ14"/>
      <c r="TZU14"/>
      <c r="TZY14"/>
      <c r="UAC14"/>
      <c r="UAG14"/>
      <c r="UAK14"/>
      <c r="UAO14"/>
      <c r="UAS14"/>
      <c r="UAW14"/>
      <c r="UBA14"/>
      <c r="UBE14"/>
      <c r="UBI14"/>
      <c r="UBM14"/>
      <c r="UBQ14"/>
      <c r="UBU14"/>
      <c r="UBY14"/>
      <c r="UCC14"/>
      <c r="UCG14"/>
      <c r="UCK14"/>
      <c r="UCO14"/>
      <c r="UCS14"/>
      <c r="UCW14"/>
      <c r="UDA14"/>
      <c r="UDE14"/>
      <c r="UDI14"/>
      <c r="UDM14"/>
      <c r="UDQ14"/>
      <c r="UDU14"/>
      <c r="UDY14"/>
      <c r="UEC14"/>
      <c r="UEG14"/>
      <c r="UEK14"/>
      <c r="UEO14"/>
      <c r="UES14"/>
      <c r="UEW14"/>
      <c r="UFA14"/>
      <c r="UFE14"/>
      <c r="UFI14"/>
      <c r="UFM14"/>
      <c r="UFQ14"/>
      <c r="UFU14"/>
      <c r="UFY14"/>
      <c r="UGC14"/>
      <c r="UGG14"/>
      <c r="UGK14"/>
      <c r="UGO14"/>
      <c r="UGS14"/>
      <c r="UGW14"/>
      <c r="UHA14"/>
      <c r="UHE14"/>
      <c r="UHI14"/>
      <c r="UHM14"/>
      <c r="UHQ14"/>
      <c r="UHU14"/>
      <c r="UHY14"/>
      <c r="UIC14"/>
      <c r="UIG14"/>
      <c r="UIK14"/>
      <c r="UIO14"/>
      <c r="UIS14"/>
      <c r="UIW14"/>
      <c r="UJA14"/>
      <c r="UJE14"/>
      <c r="UJI14"/>
      <c r="UJM14"/>
      <c r="UJQ14"/>
      <c r="UJU14"/>
      <c r="UJY14"/>
      <c r="UKC14"/>
      <c r="UKG14"/>
      <c r="UKK14"/>
      <c r="UKO14"/>
      <c r="UKS14"/>
      <c r="UKW14"/>
      <c r="ULA14"/>
      <c r="ULE14"/>
      <c r="ULI14"/>
      <c r="ULM14"/>
      <c r="ULQ14"/>
      <c r="ULU14"/>
      <c r="ULY14"/>
      <c r="UMC14"/>
      <c r="UMG14"/>
      <c r="UMK14"/>
      <c r="UMO14"/>
      <c r="UMS14"/>
      <c r="UMW14"/>
      <c r="UNA14"/>
      <c r="UNE14"/>
      <c r="UNI14"/>
      <c r="UNM14"/>
      <c r="UNQ14"/>
      <c r="UNU14"/>
      <c r="UNY14"/>
      <c r="UOC14"/>
      <c r="UOG14"/>
      <c r="UOK14"/>
      <c r="UOO14"/>
      <c r="UOS14"/>
      <c r="UOW14"/>
      <c r="UPA14"/>
      <c r="UPE14"/>
      <c r="UPI14"/>
      <c r="UPM14"/>
      <c r="UPQ14"/>
      <c r="UPU14"/>
      <c r="UPY14"/>
      <c r="UQC14"/>
      <c r="UQG14"/>
      <c r="UQK14"/>
      <c r="UQO14"/>
      <c r="UQS14"/>
      <c r="UQW14"/>
      <c r="URA14"/>
      <c r="URE14"/>
      <c r="URI14"/>
      <c r="URM14"/>
      <c r="URQ14"/>
      <c r="URU14"/>
      <c r="URY14"/>
      <c r="USC14"/>
      <c r="USG14"/>
      <c r="USK14"/>
      <c r="USO14"/>
      <c r="USS14"/>
      <c r="USW14"/>
      <c r="UTA14"/>
      <c r="UTE14"/>
      <c r="UTI14"/>
      <c r="UTM14"/>
      <c r="UTQ14"/>
      <c r="UTU14"/>
      <c r="UTY14"/>
      <c r="UUC14"/>
      <c r="UUG14"/>
      <c r="UUK14"/>
      <c r="UUO14"/>
      <c r="UUS14"/>
      <c r="UUW14"/>
      <c r="UVA14"/>
      <c r="UVE14"/>
      <c r="UVI14"/>
      <c r="UVM14"/>
      <c r="UVQ14"/>
      <c r="UVU14"/>
      <c r="UVY14"/>
      <c r="UWC14"/>
      <c r="UWG14"/>
      <c r="UWK14"/>
      <c r="UWO14"/>
      <c r="UWS14"/>
      <c r="UWW14"/>
      <c r="UXA14"/>
      <c r="UXE14"/>
      <c r="UXI14"/>
      <c r="UXM14"/>
      <c r="UXQ14"/>
      <c r="UXU14"/>
      <c r="UXY14"/>
      <c r="UYC14"/>
      <c r="UYG14"/>
      <c r="UYK14"/>
      <c r="UYO14"/>
      <c r="UYS14"/>
      <c r="UYW14"/>
      <c r="UZA14"/>
      <c r="UZE14"/>
      <c r="UZI14"/>
      <c r="UZM14"/>
      <c r="UZQ14"/>
      <c r="UZU14"/>
      <c r="UZY14"/>
      <c r="VAC14"/>
      <c r="VAG14"/>
      <c r="VAK14"/>
      <c r="VAO14"/>
      <c r="VAS14"/>
      <c r="VAW14"/>
      <c r="VBA14"/>
      <c r="VBE14"/>
      <c r="VBI14"/>
      <c r="VBM14"/>
      <c r="VBQ14"/>
      <c r="VBU14"/>
      <c r="VBY14"/>
      <c r="VCC14"/>
      <c r="VCG14"/>
      <c r="VCK14"/>
      <c r="VCO14"/>
      <c r="VCS14"/>
      <c r="VCW14"/>
      <c r="VDA14"/>
      <c r="VDE14"/>
      <c r="VDI14"/>
      <c r="VDM14"/>
      <c r="VDQ14"/>
      <c r="VDU14"/>
      <c r="VDY14"/>
      <c r="VEC14"/>
      <c r="VEG14"/>
      <c r="VEK14"/>
      <c r="VEO14"/>
      <c r="VES14"/>
      <c r="VEW14"/>
      <c r="VFA14"/>
      <c r="VFE14"/>
      <c r="VFI14"/>
      <c r="VFM14"/>
      <c r="VFQ14"/>
      <c r="VFU14"/>
      <c r="VFY14"/>
      <c r="VGC14"/>
      <c r="VGG14"/>
      <c r="VGK14"/>
      <c r="VGO14"/>
      <c r="VGS14"/>
      <c r="VGW14"/>
      <c r="VHA14"/>
      <c r="VHE14"/>
      <c r="VHI14"/>
      <c r="VHM14"/>
      <c r="VHQ14"/>
      <c r="VHU14"/>
      <c r="VHY14"/>
      <c r="VIC14"/>
      <c r="VIG14"/>
      <c r="VIK14"/>
      <c r="VIO14"/>
      <c r="VIS14"/>
      <c r="VIW14"/>
      <c r="VJA14"/>
      <c r="VJE14"/>
      <c r="VJI14"/>
      <c r="VJM14"/>
      <c r="VJQ14"/>
      <c r="VJU14"/>
      <c r="VJY14"/>
      <c r="VKC14"/>
      <c r="VKG14"/>
      <c r="VKK14"/>
      <c r="VKO14"/>
      <c r="VKS14"/>
      <c r="VKW14"/>
      <c r="VLA14"/>
      <c r="VLE14"/>
      <c r="VLI14"/>
      <c r="VLM14"/>
      <c r="VLQ14"/>
      <c r="VLU14"/>
      <c r="VLY14"/>
      <c r="VMC14"/>
      <c r="VMG14"/>
      <c r="VMK14"/>
      <c r="VMO14"/>
      <c r="VMS14"/>
      <c r="VMW14"/>
      <c r="VNA14"/>
      <c r="VNE14"/>
      <c r="VNI14"/>
      <c r="VNM14"/>
      <c r="VNQ14"/>
      <c r="VNU14"/>
      <c r="VNY14"/>
      <c r="VOC14"/>
      <c r="VOG14"/>
      <c r="VOK14"/>
      <c r="VOO14"/>
      <c r="VOS14"/>
      <c r="VOW14"/>
      <c r="VPA14"/>
      <c r="VPE14"/>
      <c r="VPI14"/>
      <c r="VPM14"/>
      <c r="VPQ14"/>
      <c r="VPU14"/>
      <c r="VPY14"/>
      <c r="VQC14"/>
      <c r="VQG14"/>
      <c r="VQK14"/>
      <c r="VQO14"/>
      <c r="VQS14"/>
      <c r="VQW14"/>
      <c r="VRA14"/>
      <c r="VRE14"/>
      <c r="VRI14"/>
      <c r="VRM14"/>
      <c r="VRQ14"/>
      <c r="VRU14"/>
      <c r="VRY14"/>
      <c r="VSC14"/>
      <c r="VSG14"/>
      <c r="VSK14"/>
      <c r="VSO14"/>
      <c r="VSS14"/>
      <c r="VSW14"/>
      <c r="VTA14"/>
      <c r="VTE14"/>
      <c r="VTI14"/>
      <c r="VTM14"/>
      <c r="VTQ14"/>
      <c r="VTU14"/>
      <c r="VTY14"/>
      <c r="VUC14"/>
      <c r="VUG14"/>
      <c r="VUK14"/>
      <c r="VUO14"/>
      <c r="VUS14"/>
      <c r="VUW14"/>
      <c r="VVA14"/>
      <c r="VVE14"/>
      <c r="VVI14"/>
      <c r="VVM14"/>
      <c r="VVQ14"/>
      <c r="VVU14"/>
      <c r="VVY14"/>
      <c r="VWC14"/>
      <c r="VWG14"/>
      <c r="VWK14"/>
      <c r="VWO14"/>
      <c r="VWS14"/>
      <c r="VWW14"/>
      <c r="VXA14"/>
      <c r="VXE14"/>
      <c r="VXI14"/>
      <c r="VXM14"/>
      <c r="VXQ14"/>
      <c r="VXU14"/>
      <c r="VXY14"/>
      <c r="VYC14"/>
      <c r="VYG14"/>
      <c r="VYK14"/>
      <c r="VYO14"/>
      <c r="VYS14"/>
      <c r="VYW14"/>
      <c r="VZA14"/>
      <c r="VZE14"/>
      <c r="VZI14"/>
      <c r="VZM14"/>
      <c r="VZQ14"/>
      <c r="VZU14"/>
      <c r="VZY14"/>
      <c r="WAC14"/>
      <c r="WAG14"/>
      <c r="WAK14"/>
      <c r="WAO14"/>
      <c r="WAS14"/>
      <c r="WAW14"/>
      <c r="WBA14"/>
      <c r="WBE14"/>
      <c r="WBI14"/>
      <c r="WBM14"/>
      <c r="WBQ14"/>
      <c r="WBU14"/>
      <c r="WBY14"/>
      <c r="WCC14"/>
      <c r="WCG14"/>
      <c r="WCK14"/>
      <c r="WCO14"/>
      <c r="WCS14"/>
      <c r="WCW14"/>
      <c r="WDA14"/>
      <c r="WDE14"/>
      <c r="WDI14"/>
      <c r="WDM14"/>
      <c r="WDQ14"/>
      <c r="WDU14"/>
      <c r="WDY14"/>
      <c r="WEC14"/>
      <c r="WEG14"/>
      <c r="WEK14"/>
      <c r="WEO14"/>
      <c r="WES14"/>
      <c r="WEW14"/>
      <c r="WFA14"/>
      <c r="WFE14"/>
      <c r="WFI14"/>
      <c r="WFM14"/>
      <c r="WFQ14"/>
      <c r="WFU14"/>
      <c r="WFY14"/>
      <c r="WGC14"/>
      <c r="WGG14"/>
      <c r="WGK14"/>
      <c r="WGO14"/>
      <c r="WGS14"/>
      <c r="WGW14"/>
      <c r="WHA14"/>
      <c r="WHE14"/>
      <c r="WHI14"/>
      <c r="WHM14"/>
      <c r="WHQ14"/>
      <c r="WHU14"/>
      <c r="WHY14"/>
      <c r="WIC14"/>
      <c r="WIG14"/>
      <c r="WIK14"/>
      <c r="WIO14"/>
      <c r="WIS14"/>
      <c r="WIW14"/>
      <c r="WJA14"/>
      <c r="WJE14"/>
      <c r="WJI14"/>
      <c r="WJM14"/>
      <c r="WJQ14"/>
      <c r="WJU14"/>
      <c r="WJY14"/>
      <c r="WKC14"/>
      <c r="WKG14"/>
      <c r="WKK14"/>
      <c r="WKO14"/>
      <c r="WKS14"/>
      <c r="WKW14"/>
      <c r="WLA14"/>
      <c r="WLE14"/>
      <c r="WLI14"/>
      <c r="WLM14"/>
      <c r="WLQ14"/>
      <c r="WLU14"/>
      <c r="WLY14"/>
      <c r="WMC14"/>
      <c r="WMG14"/>
      <c r="WMK14"/>
      <c r="WMO14"/>
      <c r="WMS14"/>
      <c r="WMW14"/>
      <c r="WNA14"/>
      <c r="WNE14"/>
      <c r="WNI14"/>
      <c r="WNM14"/>
      <c r="WNQ14"/>
      <c r="WNU14"/>
      <c r="WNY14"/>
      <c r="WOC14"/>
      <c r="WOG14"/>
      <c r="WOK14"/>
      <c r="WOO14"/>
      <c r="WOS14"/>
      <c r="WOW14"/>
      <c r="WPA14"/>
      <c r="WPE14"/>
      <c r="WPI14"/>
      <c r="WPM14"/>
      <c r="WPQ14"/>
      <c r="WPU14"/>
      <c r="WPY14"/>
      <c r="WQC14"/>
      <c r="WQG14"/>
      <c r="WQK14"/>
      <c r="WQO14"/>
      <c r="WQS14"/>
      <c r="WQW14"/>
      <c r="WRA14"/>
      <c r="WRE14"/>
      <c r="WRI14"/>
      <c r="WRM14"/>
      <c r="WRQ14"/>
      <c r="WRU14"/>
      <c r="WRY14"/>
      <c r="WSC14"/>
      <c r="WSG14"/>
      <c r="WSK14"/>
      <c r="WSO14"/>
      <c r="WSS14"/>
      <c r="WSW14"/>
      <c r="WTA14"/>
      <c r="WTE14"/>
      <c r="WTI14"/>
      <c r="WTM14"/>
      <c r="WTQ14"/>
      <c r="WTU14"/>
      <c r="WTY14"/>
      <c r="WUC14"/>
      <c r="WUG14"/>
      <c r="WUK14"/>
      <c r="WUO14"/>
      <c r="WUS14"/>
      <c r="WUW14"/>
      <c r="WVA14"/>
      <c r="WVE14"/>
      <c r="WVI14"/>
      <c r="WVM14"/>
      <c r="WVQ14"/>
      <c r="WVU14"/>
      <c r="WVY14"/>
      <c r="WWC14"/>
      <c r="WWG14"/>
      <c r="WWK14"/>
      <c r="WWO14"/>
      <c r="WWS14"/>
      <c r="WWW14"/>
      <c r="WXA14"/>
      <c r="WXE14"/>
      <c r="WXI14"/>
      <c r="WXM14"/>
      <c r="WXQ14"/>
      <c r="WXU14"/>
      <c r="WXY14"/>
      <c r="WYC14"/>
      <c r="WYG14"/>
      <c r="WYK14"/>
      <c r="WYO14"/>
      <c r="WYS14"/>
      <c r="WYW14"/>
      <c r="WZA14"/>
      <c r="WZE14"/>
      <c r="WZI14"/>
      <c r="WZM14"/>
      <c r="WZQ14"/>
      <c r="WZU14"/>
      <c r="WZY14"/>
      <c r="XAC14"/>
      <c r="XAG14"/>
      <c r="XAK14"/>
      <c r="XAO14"/>
      <c r="XAS14"/>
      <c r="XAW14"/>
      <c r="XBA14"/>
      <c r="XBE14"/>
      <c r="XBI14"/>
      <c r="XBM14"/>
      <c r="XBQ14"/>
      <c r="XBU14"/>
      <c r="XBY14"/>
      <c r="XCC14"/>
      <c r="XCG14"/>
      <c r="XCK14"/>
      <c r="XCO14"/>
      <c r="XCS14"/>
      <c r="XCW14"/>
      <c r="XDA14"/>
      <c r="XDE14"/>
      <c r="XDI14"/>
      <c r="XDM14"/>
      <c r="XDQ14"/>
      <c r="XDU14"/>
      <c r="XDY14"/>
      <c r="XEC14"/>
      <c r="XEG14"/>
      <c r="XEK14"/>
      <c r="XEO14"/>
      <c r="XES14"/>
      <c r="XEW14"/>
      <c r="XFA14"/>
    </row>
    <row r="15" spans="1:1021 1025:2045 2049:3069 3073:4093 4097:5117 5121:6141 6145:7165 7169:8189 8193:9213 9217:10237 10241:11261 11265:12285 12289:13309 13313:14333 14337:15357 15361:16381" s="1" customFormat="1" x14ac:dyDescent="0.35">
      <c r="A15" s="21">
        <v>1</v>
      </c>
      <c r="B15" s="21">
        <v>11</v>
      </c>
      <c r="C15" s="1" t="str">
        <f xml:space="preserve"> IF('Master Player List'!L13=1,'Master Player List'!C13,"")</f>
        <v/>
      </c>
      <c r="D15" s="1" t="str">
        <f xml:space="preserve"> IF('Master Player List'!L13=1,'Master Player List'!F13,"")</f>
        <v/>
      </c>
      <c r="E15" s="21" t="str">
        <f xml:space="preserve"> IF('Master Player List'!L13=1,'Master Player List'!I13,"")</f>
        <v/>
      </c>
      <c r="F15" s="22"/>
      <c r="I15" s="21"/>
      <c r="J15" s="22"/>
      <c r="M15"/>
      <c r="N15"/>
      <c r="Q15"/>
      <c r="U15"/>
      <c r="Y15"/>
      <c r="AC15"/>
      <c r="AG15"/>
      <c r="AK15"/>
      <c r="AO15"/>
      <c r="AS15"/>
      <c r="AW15"/>
      <c r="BA15"/>
      <c r="BE15"/>
      <c r="BI15"/>
      <c r="BM15"/>
      <c r="BQ15"/>
      <c r="BU15"/>
      <c r="BY15"/>
      <c r="CC15"/>
      <c r="CG15"/>
      <c r="CK15"/>
      <c r="CO15"/>
      <c r="CS15"/>
      <c r="CW15"/>
      <c r="DA15"/>
      <c r="DE15"/>
      <c r="DI15"/>
      <c r="DM15"/>
      <c r="DQ15"/>
      <c r="DU15"/>
      <c r="DY15"/>
      <c r="EC15"/>
      <c r="EG15"/>
      <c r="EK15"/>
      <c r="EO15"/>
      <c r="ES15"/>
      <c r="EW15"/>
      <c r="FA15"/>
      <c r="FE15"/>
      <c r="FI15"/>
      <c r="FM15"/>
      <c r="FQ15"/>
      <c r="FU15"/>
      <c r="FY15"/>
      <c r="GC15"/>
      <c r="GG15"/>
      <c r="GK15"/>
      <c r="GO15"/>
      <c r="GS15"/>
      <c r="GW15"/>
      <c r="HA15"/>
      <c r="HE15"/>
      <c r="HI15"/>
      <c r="HM15"/>
      <c r="HQ15"/>
      <c r="HU15"/>
      <c r="HY15"/>
      <c r="IC15"/>
      <c r="IG15"/>
      <c r="IK15"/>
      <c r="IO15"/>
      <c r="IS15"/>
      <c r="IW15"/>
      <c r="JA15"/>
      <c r="JE15"/>
      <c r="JI15"/>
      <c r="JM15"/>
      <c r="JQ15"/>
      <c r="JU15"/>
      <c r="JY15"/>
      <c r="KC15"/>
      <c r="KG15"/>
      <c r="KK15"/>
      <c r="KO15"/>
      <c r="KS15"/>
      <c r="KW15"/>
      <c r="LA15"/>
      <c r="LE15"/>
      <c r="LI15"/>
      <c r="LM15"/>
      <c r="LQ15"/>
      <c r="LU15"/>
      <c r="LY15"/>
      <c r="MC15"/>
      <c r="MG15"/>
      <c r="MK15"/>
      <c r="MO15"/>
      <c r="MS15"/>
      <c r="MW15"/>
      <c r="NA15"/>
      <c r="NE15"/>
      <c r="NI15"/>
      <c r="NM15"/>
      <c r="NQ15"/>
      <c r="NU15"/>
      <c r="NY15"/>
      <c r="OC15"/>
      <c r="OG15"/>
      <c r="OK15"/>
      <c r="OO15"/>
      <c r="OS15"/>
      <c r="OW15"/>
      <c r="PA15"/>
      <c r="PE15"/>
      <c r="PI15"/>
      <c r="PM15"/>
      <c r="PQ15"/>
      <c r="PU15"/>
      <c r="PY15"/>
      <c r="QC15"/>
      <c r="QG15"/>
      <c r="QK15"/>
      <c r="QO15"/>
      <c r="QS15"/>
      <c r="QW15"/>
      <c r="RA15"/>
      <c r="RE15"/>
      <c r="RI15"/>
      <c r="RM15"/>
      <c r="RQ15"/>
      <c r="RU15"/>
      <c r="RY15"/>
      <c r="SC15"/>
      <c r="SG15"/>
      <c r="SK15"/>
      <c r="SO15"/>
      <c r="SS15"/>
      <c r="SW15"/>
      <c r="TA15"/>
      <c r="TE15"/>
      <c r="TI15"/>
      <c r="TM15"/>
      <c r="TQ15"/>
      <c r="TU15"/>
      <c r="TY15"/>
      <c r="UC15"/>
      <c r="UG15"/>
      <c r="UK15"/>
      <c r="UO15"/>
      <c r="US15"/>
      <c r="UW15"/>
      <c r="VA15"/>
      <c r="VE15"/>
      <c r="VI15"/>
      <c r="VM15"/>
      <c r="VQ15"/>
      <c r="VU15"/>
      <c r="VY15"/>
      <c r="WC15"/>
      <c r="WG15"/>
      <c r="WK15"/>
      <c r="WO15"/>
      <c r="WS15"/>
      <c r="WW15"/>
      <c r="XA15"/>
      <c r="XE15"/>
      <c r="XI15"/>
      <c r="XM15"/>
      <c r="XQ15"/>
      <c r="XU15"/>
      <c r="XY15"/>
      <c r="YC15"/>
      <c r="YG15"/>
      <c r="YK15"/>
      <c r="YO15"/>
      <c r="YS15"/>
      <c r="YW15"/>
      <c r="ZA15"/>
      <c r="ZE15"/>
      <c r="ZI15"/>
      <c r="ZM15"/>
      <c r="ZQ15"/>
      <c r="ZU15"/>
      <c r="ZY15"/>
      <c r="AAC15"/>
      <c r="AAG15"/>
      <c r="AAK15"/>
      <c r="AAO15"/>
      <c r="AAS15"/>
      <c r="AAW15"/>
      <c r="ABA15"/>
      <c r="ABE15"/>
      <c r="ABI15"/>
      <c r="ABM15"/>
      <c r="ABQ15"/>
      <c r="ABU15"/>
      <c r="ABY15"/>
      <c r="ACC15"/>
      <c r="ACG15"/>
      <c r="ACK15"/>
      <c r="ACO15"/>
      <c r="ACS15"/>
      <c r="ACW15"/>
      <c r="ADA15"/>
      <c r="ADE15"/>
      <c r="ADI15"/>
      <c r="ADM15"/>
      <c r="ADQ15"/>
      <c r="ADU15"/>
      <c r="ADY15"/>
      <c r="AEC15"/>
      <c r="AEG15"/>
      <c r="AEK15"/>
      <c r="AEO15"/>
      <c r="AES15"/>
      <c r="AEW15"/>
      <c r="AFA15"/>
      <c r="AFE15"/>
      <c r="AFI15"/>
      <c r="AFM15"/>
      <c r="AFQ15"/>
      <c r="AFU15"/>
      <c r="AFY15"/>
      <c r="AGC15"/>
      <c r="AGG15"/>
      <c r="AGK15"/>
      <c r="AGO15"/>
      <c r="AGS15"/>
      <c r="AGW15"/>
      <c r="AHA15"/>
      <c r="AHE15"/>
      <c r="AHI15"/>
      <c r="AHM15"/>
      <c r="AHQ15"/>
      <c r="AHU15"/>
      <c r="AHY15"/>
      <c r="AIC15"/>
      <c r="AIG15"/>
      <c r="AIK15"/>
      <c r="AIO15"/>
      <c r="AIS15"/>
      <c r="AIW15"/>
      <c r="AJA15"/>
      <c r="AJE15"/>
      <c r="AJI15"/>
      <c r="AJM15"/>
      <c r="AJQ15"/>
      <c r="AJU15"/>
      <c r="AJY15"/>
      <c r="AKC15"/>
      <c r="AKG15"/>
      <c r="AKK15"/>
      <c r="AKO15"/>
      <c r="AKS15"/>
      <c r="AKW15"/>
      <c r="ALA15"/>
      <c r="ALE15"/>
      <c r="ALI15"/>
      <c r="ALM15"/>
      <c r="ALQ15"/>
      <c r="ALU15"/>
      <c r="ALY15"/>
      <c r="AMC15"/>
      <c r="AMG15"/>
      <c r="AMK15"/>
      <c r="AMO15"/>
      <c r="AMS15"/>
      <c r="AMW15"/>
      <c r="ANA15"/>
      <c r="ANE15"/>
      <c r="ANI15"/>
      <c r="ANM15"/>
      <c r="ANQ15"/>
      <c r="ANU15"/>
      <c r="ANY15"/>
      <c r="AOC15"/>
      <c r="AOG15"/>
      <c r="AOK15"/>
      <c r="AOO15"/>
      <c r="AOS15"/>
      <c r="AOW15"/>
      <c r="APA15"/>
      <c r="APE15"/>
      <c r="API15"/>
      <c r="APM15"/>
      <c r="APQ15"/>
      <c r="APU15"/>
      <c r="APY15"/>
      <c r="AQC15"/>
      <c r="AQG15"/>
      <c r="AQK15"/>
      <c r="AQO15"/>
      <c r="AQS15"/>
      <c r="AQW15"/>
      <c r="ARA15"/>
      <c r="ARE15"/>
      <c r="ARI15"/>
      <c r="ARM15"/>
      <c r="ARQ15"/>
      <c r="ARU15"/>
      <c r="ARY15"/>
      <c r="ASC15"/>
      <c r="ASG15"/>
      <c r="ASK15"/>
      <c r="ASO15"/>
      <c r="ASS15"/>
      <c r="ASW15"/>
      <c r="ATA15"/>
      <c r="ATE15"/>
      <c r="ATI15"/>
      <c r="ATM15"/>
      <c r="ATQ15"/>
      <c r="ATU15"/>
      <c r="ATY15"/>
      <c r="AUC15"/>
      <c r="AUG15"/>
      <c r="AUK15"/>
      <c r="AUO15"/>
      <c r="AUS15"/>
      <c r="AUW15"/>
      <c r="AVA15"/>
      <c r="AVE15"/>
      <c r="AVI15"/>
      <c r="AVM15"/>
      <c r="AVQ15"/>
      <c r="AVU15"/>
      <c r="AVY15"/>
      <c r="AWC15"/>
      <c r="AWG15"/>
      <c r="AWK15"/>
      <c r="AWO15"/>
      <c r="AWS15"/>
      <c r="AWW15"/>
      <c r="AXA15"/>
      <c r="AXE15"/>
      <c r="AXI15"/>
      <c r="AXM15"/>
      <c r="AXQ15"/>
      <c r="AXU15"/>
      <c r="AXY15"/>
      <c r="AYC15"/>
      <c r="AYG15"/>
      <c r="AYK15"/>
      <c r="AYO15"/>
      <c r="AYS15"/>
      <c r="AYW15"/>
      <c r="AZA15"/>
      <c r="AZE15"/>
      <c r="AZI15"/>
      <c r="AZM15"/>
      <c r="AZQ15"/>
      <c r="AZU15"/>
      <c r="AZY15"/>
      <c r="BAC15"/>
      <c r="BAG15"/>
      <c r="BAK15"/>
      <c r="BAO15"/>
      <c r="BAS15"/>
      <c r="BAW15"/>
      <c r="BBA15"/>
      <c r="BBE15"/>
      <c r="BBI15"/>
      <c r="BBM15"/>
      <c r="BBQ15"/>
      <c r="BBU15"/>
      <c r="BBY15"/>
      <c r="BCC15"/>
      <c r="BCG15"/>
      <c r="BCK15"/>
      <c r="BCO15"/>
      <c r="BCS15"/>
      <c r="BCW15"/>
      <c r="BDA15"/>
      <c r="BDE15"/>
      <c r="BDI15"/>
      <c r="BDM15"/>
      <c r="BDQ15"/>
      <c r="BDU15"/>
      <c r="BDY15"/>
      <c r="BEC15"/>
      <c r="BEG15"/>
      <c r="BEK15"/>
      <c r="BEO15"/>
      <c r="BES15"/>
      <c r="BEW15"/>
      <c r="BFA15"/>
      <c r="BFE15"/>
      <c r="BFI15"/>
      <c r="BFM15"/>
      <c r="BFQ15"/>
      <c r="BFU15"/>
      <c r="BFY15"/>
      <c r="BGC15"/>
      <c r="BGG15"/>
      <c r="BGK15"/>
      <c r="BGO15"/>
      <c r="BGS15"/>
      <c r="BGW15"/>
      <c r="BHA15"/>
      <c r="BHE15"/>
      <c r="BHI15"/>
      <c r="BHM15"/>
      <c r="BHQ15"/>
      <c r="BHU15"/>
      <c r="BHY15"/>
      <c r="BIC15"/>
      <c r="BIG15"/>
      <c r="BIK15"/>
      <c r="BIO15"/>
      <c r="BIS15"/>
      <c r="BIW15"/>
      <c r="BJA15"/>
      <c r="BJE15"/>
      <c r="BJI15"/>
      <c r="BJM15"/>
      <c r="BJQ15"/>
      <c r="BJU15"/>
      <c r="BJY15"/>
      <c r="BKC15"/>
      <c r="BKG15"/>
      <c r="BKK15"/>
      <c r="BKO15"/>
      <c r="BKS15"/>
      <c r="BKW15"/>
      <c r="BLA15"/>
      <c r="BLE15"/>
      <c r="BLI15"/>
      <c r="BLM15"/>
      <c r="BLQ15"/>
      <c r="BLU15"/>
      <c r="BLY15"/>
      <c r="BMC15"/>
      <c r="BMG15"/>
      <c r="BMK15"/>
      <c r="BMO15"/>
      <c r="BMS15"/>
      <c r="BMW15"/>
      <c r="BNA15"/>
      <c r="BNE15"/>
      <c r="BNI15"/>
      <c r="BNM15"/>
      <c r="BNQ15"/>
      <c r="BNU15"/>
      <c r="BNY15"/>
      <c r="BOC15"/>
      <c r="BOG15"/>
      <c r="BOK15"/>
      <c r="BOO15"/>
      <c r="BOS15"/>
      <c r="BOW15"/>
      <c r="BPA15"/>
      <c r="BPE15"/>
      <c r="BPI15"/>
      <c r="BPM15"/>
      <c r="BPQ15"/>
      <c r="BPU15"/>
      <c r="BPY15"/>
      <c r="BQC15"/>
      <c r="BQG15"/>
      <c r="BQK15"/>
      <c r="BQO15"/>
      <c r="BQS15"/>
      <c r="BQW15"/>
      <c r="BRA15"/>
      <c r="BRE15"/>
      <c r="BRI15"/>
      <c r="BRM15"/>
      <c r="BRQ15"/>
      <c r="BRU15"/>
      <c r="BRY15"/>
      <c r="BSC15"/>
      <c r="BSG15"/>
      <c r="BSK15"/>
      <c r="BSO15"/>
      <c r="BSS15"/>
      <c r="BSW15"/>
      <c r="BTA15"/>
      <c r="BTE15"/>
      <c r="BTI15"/>
      <c r="BTM15"/>
      <c r="BTQ15"/>
      <c r="BTU15"/>
      <c r="BTY15"/>
      <c r="BUC15"/>
      <c r="BUG15"/>
      <c r="BUK15"/>
      <c r="BUO15"/>
      <c r="BUS15"/>
      <c r="BUW15"/>
      <c r="BVA15"/>
      <c r="BVE15"/>
      <c r="BVI15"/>
      <c r="BVM15"/>
      <c r="BVQ15"/>
      <c r="BVU15"/>
      <c r="BVY15"/>
      <c r="BWC15"/>
      <c r="BWG15"/>
      <c r="BWK15"/>
      <c r="BWO15"/>
      <c r="BWS15"/>
      <c r="BWW15"/>
      <c r="BXA15"/>
      <c r="BXE15"/>
      <c r="BXI15"/>
      <c r="BXM15"/>
      <c r="BXQ15"/>
      <c r="BXU15"/>
      <c r="BXY15"/>
      <c r="BYC15"/>
      <c r="BYG15"/>
      <c r="BYK15"/>
      <c r="BYO15"/>
      <c r="BYS15"/>
      <c r="BYW15"/>
      <c r="BZA15"/>
      <c r="BZE15"/>
      <c r="BZI15"/>
      <c r="BZM15"/>
      <c r="BZQ15"/>
      <c r="BZU15"/>
      <c r="BZY15"/>
      <c r="CAC15"/>
      <c r="CAG15"/>
      <c r="CAK15"/>
      <c r="CAO15"/>
      <c r="CAS15"/>
      <c r="CAW15"/>
      <c r="CBA15"/>
      <c r="CBE15"/>
      <c r="CBI15"/>
      <c r="CBM15"/>
      <c r="CBQ15"/>
      <c r="CBU15"/>
      <c r="CBY15"/>
      <c r="CCC15"/>
      <c r="CCG15"/>
      <c r="CCK15"/>
      <c r="CCO15"/>
      <c r="CCS15"/>
      <c r="CCW15"/>
      <c r="CDA15"/>
      <c r="CDE15"/>
      <c r="CDI15"/>
      <c r="CDM15"/>
      <c r="CDQ15"/>
      <c r="CDU15"/>
      <c r="CDY15"/>
      <c r="CEC15"/>
      <c r="CEG15"/>
      <c r="CEK15"/>
      <c r="CEO15"/>
      <c r="CES15"/>
      <c r="CEW15"/>
      <c r="CFA15"/>
      <c r="CFE15"/>
      <c r="CFI15"/>
      <c r="CFM15"/>
      <c r="CFQ15"/>
      <c r="CFU15"/>
      <c r="CFY15"/>
      <c r="CGC15"/>
      <c r="CGG15"/>
      <c r="CGK15"/>
      <c r="CGO15"/>
      <c r="CGS15"/>
      <c r="CGW15"/>
      <c r="CHA15"/>
      <c r="CHE15"/>
      <c r="CHI15"/>
      <c r="CHM15"/>
      <c r="CHQ15"/>
      <c r="CHU15"/>
      <c r="CHY15"/>
      <c r="CIC15"/>
      <c r="CIG15"/>
      <c r="CIK15"/>
      <c r="CIO15"/>
      <c r="CIS15"/>
      <c r="CIW15"/>
      <c r="CJA15"/>
      <c r="CJE15"/>
      <c r="CJI15"/>
      <c r="CJM15"/>
      <c r="CJQ15"/>
      <c r="CJU15"/>
      <c r="CJY15"/>
      <c r="CKC15"/>
      <c r="CKG15"/>
      <c r="CKK15"/>
      <c r="CKO15"/>
      <c r="CKS15"/>
      <c r="CKW15"/>
      <c r="CLA15"/>
      <c r="CLE15"/>
      <c r="CLI15"/>
      <c r="CLM15"/>
      <c r="CLQ15"/>
      <c r="CLU15"/>
      <c r="CLY15"/>
      <c r="CMC15"/>
      <c r="CMG15"/>
      <c r="CMK15"/>
      <c r="CMO15"/>
      <c r="CMS15"/>
      <c r="CMW15"/>
      <c r="CNA15"/>
      <c r="CNE15"/>
      <c r="CNI15"/>
      <c r="CNM15"/>
      <c r="CNQ15"/>
      <c r="CNU15"/>
      <c r="CNY15"/>
      <c r="COC15"/>
      <c r="COG15"/>
      <c r="COK15"/>
      <c r="COO15"/>
      <c r="COS15"/>
      <c r="COW15"/>
      <c r="CPA15"/>
      <c r="CPE15"/>
      <c r="CPI15"/>
      <c r="CPM15"/>
      <c r="CPQ15"/>
      <c r="CPU15"/>
      <c r="CPY15"/>
      <c r="CQC15"/>
      <c r="CQG15"/>
      <c r="CQK15"/>
      <c r="CQO15"/>
      <c r="CQS15"/>
      <c r="CQW15"/>
      <c r="CRA15"/>
      <c r="CRE15"/>
      <c r="CRI15"/>
      <c r="CRM15"/>
      <c r="CRQ15"/>
      <c r="CRU15"/>
      <c r="CRY15"/>
      <c r="CSC15"/>
      <c r="CSG15"/>
      <c r="CSK15"/>
      <c r="CSO15"/>
      <c r="CSS15"/>
      <c r="CSW15"/>
      <c r="CTA15"/>
      <c r="CTE15"/>
      <c r="CTI15"/>
      <c r="CTM15"/>
      <c r="CTQ15"/>
      <c r="CTU15"/>
      <c r="CTY15"/>
      <c r="CUC15"/>
      <c r="CUG15"/>
      <c r="CUK15"/>
      <c r="CUO15"/>
      <c r="CUS15"/>
      <c r="CUW15"/>
      <c r="CVA15"/>
      <c r="CVE15"/>
      <c r="CVI15"/>
      <c r="CVM15"/>
      <c r="CVQ15"/>
      <c r="CVU15"/>
      <c r="CVY15"/>
      <c r="CWC15"/>
      <c r="CWG15"/>
      <c r="CWK15"/>
      <c r="CWO15"/>
      <c r="CWS15"/>
      <c r="CWW15"/>
      <c r="CXA15"/>
      <c r="CXE15"/>
      <c r="CXI15"/>
      <c r="CXM15"/>
      <c r="CXQ15"/>
      <c r="CXU15"/>
      <c r="CXY15"/>
      <c r="CYC15"/>
      <c r="CYG15"/>
      <c r="CYK15"/>
      <c r="CYO15"/>
      <c r="CYS15"/>
      <c r="CYW15"/>
      <c r="CZA15"/>
      <c r="CZE15"/>
      <c r="CZI15"/>
      <c r="CZM15"/>
      <c r="CZQ15"/>
      <c r="CZU15"/>
      <c r="CZY15"/>
      <c r="DAC15"/>
      <c r="DAG15"/>
      <c r="DAK15"/>
      <c r="DAO15"/>
      <c r="DAS15"/>
      <c r="DAW15"/>
      <c r="DBA15"/>
      <c r="DBE15"/>
      <c r="DBI15"/>
      <c r="DBM15"/>
      <c r="DBQ15"/>
      <c r="DBU15"/>
      <c r="DBY15"/>
      <c r="DCC15"/>
      <c r="DCG15"/>
      <c r="DCK15"/>
      <c r="DCO15"/>
      <c r="DCS15"/>
      <c r="DCW15"/>
      <c r="DDA15"/>
      <c r="DDE15"/>
      <c r="DDI15"/>
      <c r="DDM15"/>
      <c r="DDQ15"/>
      <c r="DDU15"/>
      <c r="DDY15"/>
      <c r="DEC15"/>
      <c r="DEG15"/>
      <c r="DEK15"/>
      <c r="DEO15"/>
      <c r="DES15"/>
      <c r="DEW15"/>
      <c r="DFA15"/>
      <c r="DFE15"/>
      <c r="DFI15"/>
      <c r="DFM15"/>
      <c r="DFQ15"/>
      <c r="DFU15"/>
      <c r="DFY15"/>
      <c r="DGC15"/>
      <c r="DGG15"/>
      <c r="DGK15"/>
      <c r="DGO15"/>
      <c r="DGS15"/>
      <c r="DGW15"/>
      <c r="DHA15"/>
      <c r="DHE15"/>
      <c r="DHI15"/>
      <c r="DHM15"/>
      <c r="DHQ15"/>
      <c r="DHU15"/>
      <c r="DHY15"/>
      <c r="DIC15"/>
      <c r="DIG15"/>
      <c r="DIK15"/>
      <c r="DIO15"/>
      <c r="DIS15"/>
      <c r="DIW15"/>
      <c r="DJA15"/>
      <c r="DJE15"/>
      <c r="DJI15"/>
      <c r="DJM15"/>
      <c r="DJQ15"/>
      <c r="DJU15"/>
      <c r="DJY15"/>
      <c r="DKC15"/>
      <c r="DKG15"/>
      <c r="DKK15"/>
      <c r="DKO15"/>
      <c r="DKS15"/>
      <c r="DKW15"/>
      <c r="DLA15"/>
      <c r="DLE15"/>
      <c r="DLI15"/>
      <c r="DLM15"/>
      <c r="DLQ15"/>
      <c r="DLU15"/>
      <c r="DLY15"/>
      <c r="DMC15"/>
      <c r="DMG15"/>
      <c r="DMK15"/>
      <c r="DMO15"/>
      <c r="DMS15"/>
      <c r="DMW15"/>
      <c r="DNA15"/>
      <c r="DNE15"/>
      <c r="DNI15"/>
      <c r="DNM15"/>
      <c r="DNQ15"/>
      <c r="DNU15"/>
      <c r="DNY15"/>
      <c r="DOC15"/>
      <c r="DOG15"/>
      <c r="DOK15"/>
      <c r="DOO15"/>
      <c r="DOS15"/>
      <c r="DOW15"/>
      <c r="DPA15"/>
      <c r="DPE15"/>
      <c r="DPI15"/>
      <c r="DPM15"/>
      <c r="DPQ15"/>
      <c r="DPU15"/>
      <c r="DPY15"/>
      <c r="DQC15"/>
      <c r="DQG15"/>
      <c r="DQK15"/>
      <c r="DQO15"/>
      <c r="DQS15"/>
      <c r="DQW15"/>
      <c r="DRA15"/>
      <c r="DRE15"/>
      <c r="DRI15"/>
      <c r="DRM15"/>
      <c r="DRQ15"/>
      <c r="DRU15"/>
      <c r="DRY15"/>
      <c r="DSC15"/>
      <c r="DSG15"/>
      <c r="DSK15"/>
      <c r="DSO15"/>
      <c r="DSS15"/>
      <c r="DSW15"/>
      <c r="DTA15"/>
      <c r="DTE15"/>
      <c r="DTI15"/>
      <c r="DTM15"/>
      <c r="DTQ15"/>
      <c r="DTU15"/>
      <c r="DTY15"/>
      <c r="DUC15"/>
      <c r="DUG15"/>
      <c r="DUK15"/>
      <c r="DUO15"/>
      <c r="DUS15"/>
      <c r="DUW15"/>
      <c r="DVA15"/>
      <c r="DVE15"/>
      <c r="DVI15"/>
      <c r="DVM15"/>
      <c r="DVQ15"/>
      <c r="DVU15"/>
      <c r="DVY15"/>
      <c r="DWC15"/>
      <c r="DWG15"/>
      <c r="DWK15"/>
      <c r="DWO15"/>
      <c r="DWS15"/>
      <c r="DWW15"/>
      <c r="DXA15"/>
      <c r="DXE15"/>
      <c r="DXI15"/>
      <c r="DXM15"/>
      <c r="DXQ15"/>
      <c r="DXU15"/>
      <c r="DXY15"/>
      <c r="DYC15"/>
      <c r="DYG15"/>
      <c r="DYK15"/>
      <c r="DYO15"/>
      <c r="DYS15"/>
      <c r="DYW15"/>
      <c r="DZA15"/>
      <c r="DZE15"/>
      <c r="DZI15"/>
      <c r="DZM15"/>
      <c r="DZQ15"/>
      <c r="DZU15"/>
      <c r="DZY15"/>
      <c r="EAC15"/>
      <c r="EAG15"/>
      <c r="EAK15"/>
      <c r="EAO15"/>
      <c r="EAS15"/>
      <c r="EAW15"/>
      <c r="EBA15"/>
      <c r="EBE15"/>
      <c r="EBI15"/>
      <c r="EBM15"/>
      <c r="EBQ15"/>
      <c r="EBU15"/>
      <c r="EBY15"/>
      <c r="ECC15"/>
      <c r="ECG15"/>
      <c r="ECK15"/>
      <c r="ECO15"/>
      <c r="ECS15"/>
      <c r="ECW15"/>
      <c r="EDA15"/>
      <c r="EDE15"/>
      <c r="EDI15"/>
      <c r="EDM15"/>
      <c r="EDQ15"/>
      <c r="EDU15"/>
      <c r="EDY15"/>
      <c r="EEC15"/>
      <c r="EEG15"/>
      <c r="EEK15"/>
      <c r="EEO15"/>
      <c r="EES15"/>
      <c r="EEW15"/>
      <c r="EFA15"/>
      <c r="EFE15"/>
      <c r="EFI15"/>
      <c r="EFM15"/>
      <c r="EFQ15"/>
      <c r="EFU15"/>
      <c r="EFY15"/>
      <c r="EGC15"/>
      <c r="EGG15"/>
      <c r="EGK15"/>
      <c r="EGO15"/>
      <c r="EGS15"/>
      <c r="EGW15"/>
      <c r="EHA15"/>
      <c r="EHE15"/>
      <c r="EHI15"/>
      <c r="EHM15"/>
      <c r="EHQ15"/>
      <c r="EHU15"/>
      <c r="EHY15"/>
      <c r="EIC15"/>
      <c r="EIG15"/>
      <c r="EIK15"/>
      <c r="EIO15"/>
      <c r="EIS15"/>
      <c r="EIW15"/>
      <c r="EJA15"/>
      <c r="EJE15"/>
      <c r="EJI15"/>
      <c r="EJM15"/>
      <c r="EJQ15"/>
      <c r="EJU15"/>
      <c r="EJY15"/>
      <c r="EKC15"/>
      <c r="EKG15"/>
      <c r="EKK15"/>
      <c r="EKO15"/>
      <c r="EKS15"/>
      <c r="EKW15"/>
      <c r="ELA15"/>
      <c r="ELE15"/>
      <c r="ELI15"/>
      <c r="ELM15"/>
      <c r="ELQ15"/>
      <c r="ELU15"/>
      <c r="ELY15"/>
      <c r="EMC15"/>
      <c r="EMG15"/>
      <c r="EMK15"/>
      <c r="EMO15"/>
      <c r="EMS15"/>
      <c r="EMW15"/>
      <c r="ENA15"/>
      <c r="ENE15"/>
      <c r="ENI15"/>
      <c r="ENM15"/>
      <c r="ENQ15"/>
      <c r="ENU15"/>
      <c r="ENY15"/>
      <c r="EOC15"/>
      <c r="EOG15"/>
      <c r="EOK15"/>
      <c r="EOO15"/>
      <c r="EOS15"/>
      <c r="EOW15"/>
      <c r="EPA15"/>
      <c r="EPE15"/>
      <c r="EPI15"/>
      <c r="EPM15"/>
      <c r="EPQ15"/>
      <c r="EPU15"/>
      <c r="EPY15"/>
      <c r="EQC15"/>
      <c r="EQG15"/>
      <c r="EQK15"/>
      <c r="EQO15"/>
      <c r="EQS15"/>
      <c r="EQW15"/>
      <c r="ERA15"/>
      <c r="ERE15"/>
      <c r="ERI15"/>
      <c r="ERM15"/>
      <c r="ERQ15"/>
      <c r="ERU15"/>
      <c r="ERY15"/>
      <c r="ESC15"/>
      <c r="ESG15"/>
      <c r="ESK15"/>
      <c r="ESO15"/>
      <c r="ESS15"/>
      <c r="ESW15"/>
      <c r="ETA15"/>
      <c r="ETE15"/>
      <c r="ETI15"/>
      <c r="ETM15"/>
      <c r="ETQ15"/>
      <c r="ETU15"/>
      <c r="ETY15"/>
      <c r="EUC15"/>
      <c r="EUG15"/>
      <c r="EUK15"/>
      <c r="EUO15"/>
      <c r="EUS15"/>
      <c r="EUW15"/>
      <c r="EVA15"/>
      <c r="EVE15"/>
      <c r="EVI15"/>
      <c r="EVM15"/>
      <c r="EVQ15"/>
      <c r="EVU15"/>
      <c r="EVY15"/>
      <c r="EWC15"/>
      <c r="EWG15"/>
      <c r="EWK15"/>
      <c r="EWO15"/>
      <c r="EWS15"/>
      <c r="EWW15"/>
      <c r="EXA15"/>
      <c r="EXE15"/>
      <c r="EXI15"/>
      <c r="EXM15"/>
      <c r="EXQ15"/>
      <c r="EXU15"/>
      <c r="EXY15"/>
      <c r="EYC15"/>
      <c r="EYG15"/>
      <c r="EYK15"/>
      <c r="EYO15"/>
      <c r="EYS15"/>
      <c r="EYW15"/>
      <c r="EZA15"/>
      <c r="EZE15"/>
      <c r="EZI15"/>
      <c r="EZM15"/>
      <c r="EZQ15"/>
      <c r="EZU15"/>
      <c r="EZY15"/>
      <c r="FAC15"/>
      <c r="FAG15"/>
      <c r="FAK15"/>
      <c r="FAO15"/>
      <c r="FAS15"/>
      <c r="FAW15"/>
      <c r="FBA15"/>
      <c r="FBE15"/>
      <c r="FBI15"/>
      <c r="FBM15"/>
      <c r="FBQ15"/>
      <c r="FBU15"/>
      <c r="FBY15"/>
      <c r="FCC15"/>
      <c r="FCG15"/>
      <c r="FCK15"/>
      <c r="FCO15"/>
      <c r="FCS15"/>
      <c r="FCW15"/>
      <c r="FDA15"/>
      <c r="FDE15"/>
      <c r="FDI15"/>
      <c r="FDM15"/>
      <c r="FDQ15"/>
      <c r="FDU15"/>
      <c r="FDY15"/>
      <c r="FEC15"/>
      <c r="FEG15"/>
      <c r="FEK15"/>
      <c r="FEO15"/>
      <c r="FES15"/>
      <c r="FEW15"/>
      <c r="FFA15"/>
      <c r="FFE15"/>
      <c r="FFI15"/>
      <c r="FFM15"/>
      <c r="FFQ15"/>
      <c r="FFU15"/>
      <c r="FFY15"/>
      <c r="FGC15"/>
      <c r="FGG15"/>
      <c r="FGK15"/>
      <c r="FGO15"/>
      <c r="FGS15"/>
      <c r="FGW15"/>
      <c r="FHA15"/>
      <c r="FHE15"/>
      <c r="FHI15"/>
      <c r="FHM15"/>
      <c r="FHQ15"/>
      <c r="FHU15"/>
      <c r="FHY15"/>
      <c r="FIC15"/>
      <c r="FIG15"/>
      <c r="FIK15"/>
      <c r="FIO15"/>
      <c r="FIS15"/>
      <c r="FIW15"/>
      <c r="FJA15"/>
      <c r="FJE15"/>
      <c r="FJI15"/>
      <c r="FJM15"/>
      <c r="FJQ15"/>
      <c r="FJU15"/>
      <c r="FJY15"/>
      <c r="FKC15"/>
      <c r="FKG15"/>
      <c r="FKK15"/>
      <c r="FKO15"/>
      <c r="FKS15"/>
      <c r="FKW15"/>
      <c r="FLA15"/>
      <c r="FLE15"/>
      <c r="FLI15"/>
      <c r="FLM15"/>
      <c r="FLQ15"/>
      <c r="FLU15"/>
      <c r="FLY15"/>
      <c r="FMC15"/>
      <c r="FMG15"/>
      <c r="FMK15"/>
      <c r="FMO15"/>
      <c r="FMS15"/>
      <c r="FMW15"/>
      <c r="FNA15"/>
      <c r="FNE15"/>
      <c r="FNI15"/>
      <c r="FNM15"/>
      <c r="FNQ15"/>
      <c r="FNU15"/>
      <c r="FNY15"/>
      <c r="FOC15"/>
      <c r="FOG15"/>
      <c r="FOK15"/>
      <c r="FOO15"/>
      <c r="FOS15"/>
      <c r="FOW15"/>
      <c r="FPA15"/>
      <c r="FPE15"/>
      <c r="FPI15"/>
      <c r="FPM15"/>
      <c r="FPQ15"/>
      <c r="FPU15"/>
      <c r="FPY15"/>
      <c r="FQC15"/>
      <c r="FQG15"/>
      <c r="FQK15"/>
      <c r="FQO15"/>
      <c r="FQS15"/>
      <c r="FQW15"/>
      <c r="FRA15"/>
      <c r="FRE15"/>
      <c r="FRI15"/>
      <c r="FRM15"/>
      <c r="FRQ15"/>
      <c r="FRU15"/>
      <c r="FRY15"/>
      <c r="FSC15"/>
      <c r="FSG15"/>
      <c r="FSK15"/>
      <c r="FSO15"/>
      <c r="FSS15"/>
      <c r="FSW15"/>
      <c r="FTA15"/>
      <c r="FTE15"/>
      <c r="FTI15"/>
      <c r="FTM15"/>
      <c r="FTQ15"/>
      <c r="FTU15"/>
      <c r="FTY15"/>
      <c r="FUC15"/>
      <c r="FUG15"/>
      <c r="FUK15"/>
      <c r="FUO15"/>
      <c r="FUS15"/>
      <c r="FUW15"/>
      <c r="FVA15"/>
      <c r="FVE15"/>
      <c r="FVI15"/>
      <c r="FVM15"/>
      <c r="FVQ15"/>
      <c r="FVU15"/>
      <c r="FVY15"/>
      <c r="FWC15"/>
      <c r="FWG15"/>
      <c r="FWK15"/>
      <c r="FWO15"/>
      <c r="FWS15"/>
      <c r="FWW15"/>
      <c r="FXA15"/>
      <c r="FXE15"/>
      <c r="FXI15"/>
      <c r="FXM15"/>
      <c r="FXQ15"/>
      <c r="FXU15"/>
      <c r="FXY15"/>
      <c r="FYC15"/>
      <c r="FYG15"/>
      <c r="FYK15"/>
      <c r="FYO15"/>
      <c r="FYS15"/>
      <c r="FYW15"/>
      <c r="FZA15"/>
      <c r="FZE15"/>
      <c r="FZI15"/>
      <c r="FZM15"/>
      <c r="FZQ15"/>
      <c r="FZU15"/>
      <c r="FZY15"/>
      <c r="GAC15"/>
      <c r="GAG15"/>
      <c r="GAK15"/>
      <c r="GAO15"/>
      <c r="GAS15"/>
      <c r="GAW15"/>
      <c r="GBA15"/>
      <c r="GBE15"/>
      <c r="GBI15"/>
      <c r="GBM15"/>
      <c r="GBQ15"/>
      <c r="GBU15"/>
      <c r="GBY15"/>
      <c r="GCC15"/>
      <c r="GCG15"/>
      <c r="GCK15"/>
      <c r="GCO15"/>
      <c r="GCS15"/>
      <c r="GCW15"/>
      <c r="GDA15"/>
      <c r="GDE15"/>
      <c r="GDI15"/>
      <c r="GDM15"/>
      <c r="GDQ15"/>
      <c r="GDU15"/>
      <c r="GDY15"/>
      <c r="GEC15"/>
      <c r="GEG15"/>
      <c r="GEK15"/>
      <c r="GEO15"/>
      <c r="GES15"/>
      <c r="GEW15"/>
      <c r="GFA15"/>
      <c r="GFE15"/>
      <c r="GFI15"/>
      <c r="GFM15"/>
      <c r="GFQ15"/>
      <c r="GFU15"/>
      <c r="GFY15"/>
      <c r="GGC15"/>
      <c r="GGG15"/>
      <c r="GGK15"/>
      <c r="GGO15"/>
      <c r="GGS15"/>
      <c r="GGW15"/>
      <c r="GHA15"/>
      <c r="GHE15"/>
      <c r="GHI15"/>
      <c r="GHM15"/>
      <c r="GHQ15"/>
      <c r="GHU15"/>
      <c r="GHY15"/>
      <c r="GIC15"/>
      <c r="GIG15"/>
      <c r="GIK15"/>
      <c r="GIO15"/>
      <c r="GIS15"/>
      <c r="GIW15"/>
      <c r="GJA15"/>
      <c r="GJE15"/>
      <c r="GJI15"/>
      <c r="GJM15"/>
      <c r="GJQ15"/>
      <c r="GJU15"/>
      <c r="GJY15"/>
      <c r="GKC15"/>
      <c r="GKG15"/>
      <c r="GKK15"/>
      <c r="GKO15"/>
      <c r="GKS15"/>
      <c r="GKW15"/>
      <c r="GLA15"/>
      <c r="GLE15"/>
      <c r="GLI15"/>
      <c r="GLM15"/>
      <c r="GLQ15"/>
      <c r="GLU15"/>
      <c r="GLY15"/>
      <c r="GMC15"/>
      <c r="GMG15"/>
      <c r="GMK15"/>
      <c r="GMO15"/>
      <c r="GMS15"/>
      <c r="GMW15"/>
      <c r="GNA15"/>
      <c r="GNE15"/>
      <c r="GNI15"/>
      <c r="GNM15"/>
      <c r="GNQ15"/>
      <c r="GNU15"/>
      <c r="GNY15"/>
      <c r="GOC15"/>
      <c r="GOG15"/>
      <c r="GOK15"/>
      <c r="GOO15"/>
      <c r="GOS15"/>
      <c r="GOW15"/>
      <c r="GPA15"/>
      <c r="GPE15"/>
      <c r="GPI15"/>
      <c r="GPM15"/>
      <c r="GPQ15"/>
      <c r="GPU15"/>
      <c r="GPY15"/>
      <c r="GQC15"/>
      <c r="GQG15"/>
      <c r="GQK15"/>
      <c r="GQO15"/>
      <c r="GQS15"/>
      <c r="GQW15"/>
      <c r="GRA15"/>
      <c r="GRE15"/>
      <c r="GRI15"/>
      <c r="GRM15"/>
      <c r="GRQ15"/>
      <c r="GRU15"/>
      <c r="GRY15"/>
      <c r="GSC15"/>
      <c r="GSG15"/>
      <c r="GSK15"/>
      <c r="GSO15"/>
      <c r="GSS15"/>
      <c r="GSW15"/>
      <c r="GTA15"/>
      <c r="GTE15"/>
      <c r="GTI15"/>
      <c r="GTM15"/>
      <c r="GTQ15"/>
      <c r="GTU15"/>
      <c r="GTY15"/>
      <c r="GUC15"/>
      <c r="GUG15"/>
      <c r="GUK15"/>
      <c r="GUO15"/>
      <c r="GUS15"/>
      <c r="GUW15"/>
      <c r="GVA15"/>
      <c r="GVE15"/>
      <c r="GVI15"/>
      <c r="GVM15"/>
      <c r="GVQ15"/>
      <c r="GVU15"/>
      <c r="GVY15"/>
      <c r="GWC15"/>
      <c r="GWG15"/>
      <c r="GWK15"/>
      <c r="GWO15"/>
      <c r="GWS15"/>
      <c r="GWW15"/>
      <c r="GXA15"/>
      <c r="GXE15"/>
      <c r="GXI15"/>
      <c r="GXM15"/>
      <c r="GXQ15"/>
      <c r="GXU15"/>
      <c r="GXY15"/>
      <c r="GYC15"/>
      <c r="GYG15"/>
      <c r="GYK15"/>
      <c r="GYO15"/>
      <c r="GYS15"/>
      <c r="GYW15"/>
      <c r="GZA15"/>
      <c r="GZE15"/>
      <c r="GZI15"/>
      <c r="GZM15"/>
      <c r="GZQ15"/>
      <c r="GZU15"/>
      <c r="GZY15"/>
      <c r="HAC15"/>
      <c r="HAG15"/>
      <c r="HAK15"/>
      <c r="HAO15"/>
      <c r="HAS15"/>
      <c r="HAW15"/>
      <c r="HBA15"/>
      <c r="HBE15"/>
      <c r="HBI15"/>
      <c r="HBM15"/>
      <c r="HBQ15"/>
      <c r="HBU15"/>
      <c r="HBY15"/>
      <c r="HCC15"/>
      <c r="HCG15"/>
      <c r="HCK15"/>
      <c r="HCO15"/>
      <c r="HCS15"/>
      <c r="HCW15"/>
      <c r="HDA15"/>
      <c r="HDE15"/>
      <c r="HDI15"/>
      <c r="HDM15"/>
      <c r="HDQ15"/>
      <c r="HDU15"/>
      <c r="HDY15"/>
      <c r="HEC15"/>
      <c r="HEG15"/>
      <c r="HEK15"/>
      <c r="HEO15"/>
      <c r="HES15"/>
      <c r="HEW15"/>
      <c r="HFA15"/>
      <c r="HFE15"/>
      <c r="HFI15"/>
      <c r="HFM15"/>
      <c r="HFQ15"/>
      <c r="HFU15"/>
      <c r="HFY15"/>
      <c r="HGC15"/>
      <c r="HGG15"/>
      <c r="HGK15"/>
      <c r="HGO15"/>
      <c r="HGS15"/>
      <c r="HGW15"/>
      <c r="HHA15"/>
      <c r="HHE15"/>
      <c r="HHI15"/>
      <c r="HHM15"/>
      <c r="HHQ15"/>
      <c r="HHU15"/>
      <c r="HHY15"/>
      <c r="HIC15"/>
      <c r="HIG15"/>
      <c r="HIK15"/>
      <c r="HIO15"/>
      <c r="HIS15"/>
      <c r="HIW15"/>
      <c r="HJA15"/>
      <c r="HJE15"/>
      <c r="HJI15"/>
      <c r="HJM15"/>
      <c r="HJQ15"/>
      <c r="HJU15"/>
      <c r="HJY15"/>
      <c r="HKC15"/>
      <c r="HKG15"/>
      <c r="HKK15"/>
      <c r="HKO15"/>
      <c r="HKS15"/>
      <c r="HKW15"/>
      <c r="HLA15"/>
      <c r="HLE15"/>
      <c r="HLI15"/>
      <c r="HLM15"/>
      <c r="HLQ15"/>
      <c r="HLU15"/>
      <c r="HLY15"/>
      <c r="HMC15"/>
      <c r="HMG15"/>
      <c r="HMK15"/>
      <c r="HMO15"/>
      <c r="HMS15"/>
      <c r="HMW15"/>
      <c r="HNA15"/>
      <c r="HNE15"/>
      <c r="HNI15"/>
      <c r="HNM15"/>
      <c r="HNQ15"/>
      <c r="HNU15"/>
      <c r="HNY15"/>
      <c r="HOC15"/>
      <c r="HOG15"/>
      <c r="HOK15"/>
      <c r="HOO15"/>
      <c r="HOS15"/>
      <c r="HOW15"/>
      <c r="HPA15"/>
      <c r="HPE15"/>
      <c r="HPI15"/>
      <c r="HPM15"/>
      <c r="HPQ15"/>
      <c r="HPU15"/>
      <c r="HPY15"/>
      <c r="HQC15"/>
      <c r="HQG15"/>
      <c r="HQK15"/>
      <c r="HQO15"/>
      <c r="HQS15"/>
      <c r="HQW15"/>
      <c r="HRA15"/>
      <c r="HRE15"/>
      <c r="HRI15"/>
      <c r="HRM15"/>
      <c r="HRQ15"/>
      <c r="HRU15"/>
      <c r="HRY15"/>
      <c r="HSC15"/>
      <c r="HSG15"/>
      <c r="HSK15"/>
      <c r="HSO15"/>
      <c r="HSS15"/>
      <c r="HSW15"/>
      <c r="HTA15"/>
      <c r="HTE15"/>
      <c r="HTI15"/>
      <c r="HTM15"/>
      <c r="HTQ15"/>
      <c r="HTU15"/>
      <c r="HTY15"/>
      <c r="HUC15"/>
      <c r="HUG15"/>
      <c r="HUK15"/>
      <c r="HUO15"/>
      <c r="HUS15"/>
      <c r="HUW15"/>
      <c r="HVA15"/>
      <c r="HVE15"/>
      <c r="HVI15"/>
      <c r="HVM15"/>
      <c r="HVQ15"/>
      <c r="HVU15"/>
      <c r="HVY15"/>
      <c r="HWC15"/>
      <c r="HWG15"/>
      <c r="HWK15"/>
      <c r="HWO15"/>
      <c r="HWS15"/>
      <c r="HWW15"/>
      <c r="HXA15"/>
      <c r="HXE15"/>
      <c r="HXI15"/>
      <c r="HXM15"/>
      <c r="HXQ15"/>
      <c r="HXU15"/>
      <c r="HXY15"/>
      <c r="HYC15"/>
      <c r="HYG15"/>
      <c r="HYK15"/>
      <c r="HYO15"/>
      <c r="HYS15"/>
      <c r="HYW15"/>
      <c r="HZA15"/>
      <c r="HZE15"/>
      <c r="HZI15"/>
      <c r="HZM15"/>
      <c r="HZQ15"/>
      <c r="HZU15"/>
      <c r="HZY15"/>
      <c r="IAC15"/>
      <c r="IAG15"/>
      <c r="IAK15"/>
      <c r="IAO15"/>
      <c r="IAS15"/>
      <c r="IAW15"/>
      <c r="IBA15"/>
      <c r="IBE15"/>
      <c r="IBI15"/>
      <c r="IBM15"/>
      <c r="IBQ15"/>
      <c r="IBU15"/>
      <c r="IBY15"/>
      <c r="ICC15"/>
      <c r="ICG15"/>
      <c r="ICK15"/>
      <c r="ICO15"/>
      <c r="ICS15"/>
      <c r="ICW15"/>
      <c r="IDA15"/>
      <c r="IDE15"/>
      <c r="IDI15"/>
      <c r="IDM15"/>
      <c r="IDQ15"/>
      <c r="IDU15"/>
      <c r="IDY15"/>
      <c r="IEC15"/>
      <c r="IEG15"/>
      <c r="IEK15"/>
      <c r="IEO15"/>
      <c r="IES15"/>
      <c r="IEW15"/>
      <c r="IFA15"/>
      <c r="IFE15"/>
      <c r="IFI15"/>
      <c r="IFM15"/>
      <c r="IFQ15"/>
      <c r="IFU15"/>
      <c r="IFY15"/>
      <c r="IGC15"/>
      <c r="IGG15"/>
      <c r="IGK15"/>
      <c r="IGO15"/>
      <c r="IGS15"/>
      <c r="IGW15"/>
      <c r="IHA15"/>
      <c r="IHE15"/>
      <c r="IHI15"/>
      <c r="IHM15"/>
      <c r="IHQ15"/>
      <c r="IHU15"/>
      <c r="IHY15"/>
      <c r="IIC15"/>
      <c r="IIG15"/>
      <c r="IIK15"/>
      <c r="IIO15"/>
      <c r="IIS15"/>
      <c r="IIW15"/>
      <c r="IJA15"/>
      <c r="IJE15"/>
      <c r="IJI15"/>
      <c r="IJM15"/>
      <c r="IJQ15"/>
      <c r="IJU15"/>
      <c r="IJY15"/>
      <c r="IKC15"/>
      <c r="IKG15"/>
      <c r="IKK15"/>
      <c r="IKO15"/>
      <c r="IKS15"/>
      <c r="IKW15"/>
      <c r="ILA15"/>
      <c r="ILE15"/>
      <c r="ILI15"/>
      <c r="ILM15"/>
      <c r="ILQ15"/>
      <c r="ILU15"/>
      <c r="ILY15"/>
      <c r="IMC15"/>
      <c r="IMG15"/>
      <c r="IMK15"/>
      <c r="IMO15"/>
      <c r="IMS15"/>
      <c r="IMW15"/>
      <c r="INA15"/>
      <c r="INE15"/>
      <c r="INI15"/>
      <c r="INM15"/>
      <c r="INQ15"/>
      <c r="INU15"/>
      <c r="INY15"/>
      <c r="IOC15"/>
      <c r="IOG15"/>
      <c r="IOK15"/>
      <c r="IOO15"/>
      <c r="IOS15"/>
      <c r="IOW15"/>
      <c r="IPA15"/>
      <c r="IPE15"/>
      <c r="IPI15"/>
      <c r="IPM15"/>
      <c r="IPQ15"/>
      <c r="IPU15"/>
      <c r="IPY15"/>
      <c r="IQC15"/>
      <c r="IQG15"/>
      <c r="IQK15"/>
      <c r="IQO15"/>
      <c r="IQS15"/>
      <c r="IQW15"/>
      <c r="IRA15"/>
      <c r="IRE15"/>
      <c r="IRI15"/>
      <c r="IRM15"/>
      <c r="IRQ15"/>
      <c r="IRU15"/>
      <c r="IRY15"/>
      <c r="ISC15"/>
      <c r="ISG15"/>
      <c r="ISK15"/>
      <c r="ISO15"/>
      <c r="ISS15"/>
      <c r="ISW15"/>
      <c r="ITA15"/>
      <c r="ITE15"/>
      <c r="ITI15"/>
      <c r="ITM15"/>
      <c r="ITQ15"/>
      <c r="ITU15"/>
      <c r="ITY15"/>
      <c r="IUC15"/>
      <c r="IUG15"/>
      <c r="IUK15"/>
      <c r="IUO15"/>
      <c r="IUS15"/>
      <c r="IUW15"/>
      <c r="IVA15"/>
      <c r="IVE15"/>
      <c r="IVI15"/>
      <c r="IVM15"/>
      <c r="IVQ15"/>
      <c r="IVU15"/>
      <c r="IVY15"/>
      <c r="IWC15"/>
      <c r="IWG15"/>
      <c r="IWK15"/>
      <c r="IWO15"/>
      <c r="IWS15"/>
      <c r="IWW15"/>
      <c r="IXA15"/>
      <c r="IXE15"/>
      <c r="IXI15"/>
      <c r="IXM15"/>
      <c r="IXQ15"/>
      <c r="IXU15"/>
      <c r="IXY15"/>
      <c r="IYC15"/>
      <c r="IYG15"/>
      <c r="IYK15"/>
      <c r="IYO15"/>
      <c r="IYS15"/>
      <c r="IYW15"/>
      <c r="IZA15"/>
      <c r="IZE15"/>
      <c r="IZI15"/>
      <c r="IZM15"/>
      <c r="IZQ15"/>
      <c r="IZU15"/>
      <c r="IZY15"/>
      <c r="JAC15"/>
      <c r="JAG15"/>
      <c r="JAK15"/>
      <c r="JAO15"/>
      <c r="JAS15"/>
      <c r="JAW15"/>
      <c r="JBA15"/>
      <c r="JBE15"/>
      <c r="JBI15"/>
      <c r="JBM15"/>
      <c r="JBQ15"/>
      <c r="JBU15"/>
      <c r="JBY15"/>
      <c r="JCC15"/>
      <c r="JCG15"/>
      <c r="JCK15"/>
      <c r="JCO15"/>
      <c r="JCS15"/>
      <c r="JCW15"/>
      <c r="JDA15"/>
      <c r="JDE15"/>
      <c r="JDI15"/>
      <c r="JDM15"/>
      <c r="JDQ15"/>
      <c r="JDU15"/>
      <c r="JDY15"/>
      <c r="JEC15"/>
      <c r="JEG15"/>
      <c r="JEK15"/>
      <c r="JEO15"/>
      <c r="JES15"/>
      <c r="JEW15"/>
      <c r="JFA15"/>
      <c r="JFE15"/>
      <c r="JFI15"/>
      <c r="JFM15"/>
      <c r="JFQ15"/>
      <c r="JFU15"/>
      <c r="JFY15"/>
      <c r="JGC15"/>
      <c r="JGG15"/>
      <c r="JGK15"/>
      <c r="JGO15"/>
      <c r="JGS15"/>
      <c r="JGW15"/>
      <c r="JHA15"/>
      <c r="JHE15"/>
      <c r="JHI15"/>
      <c r="JHM15"/>
      <c r="JHQ15"/>
      <c r="JHU15"/>
      <c r="JHY15"/>
      <c r="JIC15"/>
      <c r="JIG15"/>
      <c r="JIK15"/>
      <c r="JIO15"/>
      <c r="JIS15"/>
      <c r="JIW15"/>
      <c r="JJA15"/>
      <c r="JJE15"/>
      <c r="JJI15"/>
      <c r="JJM15"/>
      <c r="JJQ15"/>
      <c r="JJU15"/>
      <c r="JJY15"/>
      <c r="JKC15"/>
      <c r="JKG15"/>
      <c r="JKK15"/>
      <c r="JKO15"/>
      <c r="JKS15"/>
      <c r="JKW15"/>
      <c r="JLA15"/>
      <c r="JLE15"/>
      <c r="JLI15"/>
      <c r="JLM15"/>
      <c r="JLQ15"/>
      <c r="JLU15"/>
      <c r="JLY15"/>
      <c r="JMC15"/>
      <c r="JMG15"/>
      <c r="JMK15"/>
      <c r="JMO15"/>
      <c r="JMS15"/>
      <c r="JMW15"/>
      <c r="JNA15"/>
      <c r="JNE15"/>
      <c r="JNI15"/>
      <c r="JNM15"/>
      <c r="JNQ15"/>
      <c r="JNU15"/>
      <c r="JNY15"/>
      <c r="JOC15"/>
      <c r="JOG15"/>
      <c r="JOK15"/>
      <c r="JOO15"/>
      <c r="JOS15"/>
      <c r="JOW15"/>
      <c r="JPA15"/>
      <c r="JPE15"/>
      <c r="JPI15"/>
      <c r="JPM15"/>
      <c r="JPQ15"/>
      <c r="JPU15"/>
      <c r="JPY15"/>
      <c r="JQC15"/>
      <c r="JQG15"/>
      <c r="JQK15"/>
      <c r="JQO15"/>
      <c r="JQS15"/>
      <c r="JQW15"/>
      <c r="JRA15"/>
      <c r="JRE15"/>
      <c r="JRI15"/>
      <c r="JRM15"/>
      <c r="JRQ15"/>
      <c r="JRU15"/>
      <c r="JRY15"/>
      <c r="JSC15"/>
      <c r="JSG15"/>
      <c r="JSK15"/>
      <c r="JSO15"/>
      <c r="JSS15"/>
      <c r="JSW15"/>
      <c r="JTA15"/>
      <c r="JTE15"/>
      <c r="JTI15"/>
      <c r="JTM15"/>
      <c r="JTQ15"/>
      <c r="JTU15"/>
      <c r="JTY15"/>
      <c r="JUC15"/>
      <c r="JUG15"/>
      <c r="JUK15"/>
      <c r="JUO15"/>
      <c r="JUS15"/>
      <c r="JUW15"/>
      <c r="JVA15"/>
      <c r="JVE15"/>
      <c r="JVI15"/>
      <c r="JVM15"/>
      <c r="JVQ15"/>
      <c r="JVU15"/>
      <c r="JVY15"/>
      <c r="JWC15"/>
      <c r="JWG15"/>
      <c r="JWK15"/>
      <c r="JWO15"/>
      <c r="JWS15"/>
      <c r="JWW15"/>
      <c r="JXA15"/>
      <c r="JXE15"/>
      <c r="JXI15"/>
      <c r="JXM15"/>
      <c r="JXQ15"/>
      <c r="JXU15"/>
      <c r="JXY15"/>
      <c r="JYC15"/>
      <c r="JYG15"/>
      <c r="JYK15"/>
      <c r="JYO15"/>
      <c r="JYS15"/>
      <c r="JYW15"/>
      <c r="JZA15"/>
      <c r="JZE15"/>
      <c r="JZI15"/>
      <c r="JZM15"/>
      <c r="JZQ15"/>
      <c r="JZU15"/>
      <c r="JZY15"/>
      <c r="KAC15"/>
      <c r="KAG15"/>
      <c r="KAK15"/>
      <c r="KAO15"/>
      <c r="KAS15"/>
      <c r="KAW15"/>
      <c r="KBA15"/>
      <c r="KBE15"/>
      <c r="KBI15"/>
      <c r="KBM15"/>
      <c r="KBQ15"/>
      <c r="KBU15"/>
      <c r="KBY15"/>
      <c r="KCC15"/>
      <c r="KCG15"/>
      <c r="KCK15"/>
      <c r="KCO15"/>
      <c r="KCS15"/>
      <c r="KCW15"/>
      <c r="KDA15"/>
      <c r="KDE15"/>
      <c r="KDI15"/>
      <c r="KDM15"/>
      <c r="KDQ15"/>
      <c r="KDU15"/>
      <c r="KDY15"/>
      <c r="KEC15"/>
      <c r="KEG15"/>
      <c r="KEK15"/>
      <c r="KEO15"/>
      <c r="KES15"/>
      <c r="KEW15"/>
      <c r="KFA15"/>
      <c r="KFE15"/>
      <c r="KFI15"/>
      <c r="KFM15"/>
      <c r="KFQ15"/>
      <c r="KFU15"/>
      <c r="KFY15"/>
      <c r="KGC15"/>
      <c r="KGG15"/>
      <c r="KGK15"/>
      <c r="KGO15"/>
      <c r="KGS15"/>
      <c r="KGW15"/>
      <c r="KHA15"/>
      <c r="KHE15"/>
      <c r="KHI15"/>
      <c r="KHM15"/>
      <c r="KHQ15"/>
      <c r="KHU15"/>
      <c r="KHY15"/>
      <c r="KIC15"/>
      <c r="KIG15"/>
      <c r="KIK15"/>
      <c r="KIO15"/>
      <c r="KIS15"/>
      <c r="KIW15"/>
      <c r="KJA15"/>
      <c r="KJE15"/>
      <c r="KJI15"/>
      <c r="KJM15"/>
      <c r="KJQ15"/>
      <c r="KJU15"/>
      <c r="KJY15"/>
      <c r="KKC15"/>
      <c r="KKG15"/>
      <c r="KKK15"/>
      <c r="KKO15"/>
      <c r="KKS15"/>
      <c r="KKW15"/>
      <c r="KLA15"/>
      <c r="KLE15"/>
      <c r="KLI15"/>
      <c r="KLM15"/>
      <c r="KLQ15"/>
      <c r="KLU15"/>
      <c r="KLY15"/>
      <c r="KMC15"/>
      <c r="KMG15"/>
      <c r="KMK15"/>
      <c r="KMO15"/>
      <c r="KMS15"/>
      <c r="KMW15"/>
      <c r="KNA15"/>
      <c r="KNE15"/>
      <c r="KNI15"/>
      <c r="KNM15"/>
      <c r="KNQ15"/>
      <c r="KNU15"/>
      <c r="KNY15"/>
      <c r="KOC15"/>
      <c r="KOG15"/>
      <c r="KOK15"/>
      <c r="KOO15"/>
      <c r="KOS15"/>
      <c r="KOW15"/>
      <c r="KPA15"/>
      <c r="KPE15"/>
      <c r="KPI15"/>
      <c r="KPM15"/>
      <c r="KPQ15"/>
      <c r="KPU15"/>
      <c r="KPY15"/>
      <c r="KQC15"/>
      <c r="KQG15"/>
      <c r="KQK15"/>
      <c r="KQO15"/>
      <c r="KQS15"/>
      <c r="KQW15"/>
      <c r="KRA15"/>
      <c r="KRE15"/>
      <c r="KRI15"/>
      <c r="KRM15"/>
      <c r="KRQ15"/>
      <c r="KRU15"/>
      <c r="KRY15"/>
      <c r="KSC15"/>
      <c r="KSG15"/>
      <c r="KSK15"/>
      <c r="KSO15"/>
      <c r="KSS15"/>
      <c r="KSW15"/>
      <c r="KTA15"/>
      <c r="KTE15"/>
      <c r="KTI15"/>
      <c r="KTM15"/>
      <c r="KTQ15"/>
      <c r="KTU15"/>
      <c r="KTY15"/>
      <c r="KUC15"/>
      <c r="KUG15"/>
      <c r="KUK15"/>
      <c r="KUO15"/>
      <c r="KUS15"/>
      <c r="KUW15"/>
      <c r="KVA15"/>
      <c r="KVE15"/>
      <c r="KVI15"/>
      <c r="KVM15"/>
      <c r="KVQ15"/>
      <c r="KVU15"/>
      <c r="KVY15"/>
      <c r="KWC15"/>
      <c r="KWG15"/>
      <c r="KWK15"/>
      <c r="KWO15"/>
      <c r="KWS15"/>
      <c r="KWW15"/>
      <c r="KXA15"/>
      <c r="KXE15"/>
      <c r="KXI15"/>
      <c r="KXM15"/>
      <c r="KXQ15"/>
      <c r="KXU15"/>
      <c r="KXY15"/>
      <c r="KYC15"/>
      <c r="KYG15"/>
      <c r="KYK15"/>
      <c r="KYO15"/>
      <c r="KYS15"/>
      <c r="KYW15"/>
      <c r="KZA15"/>
      <c r="KZE15"/>
      <c r="KZI15"/>
      <c r="KZM15"/>
      <c r="KZQ15"/>
      <c r="KZU15"/>
      <c r="KZY15"/>
      <c r="LAC15"/>
      <c r="LAG15"/>
      <c r="LAK15"/>
      <c r="LAO15"/>
      <c r="LAS15"/>
      <c r="LAW15"/>
      <c r="LBA15"/>
      <c r="LBE15"/>
      <c r="LBI15"/>
      <c r="LBM15"/>
      <c r="LBQ15"/>
      <c r="LBU15"/>
      <c r="LBY15"/>
      <c r="LCC15"/>
      <c r="LCG15"/>
      <c r="LCK15"/>
      <c r="LCO15"/>
      <c r="LCS15"/>
      <c r="LCW15"/>
      <c r="LDA15"/>
      <c r="LDE15"/>
      <c r="LDI15"/>
      <c r="LDM15"/>
      <c r="LDQ15"/>
      <c r="LDU15"/>
      <c r="LDY15"/>
      <c r="LEC15"/>
      <c r="LEG15"/>
      <c r="LEK15"/>
      <c r="LEO15"/>
      <c r="LES15"/>
      <c r="LEW15"/>
      <c r="LFA15"/>
      <c r="LFE15"/>
      <c r="LFI15"/>
      <c r="LFM15"/>
      <c r="LFQ15"/>
      <c r="LFU15"/>
      <c r="LFY15"/>
      <c r="LGC15"/>
      <c r="LGG15"/>
      <c r="LGK15"/>
      <c r="LGO15"/>
      <c r="LGS15"/>
      <c r="LGW15"/>
      <c r="LHA15"/>
      <c r="LHE15"/>
      <c r="LHI15"/>
      <c r="LHM15"/>
      <c r="LHQ15"/>
      <c r="LHU15"/>
      <c r="LHY15"/>
      <c r="LIC15"/>
      <c r="LIG15"/>
      <c r="LIK15"/>
      <c r="LIO15"/>
      <c r="LIS15"/>
      <c r="LIW15"/>
      <c r="LJA15"/>
      <c r="LJE15"/>
      <c r="LJI15"/>
      <c r="LJM15"/>
      <c r="LJQ15"/>
      <c r="LJU15"/>
      <c r="LJY15"/>
      <c r="LKC15"/>
      <c r="LKG15"/>
      <c r="LKK15"/>
      <c r="LKO15"/>
      <c r="LKS15"/>
      <c r="LKW15"/>
      <c r="LLA15"/>
      <c r="LLE15"/>
      <c r="LLI15"/>
      <c r="LLM15"/>
      <c r="LLQ15"/>
      <c r="LLU15"/>
      <c r="LLY15"/>
      <c r="LMC15"/>
      <c r="LMG15"/>
      <c r="LMK15"/>
      <c r="LMO15"/>
      <c r="LMS15"/>
      <c r="LMW15"/>
      <c r="LNA15"/>
      <c r="LNE15"/>
      <c r="LNI15"/>
      <c r="LNM15"/>
      <c r="LNQ15"/>
      <c r="LNU15"/>
      <c r="LNY15"/>
      <c r="LOC15"/>
      <c r="LOG15"/>
      <c r="LOK15"/>
      <c r="LOO15"/>
      <c r="LOS15"/>
      <c r="LOW15"/>
      <c r="LPA15"/>
      <c r="LPE15"/>
      <c r="LPI15"/>
      <c r="LPM15"/>
      <c r="LPQ15"/>
      <c r="LPU15"/>
      <c r="LPY15"/>
      <c r="LQC15"/>
      <c r="LQG15"/>
      <c r="LQK15"/>
      <c r="LQO15"/>
      <c r="LQS15"/>
      <c r="LQW15"/>
      <c r="LRA15"/>
      <c r="LRE15"/>
      <c r="LRI15"/>
      <c r="LRM15"/>
      <c r="LRQ15"/>
      <c r="LRU15"/>
      <c r="LRY15"/>
      <c r="LSC15"/>
      <c r="LSG15"/>
      <c r="LSK15"/>
      <c r="LSO15"/>
      <c r="LSS15"/>
      <c r="LSW15"/>
      <c r="LTA15"/>
      <c r="LTE15"/>
      <c r="LTI15"/>
      <c r="LTM15"/>
      <c r="LTQ15"/>
      <c r="LTU15"/>
      <c r="LTY15"/>
      <c r="LUC15"/>
      <c r="LUG15"/>
      <c r="LUK15"/>
      <c r="LUO15"/>
      <c r="LUS15"/>
      <c r="LUW15"/>
      <c r="LVA15"/>
      <c r="LVE15"/>
      <c r="LVI15"/>
      <c r="LVM15"/>
      <c r="LVQ15"/>
      <c r="LVU15"/>
      <c r="LVY15"/>
      <c r="LWC15"/>
      <c r="LWG15"/>
      <c r="LWK15"/>
      <c r="LWO15"/>
      <c r="LWS15"/>
      <c r="LWW15"/>
      <c r="LXA15"/>
      <c r="LXE15"/>
      <c r="LXI15"/>
      <c r="LXM15"/>
      <c r="LXQ15"/>
      <c r="LXU15"/>
      <c r="LXY15"/>
      <c r="LYC15"/>
      <c r="LYG15"/>
      <c r="LYK15"/>
      <c r="LYO15"/>
      <c r="LYS15"/>
      <c r="LYW15"/>
      <c r="LZA15"/>
      <c r="LZE15"/>
      <c r="LZI15"/>
      <c r="LZM15"/>
      <c r="LZQ15"/>
      <c r="LZU15"/>
      <c r="LZY15"/>
      <c r="MAC15"/>
      <c r="MAG15"/>
      <c r="MAK15"/>
      <c r="MAO15"/>
      <c r="MAS15"/>
      <c r="MAW15"/>
      <c r="MBA15"/>
      <c r="MBE15"/>
      <c r="MBI15"/>
      <c r="MBM15"/>
      <c r="MBQ15"/>
      <c r="MBU15"/>
      <c r="MBY15"/>
      <c r="MCC15"/>
      <c r="MCG15"/>
      <c r="MCK15"/>
      <c r="MCO15"/>
      <c r="MCS15"/>
      <c r="MCW15"/>
      <c r="MDA15"/>
      <c r="MDE15"/>
      <c r="MDI15"/>
      <c r="MDM15"/>
      <c r="MDQ15"/>
      <c r="MDU15"/>
      <c r="MDY15"/>
      <c r="MEC15"/>
      <c r="MEG15"/>
      <c r="MEK15"/>
      <c r="MEO15"/>
      <c r="MES15"/>
      <c r="MEW15"/>
      <c r="MFA15"/>
      <c r="MFE15"/>
      <c r="MFI15"/>
      <c r="MFM15"/>
      <c r="MFQ15"/>
      <c r="MFU15"/>
      <c r="MFY15"/>
      <c r="MGC15"/>
      <c r="MGG15"/>
      <c r="MGK15"/>
      <c r="MGO15"/>
      <c r="MGS15"/>
      <c r="MGW15"/>
      <c r="MHA15"/>
      <c r="MHE15"/>
      <c r="MHI15"/>
      <c r="MHM15"/>
      <c r="MHQ15"/>
      <c r="MHU15"/>
      <c r="MHY15"/>
      <c r="MIC15"/>
      <c r="MIG15"/>
      <c r="MIK15"/>
      <c r="MIO15"/>
      <c r="MIS15"/>
      <c r="MIW15"/>
      <c r="MJA15"/>
      <c r="MJE15"/>
      <c r="MJI15"/>
      <c r="MJM15"/>
      <c r="MJQ15"/>
      <c r="MJU15"/>
      <c r="MJY15"/>
      <c r="MKC15"/>
      <c r="MKG15"/>
      <c r="MKK15"/>
      <c r="MKO15"/>
      <c r="MKS15"/>
      <c r="MKW15"/>
      <c r="MLA15"/>
      <c r="MLE15"/>
      <c r="MLI15"/>
      <c r="MLM15"/>
      <c r="MLQ15"/>
      <c r="MLU15"/>
      <c r="MLY15"/>
      <c r="MMC15"/>
      <c r="MMG15"/>
      <c r="MMK15"/>
      <c r="MMO15"/>
      <c r="MMS15"/>
      <c r="MMW15"/>
      <c r="MNA15"/>
      <c r="MNE15"/>
      <c r="MNI15"/>
      <c r="MNM15"/>
      <c r="MNQ15"/>
      <c r="MNU15"/>
      <c r="MNY15"/>
      <c r="MOC15"/>
      <c r="MOG15"/>
      <c r="MOK15"/>
      <c r="MOO15"/>
      <c r="MOS15"/>
      <c r="MOW15"/>
      <c r="MPA15"/>
      <c r="MPE15"/>
      <c r="MPI15"/>
      <c r="MPM15"/>
      <c r="MPQ15"/>
      <c r="MPU15"/>
      <c r="MPY15"/>
      <c r="MQC15"/>
      <c r="MQG15"/>
      <c r="MQK15"/>
      <c r="MQO15"/>
      <c r="MQS15"/>
      <c r="MQW15"/>
      <c r="MRA15"/>
      <c r="MRE15"/>
      <c r="MRI15"/>
      <c r="MRM15"/>
      <c r="MRQ15"/>
      <c r="MRU15"/>
      <c r="MRY15"/>
      <c r="MSC15"/>
      <c r="MSG15"/>
      <c r="MSK15"/>
      <c r="MSO15"/>
      <c r="MSS15"/>
      <c r="MSW15"/>
      <c r="MTA15"/>
      <c r="MTE15"/>
      <c r="MTI15"/>
      <c r="MTM15"/>
      <c r="MTQ15"/>
      <c r="MTU15"/>
      <c r="MTY15"/>
      <c r="MUC15"/>
      <c r="MUG15"/>
      <c r="MUK15"/>
      <c r="MUO15"/>
      <c r="MUS15"/>
      <c r="MUW15"/>
      <c r="MVA15"/>
      <c r="MVE15"/>
      <c r="MVI15"/>
      <c r="MVM15"/>
      <c r="MVQ15"/>
      <c r="MVU15"/>
      <c r="MVY15"/>
      <c r="MWC15"/>
      <c r="MWG15"/>
      <c r="MWK15"/>
      <c r="MWO15"/>
      <c r="MWS15"/>
      <c r="MWW15"/>
      <c r="MXA15"/>
      <c r="MXE15"/>
      <c r="MXI15"/>
      <c r="MXM15"/>
      <c r="MXQ15"/>
      <c r="MXU15"/>
      <c r="MXY15"/>
      <c r="MYC15"/>
      <c r="MYG15"/>
      <c r="MYK15"/>
      <c r="MYO15"/>
      <c r="MYS15"/>
      <c r="MYW15"/>
      <c r="MZA15"/>
      <c r="MZE15"/>
      <c r="MZI15"/>
      <c r="MZM15"/>
      <c r="MZQ15"/>
      <c r="MZU15"/>
      <c r="MZY15"/>
      <c r="NAC15"/>
      <c r="NAG15"/>
      <c r="NAK15"/>
      <c r="NAO15"/>
      <c r="NAS15"/>
      <c r="NAW15"/>
      <c r="NBA15"/>
      <c r="NBE15"/>
      <c r="NBI15"/>
      <c r="NBM15"/>
      <c r="NBQ15"/>
      <c r="NBU15"/>
      <c r="NBY15"/>
      <c r="NCC15"/>
      <c r="NCG15"/>
      <c r="NCK15"/>
      <c r="NCO15"/>
      <c r="NCS15"/>
      <c r="NCW15"/>
      <c r="NDA15"/>
      <c r="NDE15"/>
      <c r="NDI15"/>
      <c r="NDM15"/>
      <c r="NDQ15"/>
      <c r="NDU15"/>
      <c r="NDY15"/>
      <c r="NEC15"/>
      <c r="NEG15"/>
      <c r="NEK15"/>
      <c r="NEO15"/>
      <c r="NES15"/>
      <c r="NEW15"/>
      <c r="NFA15"/>
      <c r="NFE15"/>
      <c r="NFI15"/>
      <c r="NFM15"/>
      <c r="NFQ15"/>
      <c r="NFU15"/>
      <c r="NFY15"/>
      <c r="NGC15"/>
      <c r="NGG15"/>
      <c r="NGK15"/>
      <c r="NGO15"/>
      <c r="NGS15"/>
      <c r="NGW15"/>
      <c r="NHA15"/>
      <c r="NHE15"/>
      <c r="NHI15"/>
      <c r="NHM15"/>
      <c r="NHQ15"/>
      <c r="NHU15"/>
      <c r="NHY15"/>
      <c r="NIC15"/>
      <c r="NIG15"/>
      <c r="NIK15"/>
      <c r="NIO15"/>
      <c r="NIS15"/>
      <c r="NIW15"/>
      <c r="NJA15"/>
      <c r="NJE15"/>
      <c r="NJI15"/>
      <c r="NJM15"/>
      <c r="NJQ15"/>
      <c r="NJU15"/>
      <c r="NJY15"/>
      <c r="NKC15"/>
      <c r="NKG15"/>
      <c r="NKK15"/>
      <c r="NKO15"/>
      <c r="NKS15"/>
      <c r="NKW15"/>
      <c r="NLA15"/>
      <c r="NLE15"/>
      <c r="NLI15"/>
      <c r="NLM15"/>
      <c r="NLQ15"/>
      <c r="NLU15"/>
      <c r="NLY15"/>
      <c r="NMC15"/>
      <c r="NMG15"/>
      <c r="NMK15"/>
      <c r="NMO15"/>
      <c r="NMS15"/>
      <c r="NMW15"/>
      <c r="NNA15"/>
      <c r="NNE15"/>
      <c r="NNI15"/>
      <c r="NNM15"/>
      <c r="NNQ15"/>
      <c r="NNU15"/>
      <c r="NNY15"/>
      <c r="NOC15"/>
      <c r="NOG15"/>
      <c r="NOK15"/>
      <c r="NOO15"/>
      <c r="NOS15"/>
      <c r="NOW15"/>
      <c r="NPA15"/>
      <c r="NPE15"/>
      <c r="NPI15"/>
      <c r="NPM15"/>
      <c r="NPQ15"/>
      <c r="NPU15"/>
      <c r="NPY15"/>
      <c r="NQC15"/>
      <c r="NQG15"/>
      <c r="NQK15"/>
      <c r="NQO15"/>
      <c r="NQS15"/>
      <c r="NQW15"/>
      <c r="NRA15"/>
      <c r="NRE15"/>
      <c r="NRI15"/>
      <c r="NRM15"/>
      <c r="NRQ15"/>
      <c r="NRU15"/>
      <c r="NRY15"/>
      <c r="NSC15"/>
      <c r="NSG15"/>
      <c r="NSK15"/>
      <c r="NSO15"/>
      <c r="NSS15"/>
      <c r="NSW15"/>
      <c r="NTA15"/>
      <c r="NTE15"/>
      <c r="NTI15"/>
      <c r="NTM15"/>
      <c r="NTQ15"/>
      <c r="NTU15"/>
      <c r="NTY15"/>
      <c r="NUC15"/>
      <c r="NUG15"/>
      <c r="NUK15"/>
      <c r="NUO15"/>
      <c r="NUS15"/>
      <c r="NUW15"/>
      <c r="NVA15"/>
      <c r="NVE15"/>
      <c r="NVI15"/>
      <c r="NVM15"/>
      <c r="NVQ15"/>
      <c r="NVU15"/>
      <c r="NVY15"/>
      <c r="NWC15"/>
      <c r="NWG15"/>
      <c r="NWK15"/>
      <c r="NWO15"/>
      <c r="NWS15"/>
      <c r="NWW15"/>
      <c r="NXA15"/>
      <c r="NXE15"/>
      <c r="NXI15"/>
      <c r="NXM15"/>
      <c r="NXQ15"/>
      <c r="NXU15"/>
      <c r="NXY15"/>
      <c r="NYC15"/>
      <c r="NYG15"/>
      <c r="NYK15"/>
      <c r="NYO15"/>
      <c r="NYS15"/>
      <c r="NYW15"/>
      <c r="NZA15"/>
      <c r="NZE15"/>
      <c r="NZI15"/>
      <c r="NZM15"/>
      <c r="NZQ15"/>
      <c r="NZU15"/>
      <c r="NZY15"/>
      <c r="OAC15"/>
      <c r="OAG15"/>
      <c r="OAK15"/>
      <c r="OAO15"/>
      <c r="OAS15"/>
      <c r="OAW15"/>
      <c r="OBA15"/>
      <c r="OBE15"/>
      <c r="OBI15"/>
      <c r="OBM15"/>
      <c r="OBQ15"/>
      <c r="OBU15"/>
      <c r="OBY15"/>
      <c r="OCC15"/>
      <c r="OCG15"/>
      <c r="OCK15"/>
      <c r="OCO15"/>
      <c r="OCS15"/>
      <c r="OCW15"/>
      <c r="ODA15"/>
      <c r="ODE15"/>
      <c r="ODI15"/>
      <c r="ODM15"/>
      <c r="ODQ15"/>
      <c r="ODU15"/>
      <c r="ODY15"/>
      <c r="OEC15"/>
      <c r="OEG15"/>
      <c r="OEK15"/>
      <c r="OEO15"/>
      <c r="OES15"/>
      <c r="OEW15"/>
      <c r="OFA15"/>
      <c r="OFE15"/>
      <c r="OFI15"/>
      <c r="OFM15"/>
      <c r="OFQ15"/>
      <c r="OFU15"/>
      <c r="OFY15"/>
      <c r="OGC15"/>
      <c r="OGG15"/>
      <c r="OGK15"/>
      <c r="OGO15"/>
      <c r="OGS15"/>
      <c r="OGW15"/>
      <c r="OHA15"/>
      <c r="OHE15"/>
      <c r="OHI15"/>
      <c r="OHM15"/>
      <c r="OHQ15"/>
      <c r="OHU15"/>
      <c r="OHY15"/>
      <c r="OIC15"/>
      <c r="OIG15"/>
      <c r="OIK15"/>
      <c r="OIO15"/>
      <c r="OIS15"/>
      <c r="OIW15"/>
      <c r="OJA15"/>
      <c r="OJE15"/>
      <c r="OJI15"/>
      <c r="OJM15"/>
      <c r="OJQ15"/>
      <c r="OJU15"/>
      <c r="OJY15"/>
      <c r="OKC15"/>
      <c r="OKG15"/>
      <c r="OKK15"/>
      <c r="OKO15"/>
      <c r="OKS15"/>
      <c r="OKW15"/>
      <c r="OLA15"/>
      <c r="OLE15"/>
      <c r="OLI15"/>
      <c r="OLM15"/>
      <c r="OLQ15"/>
      <c r="OLU15"/>
      <c r="OLY15"/>
      <c r="OMC15"/>
      <c r="OMG15"/>
      <c r="OMK15"/>
      <c r="OMO15"/>
      <c r="OMS15"/>
      <c r="OMW15"/>
      <c r="ONA15"/>
      <c r="ONE15"/>
      <c r="ONI15"/>
      <c r="ONM15"/>
      <c r="ONQ15"/>
      <c r="ONU15"/>
      <c r="ONY15"/>
      <c r="OOC15"/>
      <c r="OOG15"/>
      <c r="OOK15"/>
      <c r="OOO15"/>
      <c r="OOS15"/>
      <c r="OOW15"/>
      <c r="OPA15"/>
      <c r="OPE15"/>
      <c r="OPI15"/>
      <c r="OPM15"/>
      <c r="OPQ15"/>
      <c r="OPU15"/>
      <c r="OPY15"/>
      <c r="OQC15"/>
      <c r="OQG15"/>
      <c r="OQK15"/>
      <c r="OQO15"/>
      <c r="OQS15"/>
      <c r="OQW15"/>
      <c r="ORA15"/>
      <c r="ORE15"/>
      <c r="ORI15"/>
      <c r="ORM15"/>
      <c r="ORQ15"/>
      <c r="ORU15"/>
      <c r="ORY15"/>
      <c r="OSC15"/>
      <c r="OSG15"/>
      <c r="OSK15"/>
      <c r="OSO15"/>
      <c r="OSS15"/>
      <c r="OSW15"/>
      <c r="OTA15"/>
      <c r="OTE15"/>
      <c r="OTI15"/>
      <c r="OTM15"/>
      <c r="OTQ15"/>
      <c r="OTU15"/>
      <c r="OTY15"/>
      <c r="OUC15"/>
      <c r="OUG15"/>
      <c r="OUK15"/>
      <c r="OUO15"/>
      <c r="OUS15"/>
      <c r="OUW15"/>
      <c r="OVA15"/>
      <c r="OVE15"/>
      <c r="OVI15"/>
      <c r="OVM15"/>
      <c r="OVQ15"/>
      <c r="OVU15"/>
      <c r="OVY15"/>
      <c r="OWC15"/>
      <c r="OWG15"/>
      <c r="OWK15"/>
      <c r="OWO15"/>
      <c r="OWS15"/>
      <c r="OWW15"/>
      <c r="OXA15"/>
      <c r="OXE15"/>
      <c r="OXI15"/>
      <c r="OXM15"/>
      <c r="OXQ15"/>
      <c r="OXU15"/>
      <c r="OXY15"/>
      <c r="OYC15"/>
      <c r="OYG15"/>
      <c r="OYK15"/>
      <c r="OYO15"/>
      <c r="OYS15"/>
      <c r="OYW15"/>
      <c r="OZA15"/>
      <c r="OZE15"/>
      <c r="OZI15"/>
      <c r="OZM15"/>
      <c r="OZQ15"/>
      <c r="OZU15"/>
      <c r="OZY15"/>
      <c r="PAC15"/>
      <c r="PAG15"/>
      <c r="PAK15"/>
      <c r="PAO15"/>
      <c r="PAS15"/>
      <c r="PAW15"/>
      <c r="PBA15"/>
      <c r="PBE15"/>
      <c r="PBI15"/>
      <c r="PBM15"/>
      <c r="PBQ15"/>
      <c r="PBU15"/>
      <c r="PBY15"/>
      <c r="PCC15"/>
      <c r="PCG15"/>
      <c r="PCK15"/>
      <c r="PCO15"/>
      <c r="PCS15"/>
      <c r="PCW15"/>
      <c r="PDA15"/>
      <c r="PDE15"/>
      <c r="PDI15"/>
      <c r="PDM15"/>
      <c r="PDQ15"/>
      <c r="PDU15"/>
      <c r="PDY15"/>
      <c r="PEC15"/>
      <c r="PEG15"/>
      <c r="PEK15"/>
      <c r="PEO15"/>
      <c r="PES15"/>
      <c r="PEW15"/>
      <c r="PFA15"/>
      <c r="PFE15"/>
      <c r="PFI15"/>
      <c r="PFM15"/>
      <c r="PFQ15"/>
      <c r="PFU15"/>
      <c r="PFY15"/>
      <c r="PGC15"/>
      <c r="PGG15"/>
      <c r="PGK15"/>
      <c r="PGO15"/>
      <c r="PGS15"/>
      <c r="PGW15"/>
      <c r="PHA15"/>
      <c r="PHE15"/>
      <c r="PHI15"/>
      <c r="PHM15"/>
      <c r="PHQ15"/>
      <c r="PHU15"/>
      <c r="PHY15"/>
      <c r="PIC15"/>
      <c r="PIG15"/>
      <c r="PIK15"/>
      <c r="PIO15"/>
      <c r="PIS15"/>
      <c r="PIW15"/>
      <c r="PJA15"/>
      <c r="PJE15"/>
      <c r="PJI15"/>
      <c r="PJM15"/>
      <c r="PJQ15"/>
      <c r="PJU15"/>
      <c r="PJY15"/>
      <c r="PKC15"/>
      <c r="PKG15"/>
      <c r="PKK15"/>
      <c r="PKO15"/>
      <c r="PKS15"/>
      <c r="PKW15"/>
      <c r="PLA15"/>
      <c r="PLE15"/>
      <c r="PLI15"/>
      <c r="PLM15"/>
      <c r="PLQ15"/>
      <c r="PLU15"/>
      <c r="PLY15"/>
      <c r="PMC15"/>
      <c r="PMG15"/>
      <c r="PMK15"/>
      <c r="PMO15"/>
      <c r="PMS15"/>
      <c r="PMW15"/>
      <c r="PNA15"/>
      <c r="PNE15"/>
      <c r="PNI15"/>
      <c r="PNM15"/>
      <c r="PNQ15"/>
      <c r="PNU15"/>
      <c r="PNY15"/>
      <c r="POC15"/>
      <c r="POG15"/>
      <c r="POK15"/>
      <c r="POO15"/>
      <c r="POS15"/>
      <c r="POW15"/>
      <c r="PPA15"/>
      <c r="PPE15"/>
      <c r="PPI15"/>
      <c r="PPM15"/>
      <c r="PPQ15"/>
      <c r="PPU15"/>
      <c r="PPY15"/>
      <c r="PQC15"/>
      <c r="PQG15"/>
      <c r="PQK15"/>
      <c r="PQO15"/>
      <c r="PQS15"/>
      <c r="PQW15"/>
      <c r="PRA15"/>
      <c r="PRE15"/>
      <c r="PRI15"/>
      <c r="PRM15"/>
      <c r="PRQ15"/>
      <c r="PRU15"/>
      <c r="PRY15"/>
      <c r="PSC15"/>
      <c r="PSG15"/>
      <c r="PSK15"/>
      <c r="PSO15"/>
      <c r="PSS15"/>
      <c r="PSW15"/>
      <c r="PTA15"/>
      <c r="PTE15"/>
      <c r="PTI15"/>
      <c r="PTM15"/>
      <c r="PTQ15"/>
      <c r="PTU15"/>
      <c r="PTY15"/>
      <c r="PUC15"/>
      <c r="PUG15"/>
      <c r="PUK15"/>
      <c r="PUO15"/>
      <c r="PUS15"/>
      <c r="PUW15"/>
      <c r="PVA15"/>
      <c r="PVE15"/>
      <c r="PVI15"/>
      <c r="PVM15"/>
      <c r="PVQ15"/>
      <c r="PVU15"/>
      <c r="PVY15"/>
      <c r="PWC15"/>
      <c r="PWG15"/>
      <c r="PWK15"/>
      <c r="PWO15"/>
      <c r="PWS15"/>
      <c r="PWW15"/>
      <c r="PXA15"/>
      <c r="PXE15"/>
      <c r="PXI15"/>
      <c r="PXM15"/>
      <c r="PXQ15"/>
      <c r="PXU15"/>
      <c r="PXY15"/>
      <c r="PYC15"/>
      <c r="PYG15"/>
      <c r="PYK15"/>
      <c r="PYO15"/>
      <c r="PYS15"/>
      <c r="PYW15"/>
      <c r="PZA15"/>
      <c r="PZE15"/>
      <c r="PZI15"/>
      <c r="PZM15"/>
      <c r="PZQ15"/>
      <c r="PZU15"/>
      <c r="PZY15"/>
      <c r="QAC15"/>
      <c r="QAG15"/>
      <c r="QAK15"/>
      <c r="QAO15"/>
      <c r="QAS15"/>
      <c r="QAW15"/>
      <c r="QBA15"/>
      <c r="QBE15"/>
      <c r="QBI15"/>
      <c r="QBM15"/>
      <c r="QBQ15"/>
      <c r="QBU15"/>
      <c r="QBY15"/>
      <c r="QCC15"/>
      <c r="QCG15"/>
      <c r="QCK15"/>
      <c r="QCO15"/>
      <c r="QCS15"/>
      <c r="QCW15"/>
      <c r="QDA15"/>
      <c r="QDE15"/>
      <c r="QDI15"/>
      <c r="QDM15"/>
      <c r="QDQ15"/>
      <c r="QDU15"/>
      <c r="QDY15"/>
      <c r="QEC15"/>
      <c r="QEG15"/>
      <c r="QEK15"/>
      <c r="QEO15"/>
      <c r="QES15"/>
      <c r="QEW15"/>
      <c r="QFA15"/>
      <c r="QFE15"/>
      <c r="QFI15"/>
      <c r="QFM15"/>
      <c r="QFQ15"/>
      <c r="QFU15"/>
      <c r="QFY15"/>
      <c r="QGC15"/>
      <c r="QGG15"/>
      <c r="QGK15"/>
      <c r="QGO15"/>
      <c r="QGS15"/>
      <c r="QGW15"/>
      <c r="QHA15"/>
      <c r="QHE15"/>
      <c r="QHI15"/>
      <c r="QHM15"/>
      <c r="QHQ15"/>
      <c r="QHU15"/>
      <c r="QHY15"/>
      <c r="QIC15"/>
      <c r="QIG15"/>
      <c r="QIK15"/>
      <c r="QIO15"/>
      <c r="QIS15"/>
      <c r="QIW15"/>
      <c r="QJA15"/>
      <c r="QJE15"/>
      <c r="QJI15"/>
      <c r="QJM15"/>
      <c r="QJQ15"/>
      <c r="QJU15"/>
      <c r="QJY15"/>
      <c r="QKC15"/>
      <c r="QKG15"/>
      <c r="QKK15"/>
      <c r="QKO15"/>
      <c r="QKS15"/>
      <c r="QKW15"/>
      <c r="QLA15"/>
      <c r="QLE15"/>
      <c r="QLI15"/>
      <c r="QLM15"/>
      <c r="QLQ15"/>
      <c r="QLU15"/>
      <c r="QLY15"/>
      <c r="QMC15"/>
      <c r="QMG15"/>
      <c r="QMK15"/>
      <c r="QMO15"/>
      <c r="QMS15"/>
      <c r="QMW15"/>
      <c r="QNA15"/>
      <c r="QNE15"/>
      <c r="QNI15"/>
      <c r="QNM15"/>
      <c r="QNQ15"/>
      <c r="QNU15"/>
      <c r="QNY15"/>
      <c r="QOC15"/>
      <c r="QOG15"/>
      <c r="QOK15"/>
      <c r="QOO15"/>
      <c r="QOS15"/>
      <c r="QOW15"/>
      <c r="QPA15"/>
      <c r="QPE15"/>
      <c r="QPI15"/>
      <c r="QPM15"/>
      <c r="QPQ15"/>
      <c r="QPU15"/>
      <c r="QPY15"/>
      <c r="QQC15"/>
      <c r="QQG15"/>
      <c r="QQK15"/>
      <c r="QQO15"/>
      <c r="QQS15"/>
      <c r="QQW15"/>
      <c r="QRA15"/>
      <c r="QRE15"/>
      <c r="QRI15"/>
      <c r="QRM15"/>
      <c r="QRQ15"/>
      <c r="QRU15"/>
      <c r="QRY15"/>
      <c r="QSC15"/>
      <c r="QSG15"/>
      <c r="QSK15"/>
      <c r="QSO15"/>
      <c r="QSS15"/>
      <c r="QSW15"/>
      <c r="QTA15"/>
      <c r="QTE15"/>
      <c r="QTI15"/>
      <c r="QTM15"/>
      <c r="QTQ15"/>
      <c r="QTU15"/>
      <c r="QTY15"/>
      <c r="QUC15"/>
      <c r="QUG15"/>
      <c r="QUK15"/>
      <c r="QUO15"/>
      <c r="QUS15"/>
      <c r="QUW15"/>
      <c r="QVA15"/>
      <c r="QVE15"/>
      <c r="QVI15"/>
      <c r="QVM15"/>
      <c r="QVQ15"/>
      <c r="QVU15"/>
      <c r="QVY15"/>
      <c r="QWC15"/>
      <c r="QWG15"/>
      <c r="QWK15"/>
      <c r="QWO15"/>
      <c r="QWS15"/>
      <c r="QWW15"/>
      <c r="QXA15"/>
      <c r="QXE15"/>
      <c r="QXI15"/>
      <c r="QXM15"/>
      <c r="QXQ15"/>
      <c r="QXU15"/>
      <c r="QXY15"/>
      <c r="QYC15"/>
      <c r="QYG15"/>
      <c r="QYK15"/>
      <c r="QYO15"/>
      <c r="QYS15"/>
      <c r="QYW15"/>
      <c r="QZA15"/>
      <c r="QZE15"/>
      <c r="QZI15"/>
      <c r="QZM15"/>
      <c r="QZQ15"/>
      <c r="QZU15"/>
      <c r="QZY15"/>
      <c r="RAC15"/>
      <c r="RAG15"/>
      <c r="RAK15"/>
      <c r="RAO15"/>
      <c r="RAS15"/>
      <c r="RAW15"/>
      <c r="RBA15"/>
      <c r="RBE15"/>
      <c r="RBI15"/>
      <c r="RBM15"/>
      <c r="RBQ15"/>
      <c r="RBU15"/>
      <c r="RBY15"/>
      <c r="RCC15"/>
      <c r="RCG15"/>
      <c r="RCK15"/>
      <c r="RCO15"/>
      <c r="RCS15"/>
      <c r="RCW15"/>
      <c r="RDA15"/>
      <c r="RDE15"/>
      <c r="RDI15"/>
      <c r="RDM15"/>
      <c r="RDQ15"/>
      <c r="RDU15"/>
      <c r="RDY15"/>
      <c r="REC15"/>
      <c r="REG15"/>
      <c r="REK15"/>
      <c r="REO15"/>
      <c r="RES15"/>
      <c r="REW15"/>
      <c r="RFA15"/>
      <c r="RFE15"/>
      <c r="RFI15"/>
      <c r="RFM15"/>
      <c r="RFQ15"/>
      <c r="RFU15"/>
      <c r="RFY15"/>
      <c r="RGC15"/>
      <c r="RGG15"/>
      <c r="RGK15"/>
      <c r="RGO15"/>
      <c r="RGS15"/>
      <c r="RGW15"/>
      <c r="RHA15"/>
      <c r="RHE15"/>
      <c r="RHI15"/>
      <c r="RHM15"/>
      <c r="RHQ15"/>
      <c r="RHU15"/>
      <c r="RHY15"/>
      <c r="RIC15"/>
      <c r="RIG15"/>
      <c r="RIK15"/>
      <c r="RIO15"/>
      <c r="RIS15"/>
      <c r="RIW15"/>
      <c r="RJA15"/>
      <c r="RJE15"/>
      <c r="RJI15"/>
      <c r="RJM15"/>
      <c r="RJQ15"/>
      <c r="RJU15"/>
      <c r="RJY15"/>
      <c r="RKC15"/>
      <c r="RKG15"/>
      <c r="RKK15"/>
      <c r="RKO15"/>
      <c r="RKS15"/>
      <c r="RKW15"/>
      <c r="RLA15"/>
      <c r="RLE15"/>
      <c r="RLI15"/>
      <c r="RLM15"/>
      <c r="RLQ15"/>
      <c r="RLU15"/>
      <c r="RLY15"/>
      <c r="RMC15"/>
      <c r="RMG15"/>
      <c r="RMK15"/>
      <c r="RMO15"/>
      <c r="RMS15"/>
      <c r="RMW15"/>
      <c r="RNA15"/>
      <c r="RNE15"/>
      <c r="RNI15"/>
      <c r="RNM15"/>
      <c r="RNQ15"/>
      <c r="RNU15"/>
      <c r="RNY15"/>
      <c r="ROC15"/>
      <c r="ROG15"/>
      <c r="ROK15"/>
      <c r="ROO15"/>
      <c r="ROS15"/>
      <c r="ROW15"/>
      <c r="RPA15"/>
      <c r="RPE15"/>
      <c r="RPI15"/>
      <c r="RPM15"/>
      <c r="RPQ15"/>
      <c r="RPU15"/>
      <c r="RPY15"/>
      <c r="RQC15"/>
      <c r="RQG15"/>
      <c r="RQK15"/>
      <c r="RQO15"/>
      <c r="RQS15"/>
      <c r="RQW15"/>
      <c r="RRA15"/>
      <c r="RRE15"/>
      <c r="RRI15"/>
      <c r="RRM15"/>
      <c r="RRQ15"/>
      <c r="RRU15"/>
      <c r="RRY15"/>
      <c r="RSC15"/>
      <c r="RSG15"/>
      <c r="RSK15"/>
      <c r="RSO15"/>
      <c r="RSS15"/>
      <c r="RSW15"/>
      <c r="RTA15"/>
      <c r="RTE15"/>
      <c r="RTI15"/>
      <c r="RTM15"/>
      <c r="RTQ15"/>
      <c r="RTU15"/>
      <c r="RTY15"/>
      <c r="RUC15"/>
      <c r="RUG15"/>
      <c r="RUK15"/>
      <c r="RUO15"/>
      <c r="RUS15"/>
      <c r="RUW15"/>
      <c r="RVA15"/>
      <c r="RVE15"/>
      <c r="RVI15"/>
      <c r="RVM15"/>
      <c r="RVQ15"/>
      <c r="RVU15"/>
      <c r="RVY15"/>
      <c r="RWC15"/>
      <c r="RWG15"/>
      <c r="RWK15"/>
      <c r="RWO15"/>
      <c r="RWS15"/>
      <c r="RWW15"/>
      <c r="RXA15"/>
      <c r="RXE15"/>
      <c r="RXI15"/>
      <c r="RXM15"/>
      <c r="RXQ15"/>
      <c r="RXU15"/>
      <c r="RXY15"/>
      <c r="RYC15"/>
      <c r="RYG15"/>
      <c r="RYK15"/>
      <c r="RYO15"/>
      <c r="RYS15"/>
      <c r="RYW15"/>
      <c r="RZA15"/>
      <c r="RZE15"/>
      <c r="RZI15"/>
      <c r="RZM15"/>
      <c r="RZQ15"/>
      <c r="RZU15"/>
      <c r="RZY15"/>
      <c r="SAC15"/>
      <c r="SAG15"/>
      <c r="SAK15"/>
      <c r="SAO15"/>
      <c r="SAS15"/>
      <c r="SAW15"/>
      <c r="SBA15"/>
      <c r="SBE15"/>
      <c r="SBI15"/>
      <c r="SBM15"/>
      <c r="SBQ15"/>
      <c r="SBU15"/>
      <c r="SBY15"/>
      <c r="SCC15"/>
      <c r="SCG15"/>
      <c r="SCK15"/>
      <c r="SCO15"/>
      <c r="SCS15"/>
      <c r="SCW15"/>
      <c r="SDA15"/>
      <c r="SDE15"/>
      <c r="SDI15"/>
      <c r="SDM15"/>
      <c r="SDQ15"/>
      <c r="SDU15"/>
      <c r="SDY15"/>
      <c r="SEC15"/>
      <c r="SEG15"/>
      <c r="SEK15"/>
      <c r="SEO15"/>
      <c r="SES15"/>
      <c r="SEW15"/>
      <c r="SFA15"/>
      <c r="SFE15"/>
      <c r="SFI15"/>
      <c r="SFM15"/>
      <c r="SFQ15"/>
      <c r="SFU15"/>
      <c r="SFY15"/>
      <c r="SGC15"/>
      <c r="SGG15"/>
      <c r="SGK15"/>
      <c r="SGO15"/>
      <c r="SGS15"/>
      <c r="SGW15"/>
      <c r="SHA15"/>
      <c r="SHE15"/>
      <c r="SHI15"/>
      <c r="SHM15"/>
      <c r="SHQ15"/>
      <c r="SHU15"/>
      <c r="SHY15"/>
      <c r="SIC15"/>
      <c r="SIG15"/>
      <c r="SIK15"/>
      <c r="SIO15"/>
      <c r="SIS15"/>
      <c r="SIW15"/>
      <c r="SJA15"/>
      <c r="SJE15"/>
      <c r="SJI15"/>
      <c r="SJM15"/>
      <c r="SJQ15"/>
      <c r="SJU15"/>
      <c r="SJY15"/>
      <c r="SKC15"/>
      <c r="SKG15"/>
      <c r="SKK15"/>
      <c r="SKO15"/>
      <c r="SKS15"/>
      <c r="SKW15"/>
      <c r="SLA15"/>
      <c r="SLE15"/>
      <c r="SLI15"/>
      <c r="SLM15"/>
      <c r="SLQ15"/>
      <c r="SLU15"/>
      <c r="SLY15"/>
      <c r="SMC15"/>
      <c r="SMG15"/>
      <c r="SMK15"/>
      <c r="SMO15"/>
      <c r="SMS15"/>
      <c r="SMW15"/>
      <c r="SNA15"/>
      <c r="SNE15"/>
      <c r="SNI15"/>
      <c r="SNM15"/>
      <c r="SNQ15"/>
      <c r="SNU15"/>
      <c r="SNY15"/>
      <c r="SOC15"/>
      <c r="SOG15"/>
      <c r="SOK15"/>
      <c r="SOO15"/>
      <c r="SOS15"/>
      <c r="SOW15"/>
      <c r="SPA15"/>
      <c r="SPE15"/>
      <c r="SPI15"/>
      <c r="SPM15"/>
      <c r="SPQ15"/>
      <c r="SPU15"/>
      <c r="SPY15"/>
      <c r="SQC15"/>
      <c r="SQG15"/>
      <c r="SQK15"/>
      <c r="SQO15"/>
      <c r="SQS15"/>
      <c r="SQW15"/>
      <c r="SRA15"/>
      <c r="SRE15"/>
      <c r="SRI15"/>
      <c r="SRM15"/>
      <c r="SRQ15"/>
      <c r="SRU15"/>
      <c r="SRY15"/>
      <c r="SSC15"/>
      <c r="SSG15"/>
      <c r="SSK15"/>
      <c r="SSO15"/>
      <c r="SSS15"/>
      <c r="SSW15"/>
      <c r="STA15"/>
      <c r="STE15"/>
      <c r="STI15"/>
      <c r="STM15"/>
      <c r="STQ15"/>
      <c r="STU15"/>
      <c r="STY15"/>
      <c r="SUC15"/>
      <c r="SUG15"/>
      <c r="SUK15"/>
      <c r="SUO15"/>
      <c r="SUS15"/>
      <c r="SUW15"/>
      <c r="SVA15"/>
      <c r="SVE15"/>
      <c r="SVI15"/>
      <c r="SVM15"/>
      <c r="SVQ15"/>
      <c r="SVU15"/>
      <c r="SVY15"/>
      <c r="SWC15"/>
      <c r="SWG15"/>
      <c r="SWK15"/>
      <c r="SWO15"/>
      <c r="SWS15"/>
      <c r="SWW15"/>
      <c r="SXA15"/>
      <c r="SXE15"/>
      <c r="SXI15"/>
      <c r="SXM15"/>
      <c r="SXQ15"/>
      <c r="SXU15"/>
      <c r="SXY15"/>
      <c r="SYC15"/>
      <c r="SYG15"/>
      <c r="SYK15"/>
      <c r="SYO15"/>
      <c r="SYS15"/>
      <c r="SYW15"/>
      <c r="SZA15"/>
      <c r="SZE15"/>
      <c r="SZI15"/>
      <c r="SZM15"/>
      <c r="SZQ15"/>
      <c r="SZU15"/>
      <c r="SZY15"/>
      <c r="TAC15"/>
      <c r="TAG15"/>
      <c r="TAK15"/>
      <c r="TAO15"/>
      <c r="TAS15"/>
      <c r="TAW15"/>
      <c r="TBA15"/>
      <c r="TBE15"/>
      <c r="TBI15"/>
      <c r="TBM15"/>
      <c r="TBQ15"/>
      <c r="TBU15"/>
      <c r="TBY15"/>
      <c r="TCC15"/>
      <c r="TCG15"/>
      <c r="TCK15"/>
      <c r="TCO15"/>
      <c r="TCS15"/>
      <c r="TCW15"/>
      <c r="TDA15"/>
      <c r="TDE15"/>
      <c r="TDI15"/>
      <c r="TDM15"/>
      <c r="TDQ15"/>
      <c r="TDU15"/>
      <c r="TDY15"/>
      <c r="TEC15"/>
      <c r="TEG15"/>
      <c r="TEK15"/>
      <c r="TEO15"/>
      <c r="TES15"/>
      <c r="TEW15"/>
      <c r="TFA15"/>
      <c r="TFE15"/>
      <c r="TFI15"/>
      <c r="TFM15"/>
      <c r="TFQ15"/>
      <c r="TFU15"/>
      <c r="TFY15"/>
      <c r="TGC15"/>
      <c r="TGG15"/>
      <c r="TGK15"/>
      <c r="TGO15"/>
      <c r="TGS15"/>
      <c r="TGW15"/>
      <c r="THA15"/>
      <c r="THE15"/>
      <c r="THI15"/>
      <c r="THM15"/>
      <c r="THQ15"/>
      <c r="THU15"/>
      <c r="THY15"/>
      <c r="TIC15"/>
      <c r="TIG15"/>
      <c r="TIK15"/>
      <c r="TIO15"/>
      <c r="TIS15"/>
      <c r="TIW15"/>
      <c r="TJA15"/>
      <c r="TJE15"/>
      <c r="TJI15"/>
      <c r="TJM15"/>
      <c r="TJQ15"/>
      <c r="TJU15"/>
      <c r="TJY15"/>
      <c r="TKC15"/>
      <c r="TKG15"/>
      <c r="TKK15"/>
      <c r="TKO15"/>
      <c r="TKS15"/>
      <c r="TKW15"/>
      <c r="TLA15"/>
      <c r="TLE15"/>
      <c r="TLI15"/>
      <c r="TLM15"/>
      <c r="TLQ15"/>
      <c r="TLU15"/>
      <c r="TLY15"/>
      <c r="TMC15"/>
      <c r="TMG15"/>
      <c r="TMK15"/>
      <c r="TMO15"/>
      <c r="TMS15"/>
      <c r="TMW15"/>
      <c r="TNA15"/>
      <c r="TNE15"/>
      <c r="TNI15"/>
      <c r="TNM15"/>
      <c r="TNQ15"/>
      <c r="TNU15"/>
      <c r="TNY15"/>
      <c r="TOC15"/>
      <c r="TOG15"/>
      <c r="TOK15"/>
      <c r="TOO15"/>
      <c r="TOS15"/>
      <c r="TOW15"/>
      <c r="TPA15"/>
      <c r="TPE15"/>
      <c r="TPI15"/>
      <c r="TPM15"/>
      <c r="TPQ15"/>
      <c r="TPU15"/>
      <c r="TPY15"/>
      <c r="TQC15"/>
      <c r="TQG15"/>
      <c r="TQK15"/>
      <c r="TQO15"/>
      <c r="TQS15"/>
      <c r="TQW15"/>
      <c r="TRA15"/>
      <c r="TRE15"/>
      <c r="TRI15"/>
      <c r="TRM15"/>
      <c r="TRQ15"/>
      <c r="TRU15"/>
      <c r="TRY15"/>
      <c r="TSC15"/>
      <c r="TSG15"/>
      <c r="TSK15"/>
      <c r="TSO15"/>
      <c r="TSS15"/>
      <c r="TSW15"/>
      <c r="TTA15"/>
      <c r="TTE15"/>
      <c r="TTI15"/>
      <c r="TTM15"/>
      <c r="TTQ15"/>
      <c r="TTU15"/>
      <c r="TTY15"/>
      <c r="TUC15"/>
      <c r="TUG15"/>
      <c r="TUK15"/>
      <c r="TUO15"/>
      <c r="TUS15"/>
      <c r="TUW15"/>
      <c r="TVA15"/>
      <c r="TVE15"/>
      <c r="TVI15"/>
      <c r="TVM15"/>
      <c r="TVQ15"/>
      <c r="TVU15"/>
      <c r="TVY15"/>
      <c r="TWC15"/>
      <c r="TWG15"/>
      <c r="TWK15"/>
      <c r="TWO15"/>
      <c r="TWS15"/>
      <c r="TWW15"/>
      <c r="TXA15"/>
      <c r="TXE15"/>
      <c r="TXI15"/>
      <c r="TXM15"/>
      <c r="TXQ15"/>
      <c r="TXU15"/>
      <c r="TXY15"/>
      <c r="TYC15"/>
      <c r="TYG15"/>
      <c r="TYK15"/>
      <c r="TYO15"/>
      <c r="TYS15"/>
      <c r="TYW15"/>
      <c r="TZA15"/>
      <c r="TZE15"/>
      <c r="TZI15"/>
      <c r="TZM15"/>
      <c r="TZQ15"/>
      <c r="TZU15"/>
      <c r="TZY15"/>
      <c r="UAC15"/>
      <c r="UAG15"/>
      <c r="UAK15"/>
      <c r="UAO15"/>
      <c r="UAS15"/>
      <c r="UAW15"/>
      <c r="UBA15"/>
      <c r="UBE15"/>
      <c r="UBI15"/>
      <c r="UBM15"/>
      <c r="UBQ15"/>
      <c r="UBU15"/>
      <c r="UBY15"/>
      <c r="UCC15"/>
      <c r="UCG15"/>
      <c r="UCK15"/>
      <c r="UCO15"/>
      <c r="UCS15"/>
      <c r="UCW15"/>
      <c r="UDA15"/>
      <c r="UDE15"/>
      <c r="UDI15"/>
      <c r="UDM15"/>
      <c r="UDQ15"/>
      <c r="UDU15"/>
      <c r="UDY15"/>
      <c r="UEC15"/>
      <c r="UEG15"/>
      <c r="UEK15"/>
      <c r="UEO15"/>
      <c r="UES15"/>
      <c r="UEW15"/>
      <c r="UFA15"/>
      <c r="UFE15"/>
      <c r="UFI15"/>
      <c r="UFM15"/>
      <c r="UFQ15"/>
      <c r="UFU15"/>
      <c r="UFY15"/>
      <c r="UGC15"/>
      <c r="UGG15"/>
      <c r="UGK15"/>
      <c r="UGO15"/>
      <c r="UGS15"/>
      <c r="UGW15"/>
      <c r="UHA15"/>
      <c r="UHE15"/>
      <c r="UHI15"/>
      <c r="UHM15"/>
      <c r="UHQ15"/>
      <c r="UHU15"/>
      <c r="UHY15"/>
      <c r="UIC15"/>
      <c r="UIG15"/>
      <c r="UIK15"/>
      <c r="UIO15"/>
      <c r="UIS15"/>
      <c r="UIW15"/>
      <c r="UJA15"/>
      <c r="UJE15"/>
      <c r="UJI15"/>
      <c r="UJM15"/>
      <c r="UJQ15"/>
      <c r="UJU15"/>
      <c r="UJY15"/>
      <c r="UKC15"/>
      <c r="UKG15"/>
      <c r="UKK15"/>
      <c r="UKO15"/>
      <c r="UKS15"/>
      <c r="UKW15"/>
      <c r="ULA15"/>
      <c r="ULE15"/>
      <c r="ULI15"/>
      <c r="ULM15"/>
      <c r="ULQ15"/>
      <c r="ULU15"/>
      <c r="ULY15"/>
      <c r="UMC15"/>
      <c r="UMG15"/>
      <c r="UMK15"/>
      <c r="UMO15"/>
      <c r="UMS15"/>
      <c r="UMW15"/>
      <c r="UNA15"/>
      <c r="UNE15"/>
      <c r="UNI15"/>
      <c r="UNM15"/>
      <c r="UNQ15"/>
      <c r="UNU15"/>
      <c r="UNY15"/>
      <c r="UOC15"/>
      <c r="UOG15"/>
      <c r="UOK15"/>
      <c r="UOO15"/>
      <c r="UOS15"/>
      <c r="UOW15"/>
      <c r="UPA15"/>
      <c r="UPE15"/>
      <c r="UPI15"/>
      <c r="UPM15"/>
      <c r="UPQ15"/>
      <c r="UPU15"/>
      <c r="UPY15"/>
      <c r="UQC15"/>
      <c r="UQG15"/>
      <c r="UQK15"/>
      <c r="UQO15"/>
      <c r="UQS15"/>
      <c r="UQW15"/>
      <c r="URA15"/>
      <c r="URE15"/>
      <c r="URI15"/>
      <c r="URM15"/>
      <c r="URQ15"/>
      <c r="URU15"/>
      <c r="URY15"/>
      <c r="USC15"/>
      <c r="USG15"/>
      <c r="USK15"/>
      <c r="USO15"/>
      <c r="USS15"/>
      <c r="USW15"/>
      <c r="UTA15"/>
      <c r="UTE15"/>
      <c r="UTI15"/>
      <c r="UTM15"/>
      <c r="UTQ15"/>
      <c r="UTU15"/>
      <c r="UTY15"/>
      <c r="UUC15"/>
      <c r="UUG15"/>
      <c r="UUK15"/>
      <c r="UUO15"/>
      <c r="UUS15"/>
      <c r="UUW15"/>
      <c r="UVA15"/>
      <c r="UVE15"/>
      <c r="UVI15"/>
      <c r="UVM15"/>
      <c r="UVQ15"/>
      <c r="UVU15"/>
      <c r="UVY15"/>
      <c r="UWC15"/>
      <c r="UWG15"/>
      <c r="UWK15"/>
      <c r="UWO15"/>
      <c r="UWS15"/>
      <c r="UWW15"/>
      <c r="UXA15"/>
      <c r="UXE15"/>
      <c r="UXI15"/>
      <c r="UXM15"/>
      <c r="UXQ15"/>
      <c r="UXU15"/>
      <c r="UXY15"/>
      <c r="UYC15"/>
      <c r="UYG15"/>
      <c r="UYK15"/>
      <c r="UYO15"/>
      <c r="UYS15"/>
      <c r="UYW15"/>
      <c r="UZA15"/>
      <c r="UZE15"/>
      <c r="UZI15"/>
      <c r="UZM15"/>
      <c r="UZQ15"/>
      <c r="UZU15"/>
      <c r="UZY15"/>
      <c r="VAC15"/>
      <c r="VAG15"/>
      <c r="VAK15"/>
      <c r="VAO15"/>
      <c r="VAS15"/>
      <c r="VAW15"/>
      <c r="VBA15"/>
      <c r="VBE15"/>
      <c r="VBI15"/>
      <c r="VBM15"/>
      <c r="VBQ15"/>
      <c r="VBU15"/>
      <c r="VBY15"/>
      <c r="VCC15"/>
      <c r="VCG15"/>
      <c r="VCK15"/>
      <c r="VCO15"/>
      <c r="VCS15"/>
      <c r="VCW15"/>
      <c r="VDA15"/>
      <c r="VDE15"/>
      <c r="VDI15"/>
      <c r="VDM15"/>
      <c r="VDQ15"/>
      <c r="VDU15"/>
      <c r="VDY15"/>
      <c r="VEC15"/>
      <c r="VEG15"/>
      <c r="VEK15"/>
      <c r="VEO15"/>
      <c r="VES15"/>
      <c r="VEW15"/>
      <c r="VFA15"/>
      <c r="VFE15"/>
      <c r="VFI15"/>
      <c r="VFM15"/>
      <c r="VFQ15"/>
      <c r="VFU15"/>
      <c r="VFY15"/>
      <c r="VGC15"/>
      <c r="VGG15"/>
      <c r="VGK15"/>
      <c r="VGO15"/>
      <c r="VGS15"/>
      <c r="VGW15"/>
      <c r="VHA15"/>
      <c r="VHE15"/>
      <c r="VHI15"/>
      <c r="VHM15"/>
      <c r="VHQ15"/>
      <c r="VHU15"/>
      <c r="VHY15"/>
      <c r="VIC15"/>
      <c r="VIG15"/>
      <c r="VIK15"/>
      <c r="VIO15"/>
      <c r="VIS15"/>
      <c r="VIW15"/>
      <c r="VJA15"/>
      <c r="VJE15"/>
      <c r="VJI15"/>
      <c r="VJM15"/>
      <c r="VJQ15"/>
      <c r="VJU15"/>
      <c r="VJY15"/>
      <c r="VKC15"/>
      <c r="VKG15"/>
      <c r="VKK15"/>
      <c r="VKO15"/>
      <c r="VKS15"/>
      <c r="VKW15"/>
      <c r="VLA15"/>
      <c r="VLE15"/>
      <c r="VLI15"/>
      <c r="VLM15"/>
      <c r="VLQ15"/>
      <c r="VLU15"/>
      <c r="VLY15"/>
      <c r="VMC15"/>
      <c r="VMG15"/>
      <c r="VMK15"/>
      <c r="VMO15"/>
      <c r="VMS15"/>
      <c r="VMW15"/>
      <c r="VNA15"/>
      <c r="VNE15"/>
      <c r="VNI15"/>
      <c r="VNM15"/>
      <c r="VNQ15"/>
      <c r="VNU15"/>
      <c r="VNY15"/>
      <c r="VOC15"/>
      <c r="VOG15"/>
      <c r="VOK15"/>
      <c r="VOO15"/>
      <c r="VOS15"/>
      <c r="VOW15"/>
      <c r="VPA15"/>
      <c r="VPE15"/>
      <c r="VPI15"/>
      <c r="VPM15"/>
      <c r="VPQ15"/>
      <c r="VPU15"/>
      <c r="VPY15"/>
      <c r="VQC15"/>
      <c r="VQG15"/>
      <c r="VQK15"/>
      <c r="VQO15"/>
      <c r="VQS15"/>
      <c r="VQW15"/>
      <c r="VRA15"/>
      <c r="VRE15"/>
      <c r="VRI15"/>
      <c r="VRM15"/>
      <c r="VRQ15"/>
      <c r="VRU15"/>
      <c r="VRY15"/>
      <c r="VSC15"/>
      <c r="VSG15"/>
      <c r="VSK15"/>
      <c r="VSO15"/>
      <c r="VSS15"/>
      <c r="VSW15"/>
      <c r="VTA15"/>
      <c r="VTE15"/>
      <c r="VTI15"/>
      <c r="VTM15"/>
      <c r="VTQ15"/>
      <c r="VTU15"/>
      <c r="VTY15"/>
      <c r="VUC15"/>
      <c r="VUG15"/>
      <c r="VUK15"/>
      <c r="VUO15"/>
      <c r="VUS15"/>
      <c r="VUW15"/>
      <c r="VVA15"/>
      <c r="VVE15"/>
      <c r="VVI15"/>
      <c r="VVM15"/>
      <c r="VVQ15"/>
      <c r="VVU15"/>
      <c r="VVY15"/>
      <c r="VWC15"/>
      <c r="VWG15"/>
      <c r="VWK15"/>
      <c r="VWO15"/>
      <c r="VWS15"/>
      <c r="VWW15"/>
      <c r="VXA15"/>
      <c r="VXE15"/>
      <c r="VXI15"/>
      <c r="VXM15"/>
      <c r="VXQ15"/>
      <c r="VXU15"/>
      <c r="VXY15"/>
      <c r="VYC15"/>
      <c r="VYG15"/>
      <c r="VYK15"/>
      <c r="VYO15"/>
      <c r="VYS15"/>
      <c r="VYW15"/>
      <c r="VZA15"/>
      <c r="VZE15"/>
      <c r="VZI15"/>
      <c r="VZM15"/>
      <c r="VZQ15"/>
      <c r="VZU15"/>
      <c r="VZY15"/>
      <c r="WAC15"/>
      <c r="WAG15"/>
      <c r="WAK15"/>
      <c r="WAO15"/>
      <c r="WAS15"/>
      <c r="WAW15"/>
      <c r="WBA15"/>
      <c r="WBE15"/>
      <c r="WBI15"/>
      <c r="WBM15"/>
      <c r="WBQ15"/>
      <c r="WBU15"/>
      <c r="WBY15"/>
      <c r="WCC15"/>
      <c r="WCG15"/>
      <c r="WCK15"/>
      <c r="WCO15"/>
      <c r="WCS15"/>
      <c r="WCW15"/>
      <c r="WDA15"/>
      <c r="WDE15"/>
      <c r="WDI15"/>
      <c r="WDM15"/>
      <c r="WDQ15"/>
      <c r="WDU15"/>
      <c r="WDY15"/>
      <c r="WEC15"/>
      <c r="WEG15"/>
      <c r="WEK15"/>
      <c r="WEO15"/>
      <c r="WES15"/>
      <c r="WEW15"/>
      <c r="WFA15"/>
      <c r="WFE15"/>
      <c r="WFI15"/>
      <c r="WFM15"/>
      <c r="WFQ15"/>
      <c r="WFU15"/>
      <c r="WFY15"/>
      <c r="WGC15"/>
      <c r="WGG15"/>
      <c r="WGK15"/>
      <c r="WGO15"/>
      <c r="WGS15"/>
      <c r="WGW15"/>
      <c r="WHA15"/>
      <c r="WHE15"/>
      <c r="WHI15"/>
      <c r="WHM15"/>
      <c r="WHQ15"/>
      <c r="WHU15"/>
      <c r="WHY15"/>
      <c r="WIC15"/>
      <c r="WIG15"/>
      <c r="WIK15"/>
      <c r="WIO15"/>
      <c r="WIS15"/>
      <c r="WIW15"/>
      <c r="WJA15"/>
      <c r="WJE15"/>
      <c r="WJI15"/>
      <c r="WJM15"/>
      <c r="WJQ15"/>
      <c r="WJU15"/>
      <c r="WJY15"/>
      <c r="WKC15"/>
      <c r="WKG15"/>
      <c r="WKK15"/>
      <c r="WKO15"/>
      <c r="WKS15"/>
      <c r="WKW15"/>
      <c r="WLA15"/>
      <c r="WLE15"/>
      <c r="WLI15"/>
      <c r="WLM15"/>
      <c r="WLQ15"/>
      <c r="WLU15"/>
      <c r="WLY15"/>
      <c r="WMC15"/>
      <c r="WMG15"/>
      <c r="WMK15"/>
      <c r="WMO15"/>
      <c r="WMS15"/>
      <c r="WMW15"/>
      <c r="WNA15"/>
      <c r="WNE15"/>
      <c r="WNI15"/>
      <c r="WNM15"/>
      <c r="WNQ15"/>
      <c r="WNU15"/>
      <c r="WNY15"/>
      <c r="WOC15"/>
      <c r="WOG15"/>
      <c r="WOK15"/>
      <c r="WOO15"/>
      <c r="WOS15"/>
      <c r="WOW15"/>
      <c r="WPA15"/>
      <c r="WPE15"/>
      <c r="WPI15"/>
      <c r="WPM15"/>
      <c r="WPQ15"/>
      <c r="WPU15"/>
      <c r="WPY15"/>
      <c r="WQC15"/>
      <c r="WQG15"/>
      <c r="WQK15"/>
      <c r="WQO15"/>
      <c r="WQS15"/>
      <c r="WQW15"/>
      <c r="WRA15"/>
      <c r="WRE15"/>
      <c r="WRI15"/>
      <c r="WRM15"/>
      <c r="WRQ15"/>
      <c r="WRU15"/>
      <c r="WRY15"/>
      <c r="WSC15"/>
      <c r="WSG15"/>
      <c r="WSK15"/>
      <c r="WSO15"/>
      <c r="WSS15"/>
      <c r="WSW15"/>
      <c r="WTA15"/>
      <c r="WTE15"/>
      <c r="WTI15"/>
      <c r="WTM15"/>
      <c r="WTQ15"/>
      <c r="WTU15"/>
      <c r="WTY15"/>
      <c r="WUC15"/>
      <c r="WUG15"/>
      <c r="WUK15"/>
      <c r="WUO15"/>
      <c r="WUS15"/>
      <c r="WUW15"/>
      <c r="WVA15"/>
      <c r="WVE15"/>
      <c r="WVI15"/>
      <c r="WVM15"/>
      <c r="WVQ15"/>
      <c r="WVU15"/>
      <c r="WVY15"/>
      <c r="WWC15"/>
      <c r="WWG15"/>
      <c r="WWK15"/>
      <c r="WWO15"/>
      <c r="WWS15"/>
      <c r="WWW15"/>
      <c r="WXA15"/>
      <c r="WXE15"/>
      <c r="WXI15"/>
      <c r="WXM15"/>
      <c r="WXQ15"/>
      <c r="WXU15"/>
      <c r="WXY15"/>
      <c r="WYC15"/>
      <c r="WYG15"/>
      <c r="WYK15"/>
      <c r="WYO15"/>
      <c r="WYS15"/>
      <c r="WYW15"/>
      <c r="WZA15"/>
      <c r="WZE15"/>
      <c r="WZI15"/>
      <c r="WZM15"/>
      <c r="WZQ15"/>
      <c r="WZU15"/>
      <c r="WZY15"/>
      <c r="XAC15"/>
      <c r="XAG15"/>
      <c r="XAK15"/>
      <c r="XAO15"/>
      <c r="XAS15"/>
      <c r="XAW15"/>
      <c r="XBA15"/>
      <c r="XBE15"/>
      <c r="XBI15"/>
      <c r="XBM15"/>
      <c r="XBQ15"/>
      <c r="XBU15"/>
      <c r="XBY15"/>
      <c r="XCC15"/>
      <c r="XCG15"/>
      <c r="XCK15"/>
      <c r="XCO15"/>
      <c r="XCS15"/>
      <c r="XCW15"/>
      <c r="XDA15"/>
      <c r="XDE15"/>
      <c r="XDI15"/>
      <c r="XDM15"/>
      <c r="XDQ15"/>
      <c r="XDU15"/>
      <c r="XDY15"/>
      <c r="XEC15"/>
      <c r="XEG15"/>
      <c r="XEK15"/>
      <c r="XEO15"/>
      <c r="XES15"/>
      <c r="XEW15"/>
      <c r="XFA15"/>
    </row>
    <row r="16" spans="1:1021 1025:2045 2049:3069 3073:4093 4097:5117 5121:6141 6145:7165 7169:8189 8193:9213 9217:10237 10241:11261 11265:12285 12289:13309 13313:14333 14337:15357 15361:16381" s="1" customFormat="1" x14ac:dyDescent="0.35">
      <c r="A16" s="21">
        <v>1</v>
      </c>
      <c r="B16" s="21">
        <v>12</v>
      </c>
      <c r="C16" s="1" t="str">
        <f xml:space="preserve"> IF('Master Player List'!L14=1,'Master Player List'!C14,"")</f>
        <v/>
      </c>
      <c r="D16" s="1" t="str">
        <f xml:space="preserve"> IF('Master Player List'!L14=1,'Master Player List'!F14,"")</f>
        <v/>
      </c>
      <c r="E16" s="21" t="str">
        <f xml:space="preserve"> IF('Master Player List'!L14=1,'Master Player List'!I14,"")</f>
        <v/>
      </c>
      <c r="F16" s="22"/>
      <c r="I16" s="21"/>
      <c r="J16" s="22"/>
      <c r="M16"/>
      <c r="N16"/>
      <c r="Q16"/>
      <c r="U16"/>
      <c r="Y16"/>
      <c r="AC16"/>
      <c r="AG16"/>
      <c r="AK16"/>
      <c r="AO16"/>
      <c r="AS16"/>
      <c r="AW16"/>
      <c r="BA16"/>
      <c r="BE16"/>
      <c r="BI16"/>
      <c r="BM16"/>
      <c r="BQ16"/>
      <c r="BU16"/>
      <c r="BY16"/>
      <c r="CC16"/>
      <c r="CG16"/>
      <c r="CK16"/>
      <c r="CO16"/>
      <c r="CS16"/>
      <c r="CW16"/>
      <c r="DA16"/>
      <c r="DE16"/>
      <c r="DI16"/>
      <c r="DM16"/>
      <c r="DQ16"/>
      <c r="DU16"/>
      <c r="DY16"/>
      <c r="EC16"/>
      <c r="EG16"/>
      <c r="EK16"/>
      <c r="EO16"/>
      <c r="ES16"/>
      <c r="EW16"/>
      <c r="FA16"/>
      <c r="FE16"/>
      <c r="FI16"/>
      <c r="FM16"/>
      <c r="FQ16"/>
      <c r="FU16"/>
      <c r="FY16"/>
      <c r="GC16"/>
      <c r="GG16"/>
      <c r="GK16"/>
      <c r="GO16"/>
      <c r="GS16"/>
      <c r="GW16"/>
      <c r="HA16"/>
      <c r="HE16"/>
      <c r="HI16"/>
      <c r="HM16"/>
      <c r="HQ16"/>
      <c r="HU16"/>
      <c r="HY16"/>
      <c r="IC16"/>
      <c r="IG16"/>
      <c r="IK16"/>
      <c r="IO16"/>
      <c r="IS16"/>
      <c r="IW16"/>
      <c r="JA16"/>
      <c r="JE16"/>
      <c r="JI16"/>
      <c r="JM16"/>
      <c r="JQ16"/>
      <c r="JU16"/>
      <c r="JY16"/>
      <c r="KC16"/>
      <c r="KG16"/>
      <c r="KK16"/>
      <c r="KO16"/>
      <c r="KS16"/>
      <c r="KW16"/>
      <c r="LA16"/>
      <c r="LE16"/>
      <c r="LI16"/>
      <c r="LM16"/>
      <c r="LQ16"/>
      <c r="LU16"/>
      <c r="LY16"/>
      <c r="MC16"/>
      <c r="MG16"/>
      <c r="MK16"/>
      <c r="MO16"/>
      <c r="MS16"/>
      <c r="MW16"/>
      <c r="NA16"/>
      <c r="NE16"/>
      <c r="NI16"/>
      <c r="NM16"/>
      <c r="NQ16"/>
      <c r="NU16"/>
      <c r="NY16"/>
      <c r="OC16"/>
      <c r="OG16"/>
      <c r="OK16"/>
      <c r="OO16"/>
      <c r="OS16"/>
      <c r="OW16"/>
      <c r="PA16"/>
      <c r="PE16"/>
      <c r="PI16"/>
      <c r="PM16"/>
      <c r="PQ16"/>
      <c r="PU16"/>
      <c r="PY16"/>
      <c r="QC16"/>
      <c r="QG16"/>
      <c r="QK16"/>
      <c r="QO16"/>
      <c r="QS16"/>
      <c r="QW16"/>
      <c r="RA16"/>
      <c r="RE16"/>
      <c r="RI16"/>
      <c r="RM16"/>
      <c r="RQ16"/>
      <c r="RU16"/>
      <c r="RY16"/>
      <c r="SC16"/>
      <c r="SG16"/>
      <c r="SK16"/>
      <c r="SO16"/>
      <c r="SS16"/>
      <c r="SW16"/>
      <c r="TA16"/>
      <c r="TE16"/>
      <c r="TI16"/>
      <c r="TM16"/>
      <c r="TQ16"/>
      <c r="TU16"/>
      <c r="TY16"/>
      <c r="UC16"/>
      <c r="UG16"/>
      <c r="UK16"/>
      <c r="UO16"/>
      <c r="US16"/>
      <c r="UW16"/>
      <c r="VA16"/>
      <c r="VE16"/>
      <c r="VI16"/>
      <c r="VM16"/>
      <c r="VQ16"/>
      <c r="VU16"/>
      <c r="VY16"/>
      <c r="WC16"/>
      <c r="WG16"/>
      <c r="WK16"/>
      <c r="WO16"/>
      <c r="WS16"/>
      <c r="WW16"/>
      <c r="XA16"/>
      <c r="XE16"/>
      <c r="XI16"/>
      <c r="XM16"/>
      <c r="XQ16"/>
      <c r="XU16"/>
      <c r="XY16"/>
      <c r="YC16"/>
      <c r="YG16"/>
      <c r="YK16"/>
      <c r="YO16"/>
      <c r="YS16"/>
      <c r="YW16"/>
      <c r="ZA16"/>
      <c r="ZE16"/>
      <c r="ZI16"/>
      <c r="ZM16"/>
      <c r="ZQ16"/>
      <c r="ZU16"/>
      <c r="ZY16"/>
      <c r="AAC16"/>
      <c r="AAG16"/>
      <c r="AAK16"/>
      <c r="AAO16"/>
      <c r="AAS16"/>
      <c r="AAW16"/>
      <c r="ABA16"/>
      <c r="ABE16"/>
      <c r="ABI16"/>
      <c r="ABM16"/>
      <c r="ABQ16"/>
      <c r="ABU16"/>
      <c r="ABY16"/>
      <c r="ACC16"/>
      <c r="ACG16"/>
      <c r="ACK16"/>
      <c r="ACO16"/>
      <c r="ACS16"/>
      <c r="ACW16"/>
      <c r="ADA16"/>
      <c r="ADE16"/>
      <c r="ADI16"/>
      <c r="ADM16"/>
      <c r="ADQ16"/>
      <c r="ADU16"/>
      <c r="ADY16"/>
      <c r="AEC16"/>
      <c r="AEG16"/>
      <c r="AEK16"/>
      <c r="AEO16"/>
      <c r="AES16"/>
      <c r="AEW16"/>
      <c r="AFA16"/>
      <c r="AFE16"/>
      <c r="AFI16"/>
      <c r="AFM16"/>
      <c r="AFQ16"/>
      <c r="AFU16"/>
      <c r="AFY16"/>
      <c r="AGC16"/>
      <c r="AGG16"/>
      <c r="AGK16"/>
      <c r="AGO16"/>
      <c r="AGS16"/>
      <c r="AGW16"/>
      <c r="AHA16"/>
      <c r="AHE16"/>
      <c r="AHI16"/>
      <c r="AHM16"/>
      <c r="AHQ16"/>
      <c r="AHU16"/>
      <c r="AHY16"/>
      <c r="AIC16"/>
      <c r="AIG16"/>
      <c r="AIK16"/>
      <c r="AIO16"/>
      <c r="AIS16"/>
      <c r="AIW16"/>
      <c r="AJA16"/>
      <c r="AJE16"/>
      <c r="AJI16"/>
      <c r="AJM16"/>
      <c r="AJQ16"/>
      <c r="AJU16"/>
      <c r="AJY16"/>
      <c r="AKC16"/>
      <c r="AKG16"/>
      <c r="AKK16"/>
      <c r="AKO16"/>
      <c r="AKS16"/>
      <c r="AKW16"/>
      <c r="ALA16"/>
      <c r="ALE16"/>
      <c r="ALI16"/>
      <c r="ALM16"/>
      <c r="ALQ16"/>
      <c r="ALU16"/>
      <c r="ALY16"/>
      <c r="AMC16"/>
      <c r="AMG16"/>
      <c r="AMK16"/>
      <c r="AMO16"/>
      <c r="AMS16"/>
      <c r="AMW16"/>
      <c r="ANA16"/>
      <c r="ANE16"/>
      <c r="ANI16"/>
      <c r="ANM16"/>
      <c r="ANQ16"/>
      <c r="ANU16"/>
      <c r="ANY16"/>
      <c r="AOC16"/>
      <c r="AOG16"/>
      <c r="AOK16"/>
      <c r="AOO16"/>
      <c r="AOS16"/>
      <c r="AOW16"/>
      <c r="APA16"/>
      <c r="APE16"/>
      <c r="API16"/>
      <c r="APM16"/>
      <c r="APQ16"/>
      <c r="APU16"/>
      <c r="APY16"/>
      <c r="AQC16"/>
      <c r="AQG16"/>
      <c r="AQK16"/>
      <c r="AQO16"/>
      <c r="AQS16"/>
      <c r="AQW16"/>
      <c r="ARA16"/>
      <c r="ARE16"/>
      <c r="ARI16"/>
      <c r="ARM16"/>
      <c r="ARQ16"/>
      <c r="ARU16"/>
      <c r="ARY16"/>
      <c r="ASC16"/>
      <c r="ASG16"/>
      <c r="ASK16"/>
      <c r="ASO16"/>
      <c r="ASS16"/>
      <c r="ASW16"/>
      <c r="ATA16"/>
      <c r="ATE16"/>
      <c r="ATI16"/>
      <c r="ATM16"/>
      <c r="ATQ16"/>
      <c r="ATU16"/>
      <c r="ATY16"/>
      <c r="AUC16"/>
      <c r="AUG16"/>
      <c r="AUK16"/>
      <c r="AUO16"/>
      <c r="AUS16"/>
      <c r="AUW16"/>
      <c r="AVA16"/>
      <c r="AVE16"/>
      <c r="AVI16"/>
      <c r="AVM16"/>
      <c r="AVQ16"/>
      <c r="AVU16"/>
      <c r="AVY16"/>
      <c r="AWC16"/>
      <c r="AWG16"/>
      <c r="AWK16"/>
      <c r="AWO16"/>
      <c r="AWS16"/>
      <c r="AWW16"/>
      <c r="AXA16"/>
      <c r="AXE16"/>
      <c r="AXI16"/>
      <c r="AXM16"/>
      <c r="AXQ16"/>
      <c r="AXU16"/>
      <c r="AXY16"/>
      <c r="AYC16"/>
      <c r="AYG16"/>
      <c r="AYK16"/>
      <c r="AYO16"/>
      <c r="AYS16"/>
      <c r="AYW16"/>
      <c r="AZA16"/>
      <c r="AZE16"/>
      <c r="AZI16"/>
      <c r="AZM16"/>
      <c r="AZQ16"/>
      <c r="AZU16"/>
      <c r="AZY16"/>
      <c r="BAC16"/>
      <c r="BAG16"/>
      <c r="BAK16"/>
      <c r="BAO16"/>
      <c r="BAS16"/>
      <c r="BAW16"/>
      <c r="BBA16"/>
      <c r="BBE16"/>
      <c r="BBI16"/>
      <c r="BBM16"/>
      <c r="BBQ16"/>
      <c r="BBU16"/>
      <c r="BBY16"/>
      <c r="BCC16"/>
      <c r="BCG16"/>
      <c r="BCK16"/>
      <c r="BCO16"/>
      <c r="BCS16"/>
      <c r="BCW16"/>
      <c r="BDA16"/>
      <c r="BDE16"/>
      <c r="BDI16"/>
      <c r="BDM16"/>
      <c r="BDQ16"/>
      <c r="BDU16"/>
      <c r="BDY16"/>
      <c r="BEC16"/>
      <c r="BEG16"/>
      <c r="BEK16"/>
      <c r="BEO16"/>
      <c r="BES16"/>
      <c r="BEW16"/>
      <c r="BFA16"/>
      <c r="BFE16"/>
      <c r="BFI16"/>
      <c r="BFM16"/>
      <c r="BFQ16"/>
      <c r="BFU16"/>
      <c r="BFY16"/>
      <c r="BGC16"/>
      <c r="BGG16"/>
      <c r="BGK16"/>
      <c r="BGO16"/>
      <c r="BGS16"/>
      <c r="BGW16"/>
      <c r="BHA16"/>
      <c r="BHE16"/>
      <c r="BHI16"/>
      <c r="BHM16"/>
      <c r="BHQ16"/>
      <c r="BHU16"/>
      <c r="BHY16"/>
      <c r="BIC16"/>
      <c r="BIG16"/>
      <c r="BIK16"/>
      <c r="BIO16"/>
      <c r="BIS16"/>
      <c r="BIW16"/>
      <c r="BJA16"/>
      <c r="BJE16"/>
      <c r="BJI16"/>
      <c r="BJM16"/>
      <c r="BJQ16"/>
      <c r="BJU16"/>
      <c r="BJY16"/>
      <c r="BKC16"/>
      <c r="BKG16"/>
      <c r="BKK16"/>
      <c r="BKO16"/>
      <c r="BKS16"/>
      <c r="BKW16"/>
      <c r="BLA16"/>
      <c r="BLE16"/>
      <c r="BLI16"/>
      <c r="BLM16"/>
      <c r="BLQ16"/>
      <c r="BLU16"/>
      <c r="BLY16"/>
      <c r="BMC16"/>
      <c r="BMG16"/>
      <c r="BMK16"/>
      <c r="BMO16"/>
      <c r="BMS16"/>
      <c r="BMW16"/>
      <c r="BNA16"/>
      <c r="BNE16"/>
      <c r="BNI16"/>
      <c r="BNM16"/>
      <c r="BNQ16"/>
      <c r="BNU16"/>
      <c r="BNY16"/>
      <c r="BOC16"/>
      <c r="BOG16"/>
      <c r="BOK16"/>
      <c r="BOO16"/>
      <c r="BOS16"/>
      <c r="BOW16"/>
      <c r="BPA16"/>
      <c r="BPE16"/>
      <c r="BPI16"/>
      <c r="BPM16"/>
      <c r="BPQ16"/>
      <c r="BPU16"/>
      <c r="BPY16"/>
      <c r="BQC16"/>
      <c r="BQG16"/>
      <c r="BQK16"/>
      <c r="BQO16"/>
      <c r="BQS16"/>
      <c r="BQW16"/>
      <c r="BRA16"/>
      <c r="BRE16"/>
      <c r="BRI16"/>
      <c r="BRM16"/>
      <c r="BRQ16"/>
      <c r="BRU16"/>
      <c r="BRY16"/>
      <c r="BSC16"/>
      <c r="BSG16"/>
      <c r="BSK16"/>
      <c r="BSO16"/>
      <c r="BSS16"/>
      <c r="BSW16"/>
      <c r="BTA16"/>
      <c r="BTE16"/>
      <c r="BTI16"/>
      <c r="BTM16"/>
      <c r="BTQ16"/>
      <c r="BTU16"/>
      <c r="BTY16"/>
      <c r="BUC16"/>
      <c r="BUG16"/>
      <c r="BUK16"/>
      <c r="BUO16"/>
      <c r="BUS16"/>
      <c r="BUW16"/>
      <c r="BVA16"/>
      <c r="BVE16"/>
      <c r="BVI16"/>
      <c r="BVM16"/>
      <c r="BVQ16"/>
      <c r="BVU16"/>
      <c r="BVY16"/>
      <c r="BWC16"/>
      <c r="BWG16"/>
      <c r="BWK16"/>
      <c r="BWO16"/>
      <c r="BWS16"/>
      <c r="BWW16"/>
      <c r="BXA16"/>
      <c r="BXE16"/>
      <c r="BXI16"/>
      <c r="BXM16"/>
      <c r="BXQ16"/>
      <c r="BXU16"/>
      <c r="BXY16"/>
      <c r="BYC16"/>
      <c r="BYG16"/>
      <c r="BYK16"/>
      <c r="BYO16"/>
      <c r="BYS16"/>
      <c r="BYW16"/>
      <c r="BZA16"/>
      <c r="BZE16"/>
      <c r="BZI16"/>
      <c r="BZM16"/>
      <c r="BZQ16"/>
      <c r="BZU16"/>
      <c r="BZY16"/>
      <c r="CAC16"/>
      <c r="CAG16"/>
      <c r="CAK16"/>
      <c r="CAO16"/>
      <c r="CAS16"/>
      <c r="CAW16"/>
      <c r="CBA16"/>
      <c r="CBE16"/>
      <c r="CBI16"/>
      <c r="CBM16"/>
      <c r="CBQ16"/>
      <c r="CBU16"/>
      <c r="CBY16"/>
      <c r="CCC16"/>
      <c r="CCG16"/>
      <c r="CCK16"/>
      <c r="CCO16"/>
      <c r="CCS16"/>
      <c r="CCW16"/>
      <c r="CDA16"/>
      <c r="CDE16"/>
      <c r="CDI16"/>
      <c r="CDM16"/>
      <c r="CDQ16"/>
      <c r="CDU16"/>
      <c r="CDY16"/>
      <c r="CEC16"/>
      <c r="CEG16"/>
      <c r="CEK16"/>
      <c r="CEO16"/>
      <c r="CES16"/>
      <c r="CEW16"/>
      <c r="CFA16"/>
      <c r="CFE16"/>
      <c r="CFI16"/>
      <c r="CFM16"/>
      <c r="CFQ16"/>
      <c r="CFU16"/>
      <c r="CFY16"/>
      <c r="CGC16"/>
      <c r="CGG16"/>
      <c r="CGK16"/>
      <c r="CGO16"/>
      <c r="CGS16"/>
      <c r="CGW16"/>
      <c r="CHA16"/>
      <c r="CHE16"/>
      <c r="CHI16"/>
      <c r="CHM16"/>
      <c r="CHQ16"/>
      <c r="CHU16"/>
      <c r="CHY16"/>
      <c r="CIC16"/>
      <c r="CIG16"/>
      <c r="CIK16"/>
      <c r="CIO16"/>
      <c r="CIS16"/>
      <c r="CIW16"/>
      <c r="CJA16"/>
      <c r="CJE16"/>
      <c r="CJI16"/>
      <c r="CJM16"/>
      <c r="CJQ16"/>
      <c r="CJU16"/>
      <c r="CJY16"/>
      <c r="CKC16"/>
      <c r="CKG16"/>
      <c r="CKK16"/>
      <c r="CKO16"/>
      <c r="CKS16"/>
      <c r="CKW16"/>
      <c r="CLA16"/>
      <c r="CLE16"/>
      <c r="CLI16"/>
      <c r="CLM16"/>
      <c r="CLQ16"/>
      <c r="CLU16"/>
      <c r="CLY16"/>
      <c r="CMC16"/>
      <c r="CMG16"/>
      <c r="CMK16"/>
      <c r="CMO16"/>
      <c r="CMS16"/>
      <c r="CMW16"/>
      <c r="CNA16"/>
      <c r="CNE16"/>
      <c r="CNI16"/>
      <c r="CNM16"/>
      <c r="CNQ16"/>
      <c r="CNU16"/>
      <c r="CNY16"/>
      <c r="COC16"/>
      <c r="COG16"/>
      <c r="COK16"/>
      <c r="COO16"/>
      <c r="COS16"/>
      <c r="COW16"/>
      <c r="CPA16"/>
      <c r="CPE16"/>
      <c r="CPI16"/>
      <c r="CPM16"/>
      <c r="CPQ16"/>
      <c r="CPU16"/>
      <c r="CPY16"/>
      <c r="CQC16"/>
      <c r="CQG16"/>
      <c r="CQK16"/>
      <c r="CQO16"/>
      <c r="CQS16"/>
      <c r="CQW16"/>
      <c r="CRA16"/>
      <c r="CRE16"/>
      <c r="CRI16"/>
      <c r="CRM16"/>
      <c r="CRQ16"/>
      <c r="CRU16"/>
      <c r="CRY16"/>
      <c r="CSC16"/>
      <c r="CSG16"/>
      <c r="CSK16"/>
      <c r="CSO16"/>
      <c r="CSS16"/>
      <c r="CSW16"/>
      <c r="CTA16"/>
      <c r="CTE16"/>
      <c r="CTI16"/>
      <c r="CTM16"/>
      <c r="CTQ16"/>
      <c r="CTU16"/>
      <c r="CTY16"/>
      <c r="CUC16"/>
      <c r="CUG16"/>
      <c r="CUK16"/>
      <c r="CUO16"/>
      <c r="CUS16"/>
      <c r="CUW16"/>
      <c r="CVA16"/>
      <c r="CVE16"/>
      <c r="CVI16"/>
      <c r="CVM16"/>
      <c r="CVQ16"/>
      <c r="CVU16"/>
      <c r="CVY16"/>
      <c r="CWC16"/>
      <c r="CWG16"/>
      <c r="CWK16"/>
      <c r="CWO16"/>
      <c r="CWS16"/>
      <c r="CWW16"/>
      <c r="CXA16"/>
      <c r="CXE16"/>
      <c r="CXI16"/>
      <c r="CXM16"/>
      <c r="CXQ16"/>
      <c r="CXU16"/>
      <c r="CXY16"/>
      <c r="CYC16"/>
      <c r="CYG16"/>
      <c r="CYK16"/>
      <c r="CYO16"/>
      <c r="CYS16"/>
      <c r="CYW16"/>
      <c r="CZA16"/>
      <c r="CZE16"/>
      <c r="CZI16"/>
      <c r="CZM16"/>
      <c r="CZQ16"/>
      <c r="CZU16"/>
      <c r="CZY16"/>
      <c r="DAC16"/>
      <c r="DAG16"/>
      <c r="DAK16"/>
      <c r="DAO16"/>
      <c r="DAS16"/>
      <c r="DAW16"/>
      <c r="DBA16"/>
      <c r="DBE16"/>
      <c r="DBI16"/>
      <c r="DBM16"/>
      <c r="DBQ16"/>
      <c r="DBU16"/>
      <c r="DBY16"/>
      <c r="DCC16"/>
      <c r="DCG16"/>
      <c r="DCK16"/>
      <c r="DCO16"/>
      <c r="DCS16"/>
      <c r="DCW16"/>
      <c r="DDA16"/>
      <c r="DDE16"/>
      <c r="DDI16"/>
      <c r="DDM16"/>
      <c r="DDQ16"/>
      <c r="DDU16"/>
      <c r="DDY16"/>
      <c r="DEC16"/>
      <c r="DEG16"/>
      <c r="DEK16"/>
      <c r="DEO16"/>
      <c r="DES16"/>
      <c r="DEW16"/>
      <c r="DFA16"/>
      <c r="DFE16"/>
      <c r="DFI16"/>
      <c r="DFM16"/>
      <c r="DFQ16"/>
      <c r="DFU16"/>
      <c r="DFY16"/>
      <c r="DGC16"/>
      <c r="DGG16"/>
      <c r="DGK16"/>
      <c r="DGO16"/>
      <c r="DGS16"/>
      <c r="DGW16"/>
      <c r="DHA16"/>
      <c r="DHE16"/>
      <c r="DHI16"/>
      <c r="DHM16"/>
      <c r="DHQ16"/>
      <c r="DHU16"/>
      <c r="DHY16"/>
      <c r="DIC16"/>
      <c r="DIG16"/>
      <c r="DIK16"/>
      <c r="DIO16"/>
      <c r="DIS16"/>
      <c r="DIW16"/>
      <c r="DJA16"/>
      <c r="DJE16"/>
      <c r="DJI16"/>
      <c r="DJM16"/>
      <c r="DJQ16"/>
      <c r="DJU16"/>
      <c r="DJY16"/>
      <c r="DKC16"/>
      <c r="DKG16"/>
      <c r="DKK16"/>
      <c r="DKO16"/>
      <c r="DKS16"/>
      <c r="DKW16"/>
      <c r="DLA16"/>
      <c r="DLE16"/>
      <c r="DLI16"/>
      <c r="DLM16"/>
      <c r="DLQ16"/>
      <c r="DLU16"/>
      <c r="DLY16"/>
      <c r="DMC16"/>
      <c r="DMG16"/>
      <c r="DMK16"/>
      <c r="DMO16"/>
      <c r="DMS16"/>
      <c r="DMW16"/>
      <c r="DNA16"/>
      <c r="DNE16"/>
      <c r="DNI16"/>
      <c r="DNM16"/>
      <c r="DNQ16"/>
      <c r="DNU16"/>
      <c r="DNY16"/>
      <c r="DOC16"/>
      <c r="DOG16"/>
      <c r="DOK16"/>
      <c r="DOO16"/>
      <c r="DOS16"/>
      <c r="DOW16"/>
      <c r="DPA16"/>
      <c r="DPE16"/>
      <c r="DPI16"/>
      <c r="DPM16"/>
      <c r="DPQ16"/>
      <c r="DPU16"/>
      <c r="DPY16"/>
      <c r="DQC16"/>
      <c r="DQG16"/>
      <c r="DQK16"/>
      <c r="DQO16"/>
      <c r="DQS16"/>
      <c r="DQW16"/>
      <c r="DRA16"/>
      <c r="DRE16"/>
      <c r="DRI16"/>
      <c r="DRM16"/>
      <c r="DRQ16"/>
      <c r="DRU16"/>
      <c r="DRY16"/>
      <c r="DSC16"/>
      <c r="DSG16"/>
      <c r="DSK16"/>
      <c r="DSO16"/>
      <c r="DSS16"/>
      <c r="DSW16"/>
      <c r="DTA16"/>
      <c r="DTE16"/>
      <c r="DTI16"/>
      <c r="DTM16"/>
      <c r="DTQ16"/>
      <c r="DTU16"/>
      <c r="DTY16"/>
      <c r="DUC16"/>
      <c r="DUG16"/>
      <c r="DUK16"/>
      <c r="DUO16"/>
      <c r="DUS16"/>
      <c r="DUW16"/>
      <c r="DVA16"/>
      <c r="DVE16"/>
      <c r="DVI16"/>
      <c r="DVM16"/>
      <c r="DVQ16"/>
      <c r="DVU16"/>
      <c r="DVY16"/>
      <c r="DWC16"/>
      <c r="DWG16"/>
      <c r="DWK16"/>
      <c r="DWO16"/>
      <c r="DWS16"/>
      <c r="DWW16"/>
      <c r="DXA16"/>
      <c r="DXE16"/>
      <c r="DXI16"/>
      <c r="DXM16"/>
      <c r="DXQ16"/>
      <c r="DXU16"/>
      <c r="DXY16"/>
      <c r="DYC16"/>
      <c r="DYG16"/>
      <c r="DYK16"/>
      <c r="DYO16"/>
      <c r="DYS16"/>
      <c r="DYW16"/>
      <c r="DZA16"/>
      <c r="DZE16"/>
      <c r="DZI16"/>
      <c r="DZM16"/>
      <c r="DZQ16"/>
      <c r="DZU16"/>
      <c r="DZY16"/>
      <c r="EAC16"/>
      <c r="EAG16"/>
      <c r="EAK16"/>
      <c r="EAO16"/>
      <c r="EAS16"/>
      <c r="EAW16"/>
      <c r="EBA16"/>
      <c r="EBE16"/>
      <c r="EBI16"/>
      <c r="EBM16"/>
      <c r="EBQ16"/>
      <c r="EBU16"/>
      <c r="EBY16"/>
      <c r="ECC16"/>
      <c r="ECG16"/>
      <c r="ECK16"/>
      <c r="ECO16"/>
      <c r="ECS16"/>
      <c r="ECW16"/>
      <c r="EDA16"/>
      <c r="EDE16"/>
      <c r="EDI16"/>
      <c r="EDM16"/>
      <c r="EDQ16"/>
      <c r="EDU16"/>
      <c r="EDY16"/>
      <c r="EEC16"/>
      <c r="EEG16"/>
      <c r="EEK16"/>
      <c r="EEO16"/>
      <c r="EES16"/>
      <c r="EEW16"/>
      <c r="EFA16"/>
      <c r="EFE16"/>
      <c r="EFI16"/>
      <c r="EFM16"/>
      <c r="EFQ16"/>
      <c r="EFU16"/>
      <c r="EFY16"/>
      <c r="EGC16"/>
      <c r="EGG16"/>
      <c r="EGK16"/>
      <c r="EGO16"/>
      <c r="EGS16"/>
      <c r="EGW16"/>
      <c r="EHA16"/>
      <c r="EHE16"/>
      <c r="EHI16"/>
      <c r="EHM16"/>
      <c r="EHQ16"/>
      <c r="EHU16"/>
      <c r="EHY16"/>
      <c r="EIC16"/>
      <c r="EIG16"/>
      <c r="EIK16"/>
      <c r="EIO16"/>
      <c r="EIS16"/>
      <c r="EIW16"/>
      <c r="EJA16"/>
      <c r="EJE16"/>
      <c r="EJI16"/>
      <c r="EJM16"/>
      <c r="EJQ16"/>
      <c r="EJU16"/>
      <c r="EJY16"/>
      <c r="EKC16"/>
      <c r="EKG16"/>
      <c r="EKK16"/>
      <c r="EKO16"/>
      <c r="EKS16"/>
      <c r="EKW16"/>
      <c r="ELA16"/>
      <c r="ELE16"/>
      <c r="ELI16"/>
      <c r="ELM16"/>
      <c r="ELQ16"/>
      <c r="ELU16"/>
      <c r="ELY16"/>
      <c r="EMC16"/>
      <c r="EMG16"/>
      <c r="EMK16"/>
      <c r="EMO16"/>
      <c r="EMS16"/>
      <c r="EMW16"/>
      <c r="ENA16"/>
      <c r="ENE16"/>
      <c r="ENI16"/>
      <c r="ENM16"/>
      <c r="ENQ16"/>
      <c r="ENU16"/>
      <c r="ENY16"/>
      <c r="EOC16"/>
      <c r="EOG16"/>
      <c r="EOK16"/>
      <c r="EOO16"/>
      <c r="EOS16"/>
      <c r="EOW16"/>
      <c r="EPA16"/>
      <c r="EPE16"/>
      <c r="EPI16"/>
      <c r="EPM16"/>
      <c r="EPQ16"/>
      <c r="EPU16"/>
      <c r="EPY16"/>
      <c r="EQC16"/>
      <c r="EQG16"/>
      <c r="EQK16"/>
      <c r="EQO16"/>
      <c r="EQS16"/>
      <c r="EQW16"/>
      <c r="ERA16"/>
      <c r="ERE16"/>
      <c r="ERI16"/>
      <c r="ERM16"/>
      <c r="ERQ16"/>
      <c r="ERU16"/>
      <c r="ERY16"/>
      <c r="ESC16"/>
      <c r="ESG16"/>
      <c r="ESK16"/>
      <c r="ESO16"/>
      <c r="ESS16"/>
      <c r="ESW16"/>
      <c r="ETA16"/>
      <c r="ETE16"/>
      <c r="ETI16"/>
      <c r="ETM16"/>
      <c r="ETQ16"/>
      <c r="ETU16"/>
      <c r="ETY16"/>
      <c r="EUC16"/>
      <c r="EUG16"/>
      <c r="EUK16"/>
      <c r="EUO16"/>
      <c r="EUS16"/>
      <c r="EUW16"/>
      <c r="EVA16"/>
      <c r="EVE16"/>
      <c r="EVI16"/>
      <c r="EVM16"/>
      <c r="EVQ16"/>
      <c r="EVU16"/>
      <c r="EVY16"/>
      <c r="EWC16"/>
      <c r="EWG16"/>
      <c r="EWK16"/>
      <c r="EWO16"/>
      <c r="EWS16"/>
      <c r="EWW16"/>
      <c r="EXA16"/>
      <c r="EXE16"/>
      <c r="EXI16"/>
      <c r="EXM16"/>
      <c r="EXQ16"/>
      <c r="EXU16"/>
      <c r="EXY16"/>
      <c r="EYC16"/>
      <c r="EYG16"/>
      <c r="EYK16"/>
      <c r="EYO16"/>
      <c r="EYS16"/>
      <c r="EYW16"/>
      <c r="EZA16"/>
      <c r="EZE16"/>
      <c r="EZI16"/>
      <c r="EZM16"/>
      <c r="EZQ16"/>
      <c r="EZU16"/>
      <c r="EZY16"/>
      <c r="FAC16"/>
      <c r="FAG16"/>
      <c r="FAK16"/>
      <c r="FAO16"/>
      <c r="FAS16"/>
      <c r="FAW16"/>
      <c r="FBA16"/>
      <c r="FBE16"/>
      <c r="FBI16"/>
      <c r="FBM16"/>
      <c r="FBQ16"/>
      <c r="FBU16"/>
      <c r="FBY16"/>
      <c r="FCC16"/>
      <c r="FCG16"/>
      <c r="FCK16"/>
      <c r="FCO16"/>
      <c r="FCS16"/>
      <c r="FCW16"/>
      <c r="FDA16"/>
      <c r="FDE16"/>
      <c r="FDI16"/>
      <c r="FDM16"/>
      <c r="FDQ16"/>
      <c r="FDU16"/>
      <c r="FDY16"/>
      <c r="FEC16"/>
      <c r="FEG16"/>
      <c r="FEK16"/>
      <c r="FEO16"/>
      <c r="FES16"/>
      <c r="FEW16"/>
      <c r="FFA16"/>
      <c r="FFE16"/>
      <c r="FFI16"/>
      <c r="FFM16"/>
      <c r="FFQ16"/>
      <c r="FFU16"/>
      <c r="FFY16"/>
      <c r="FGC16"/>
      <c r="FGG16"/>
      <c r="FGK16"/>
      <c r="FGO16"/>
      <c r="FGS16"/>
      <c r="FGW16"/>
      <c r="FHA16"/>
      <c r="FHE16"/>
      <c r="FHI16"/>
      <c r="FHM16"/>
      <c r="FHQ16"/>
      <c r="FHU16"/>
      <c r="FHY16"/>
      <c r="FIC16"/>
      <c r="FIG16"/>
      <c r="FIK16"/>
      <c r="FIO16"/>
      <c r="FIS16"/>
      <c r="FIW16"/>
      <c r="FJA16"/>
      <c r="FJE16"/>
      <c r="FJI16"/>
      <c r="FJM16"/>
      <c r="FJQ16"/>
      <c r="FJU16"/>
      <c r="FJY16"/>
      <c r="FKC16"/>
      <c r="FKG16"/>
      <c r="FKK16"/>
      <c r="FKO16"/>
      <c r="FKS16"/>
      <c r="FKW16"/>
      <c r="FLA16"/>
      <c r="FLE16"/>
      <c r="FLI16"/>
      <c r="FLM16"/>
      <c r="FLQ16"/>
      <c r="FLU16"/>
      <c r="FLY16"/>
      <c r="FMC16"/>
      <c r="FMG16"/>
      <c r="FMK16"/>
      <c r="FMO16"/>
      <c r="FMS16"/>
      <c r="FMW16"/>
      <c r="FNA16"/>
      <c r="FNE16"/>
      <c r="FNI16"/>
      <c r="FNM16"/>
      <c r="FNQ16"/>
      <c r="FNU16"/>
      <c r="FNY16"/>
      <c r="FOC16"/>
      <c r="FOG16"/>
      <c r="FOK16"/>
      <c r="FOO16"/>
      <c r="FOS16"/>
      <c r="FOW16"/>
      <c r="FPA16"/>
      <c r="FPE16"/>
      <c r="FPI16"/>
      <c r="FPM16"/>
      <c r="FPQ16"/>
      <c r="FPU16"/>
      <c r="FPY16"/>
      <c r="FQC16"/>
      <c r="FQG16"/>
      <c r="FQK16"/>
      <c r="FQO16"/>
      <c r="FQS16"/>
      <c r="FQW16"/>
      <c r="FRA16"/>
      <c r="FRE16"/>
      <c r="FRI16"/>
      <c r="FRM16"/>
      <c r="FRQ16"/>
      <c r="FRU16"/>
      <c r="FRY16"/>
      <c r="FSC16"/>
      <c r="FSG16"/>
      <c r="FSK16"/>
      <c r="FSO16"/>
      <c r="FSS16"/>
      <c r="FSW16"/>
      <c r="FTA16"/>
      <c r="FTE16"/>
      <c r="FTI16"/>
      <c r="FTM16"/>
      <c r="FTQ16"/>
      <c r="FTU16"/>
      <c r="FTY16"/>
      <c r="FUC16"/>
      <c r="FUG16"/>
      <c r="FUK16"/>
      <c r="FUO16"/>
      <c r="FUS16"/>
      <c r="FUW16"/>
      <c r="FVA16"/>
      <c r="FVE16"/>
      <c r="FVI16"/>
      <c r="FVM16"/>
      <c r="FVQ16"/>
      <c r="FVU16"/>
      <c r="FVY16"/>
      <c r="FWC16"/>
      <c r="FWG16"/>
      <c r="FWK16"/>
      <c r="FWO16"/>
      <c r="FWS16"/>
      <c r="FWW16"/>
      <c r="FXA16"/>
      <c r="FXE16"/>
      <c r="FXI16"/>
      <c r="FXM16"/>
      <c r="FXQ16"/>
      <c r="FXU16"/>
      <c r="FXY16"/>
      <c r="FYC16"/>
      <c r="FYG16"/>
      <c r="FYK16"/>
      <c r="FYO16"/>
      <c r="FYS16"/>
      <c r="FYW16"/>
      <c r="FZA16"/>
      <c r="FZE16"/>
      <c r="FZI16"/>
      <c r="FZM16"/>
      <c r="FZQ16"/>
      <c r="FZU16"/>
      <c r="FZY16"/>
      <c r="GAC16"/>
      <c r="GAG16"/>
      <c r="GAK16"/>
      <c r="GAO16"/>
      <c r="GAS16"/>
      <c r="GAW16"/>
      <c r="GBA16"/>
      <c r="GBE16"/>
      <c r="GBI16"/>
      <c r="GBM16"/>
      <c r="GBQ16"/>
      <c r="GBU16"/>
      <c r="GBY16"/>
      <c r="GCC16"/>
      <c r="GCG16"/>
      <c r="GCK16"/>
      <c r="GCO16"/>
      <c r="GCS16"/>
      <c r="GCW16"/>
      <c r="GDA16"/>
      <c r="GDE16"/>
      <c r="GDI16"/>
      <c r="GDM16"/>
      <c r="GDQ16"/>
      <c r="GDU16"/>
      <c r="GDY16"/>
      <c r="GEC16"/>
      <c r="GEG16"/>
      <c r="GEK16"/>
      <c r="GEO16"/>
      <c r="GES16"/>
      <c r="GEW16"/>
      <c r="GFA16"/>
      <c r="GFE16"/>
      <c r="GFI16"/>
      <c r="GFM16"/>
      <c r="GFQ16"/>
      <c r="GFU16"/>
      <c r="GFY16"/>
      <c r="GGC16"/>
      <c r="GGG16"/>
      <c r="GGK16"/>
      <c r="GGO16"/>
      <c r="GGS16"/>
      <c r="GGW16"/>
      <c r="GHA16"/>
      <c r="GHE16"/>
      <c r="GHI16"/>
      <c r="GHM16"/>
      <c r="GHQ16"/>
      <c r="GHU16"/>
      <c r="GHY16"/>
      <c r="GIC16"/>
      <c r="GIG16"/>
      <c r="GIK16"/>
      <c r="GIO16"/>
      <c r="GIS16"/>
      <c r="GIW16"/>
      <c r="GJA16"/>
      <c r="GJE16"/>
      <c r="GJI16"/>
      <c r="GJM16"/>
      <c r="GJQ16"/>
      <c r="GJU16"/>
      <c r="GJY16"/>
      <c r="GKC16"/>
      <c r="GKG16"/>
      <c r="GKK16"/>
      <c r="GKO16"/>
      <c r="GKS16"/>
      <c r="GKW16"/>
      <c r="GLA16"/>
      <c r="GLE16"/>
      <c r="GLI16"/>
      <c r="GLM16"/>
      <c r="GLQ16"/>
      <c r="GLU16"/>
      <c r="GLY16"/>
      <c r="GMC16"/>
      <c r="GMG16"/>
      <c r="GMK16"/>
      <c r="GMO16"/>
      <c r="GMS16"/>
      <c r="GMW16"/>
      <c r="GNA16"/>
      <c r="GNE16"/>
      <c r="GNI16"/>
      <c r="GNM16"/>
      <c r="GNQ16"/>
      <c r="GNU16"/>
      <c r="GNY16"/>
      <c r="GOC16"/>
      <c r="GOG16"/>
      <c r="GOK16"/>
      <c r="GOO16"/>
      <c r="GOS16"/>
      <c r="GOW16"/>
      <c r="GPA16"/>
      <c r="GPE16"/>
      <c r="GPI16"/>
      <c r="GPM16"/>
      <c r="GPQ16"/>
      <c r="GPU16"/>
      <c r="GPY16"/>
      <c r="GQC16"/>
      <c r="GQG16"/>
      <c r="GQK16"/>
      <c r="GQO16"/>
      <c r="GQS16"/>
      <c r="GQW16"/>
      <c r="GRA16"/>
      <c r="GRE16"/>
      <c r="GRI16"/>
      <c r="GRM16"/>
      <c r="GRQ16"/>
      <c r="GRU16"/>
      <c r="GRY16"/>
      <c r="GSC16"/>
      <c r="GSG16"/>
      <c r="GSK16"/>
      <c r="GSO16"/>
      <c r="GSS16"/>
      <c r="GSW16"/>
      <c r="GTA16"/>
      <c r="GTE16"/>
      <c r="GTI16"/>
      <c r="GTM16"/>
      <c r="GTQ16"/>
      <c r="GTU16"/>
      <c r="GTY16"/>
      <c r="GUC16"/>
      <c r="GUG16"/>
      <c r="GUK16"/>
      <c r="GUO16"/>
      <c r="GUS16"/>
      <c r="GUW16"/>
      <c r="GVA16"/>
      <c r="GVE16"/>
      <c r="GVI16"/>
      <c r="GVM16"/>
      <c r="GVQ16"/>
      <c r="GVU16"/>
      <c r="GVY16"/>
      <c r="GWC16"/>
      <c r="GWG16"/>
      <c r="GWK16"/>
      <c r="GWO16"/>
      <c r="GWS16"/>
      <c r="GWW16"/>
      <c r="GXA16"/>
      <c r="GXE16"/>
      <c r="GXI16"/>
      <c r="GXM16"/>
      <c r="GXQ16"/>
      <c r="GXU16"/>
      <c r="GXY16"/>
      <c r="GYC16"/>
      <c r="GYG16"/>
      <c r="GYK16"/>
      <c r="GYO16"/>
      <c r="GYS16"/>
      <c r="GYW16"/>
      <c r="GZA16"/>
      <c r="GZE16"/>
      <c r="GZI16"/>
      <c r="GZM16"/>
      <c r="GZQ16"/>
      <c r="GZU16"/>
      <c r="GZY16"/>
      <c r="HAC16"/>
      <c r="HAG16"/>
      <c r="HAK16"/>
      <c r="HAO16"/>
      <c r="HAS16"/>
      <c r="HAW16"/>
      <c r="HBA16"/>
      <c r="HBE16"/>
      <c r="HBI16"/>
      <c r="HBM16"/>
      <c r="HBQ16"/>
      <c r="HBU16"/>
      <c r="HBY16"/>
      <c r="HCC16"/>
      <c r="HCG16"/>
      <c r="HCK16"/>
      <c r="HCO16"/>
      <c r="HCS16"/>
      <c r="HCW16"/>
      <c r="HDA16"/>
      <c r="HDE16"/>
      <c r="HDI16"/>
      <c r="HDM16"/>
      <c r="HDQ16"/>
      <c r="HDU16"/>
      <c r="HDY16"/>
      <c r="HEC16"/>
      <c r="HEG16"/>
      <c r="HEK16"/>
      <c r="HEO16"/>
      <c r="HES16"/>
      <c r="HEW16"/>
      <c r="HFA16"/>
      <c r="HFE16"/>
      <c r="HFI16"/>
      <c r="HFM16"/>
      <c r="HFQ16"/>
      <c r="HFU16"/>
      <c r="HFY16"/>
      <c r="HGC16"/>
      <c r="HGG16"/>
      <c r="HGK16"/>
      <c r="HGO16"/>
      <c r="HGS16"/>
      <c r="HGW16"/>
      <c r="HHA16"/>
      <c r="HHE16"/>
      <c r="HHI16"/>
      <c r="HHM16"/>
      <c r="HHQ16"/>
      <c r="HHU16"/>
      <c r="HHY16"/>
      <c r="HIC16"/>
      <c r="HIG16"/>
      <c r="HIK16"/>
      <c r="HIO16"/>
      <c r="HIS16"/>
      <c r="HIW16"/>
      <c r="HJA16"/>
      <c r="HJE16"/>
      <c r="HJI16"/>
      <c r="HJM16"/>
      <c r="HJQ16"/>
      <c r="HJU16"/>
      <c r="HJY16"/>
      <c r="HKC16"/>
      <c r="HKG16"/>
      <c r="HKK16"/>
      <c r="HKO16"/>
      <c r="HKS16"/>
      <c r="HKW16"/>
      <c r="HLA16"/>
      <c r="HLE16"/>
      <c r="HLI16"/>
      <c r="HLM16"/>
      <c r="HLQ16"/>
      <c r="HLU16"/>
      <c r="HLY16"/>
      <c r="HMC16"/>
      <c r="HMG16"/>
      <c r="HMK16"/>
      <c r="HMO16"/>
      <c r="HMS16"/>
      <c r="HMW16"/>
      <c r="HNA16"/>
      <c r="HNE16"/>
      <c r="HNI16"/>
      <c r="HNM16"/>
      <c r="HNQ16"/>
      <c r="HNU16"/>
      <c r="HNY16"/>
      <c r="HOC16"/>
      <c r="HOG16"/>
      <c r="HOK16"/>
      <c r="HOO16"/>
      <c r="HOS16"/>
      <c r="HOW16"/>
      <c r="HPA16"/>
      <c r="HPE16"/>
      <c r="HPI16"/>
      <c r="HPM16"/>
      <c r="HPQ16"/>
      <c r="HPU16"/>
      <c r="HPY16"/>
      <c r="HQC16"/>
      <c r="HQG16"/>
      <c r="HQK16"/>
      <c r="HQO16"/>
      <c r="HQS16"/>
      <c r="HQW16"/>
      <c r="HRA16"/>
      <c r="HRE16"/>
      <c r="HRI16"/>
      <c r="HRM16"/>
      <c r="HRQ16"/>
      <c r="HRU16"/>
      <c r="HRY16"/>
      <c r="HSC16"/>
      <c r="HSG16"/>
      <c r="HSK16"/>
      <c r="HSO16"/>
      <c r="HSS16"/>
      <c r="HSW16"/>
      <c r="HTA16"/>
      <c r="HTE16"/>
      <c r="HTI16"/>
      <c r="HTM16"/>
      <c r="HTQ16"/>
      <c r="HTU16"/>
      <c r="HTY16"/>
      <c r="HUC16"/>
      <c r="HUG16"/>
      <c r="HUK16"/>
      <c r="HUO16"/>
      <c r="HUS16"/>
      <c r="HUW16"/>
      <c r="HVA16"/>
      <c r="HVE16"/>
      <c r="HVI16"/>
      <c r="HVM16"/>
      <c r="HVQ16"/>
      <c r="HVU16"/>
      <c r="HVY16"/>
      <c r="HWC16"/>
      <c r="HWG16"/>
      <c r="HWK16"/>
      <c r="HWO16"/>
      <c r="HWS16"/>
      <c r="HWW16"/>
      <c r="HXA16"/>
      <c r="HXE16"/>
      <c r="HXI16"/>
      <c r="HXM16"/>
      <c r="HXQ16"/>
      <c r="HXU16"/>
      <c r="HXY16"/>
      <c r="HYC16"/>
      <c r="HYG16"/>
      <c r="HYK16"/>
      <c r="HYO16"/>
      <c r="HYS16"/>
      <c r="HYW16"/>
      <c r="HZA16"/>
      <c r="HZE16"/>
      <c r="HZI16"/>
      <c r="HZM16"/>
      <c r="HZQ16"/>
      <c r="HZU16"/>
      <c r="HZY16"/>
      <c r="IAC16"/>
      <c r="IAG16"/>
      <c r="IAK16"/>
      <c r="IAO16"/>
      <c r="IAS16"/>
      <c r="IAW16"/>
      <c r="IBA16"/>
      <c r="IBE16"/>
      <c r="IBI16"/>
      <c r="IBM16"/>
      <c r="IBQ16"/>
      <c r="IBU16"/>
      <c r="IBY16"/>
      <c r="ICC16"/>
      <c r="ICG16"/>
      <c r="ICK16"/>
      <c r="ICO16"/>
      <c r="ICS16"/>
      <c r="ICW16"/>
      <c r="IDA16"/>
      <c r="IDE16"/>
      <c r="IDI16"/>
      <c r="IDM16"/>
      <c r="IDQ16"/>
      <c r="IDU16"/>
      <c r="IDY16"/>
      <c r="IEC16"/>
      <c r="IEG16"/>
      <c r="IEK16"/>
      <c r="IEO16"/>
      <c r="IES16"/>
      <c r="IEW16"/>
      <c r="IFA16"/>
      <c r="IFE16"/>
      <c r="IFI16"/>
      <c r="IFM16"/>
      <c r="IFQ16"/>
      <c r="IFU16"/>
      <c r="IFY16"/>
      <c r="IGC16"/>
      <c r="IGG16"/>
      <c r="IGK16"/>
      <c r="IGO16"/>
      <c r="IGS16"/>
      <c r="IGW16"/>
      <c r="IHA16"/>
      <c r="IHE16"/>
      <c r="IHI16"/>
      <c r="IHM16"/>
      <c r="IHQ16"/>
      <c r="IHU16"/>
      <c r="IHY16"/>
      <c r="IIC16"/>
      <c r="IIG16"/>
      <c r="IIK16"/>
      <c r="IIO16"/>
      <c r="IIS16"/>
      <c r="IIW16"/>
      <c r="IJA16"/>
      <c r="IJE16"/>
      <c r="IJI16"/>
      <c r="IJM16"/>
      <c r="IJQ16"/>
      <c r="IJU16"/>
      <c r="IJY16"/>
      <c r="IKC16"/>
      <c r="IKG16"/>
      <c r="IKK16"/>
      <c r="IKO16"/>
      <c r="IKS16"/>
      <c r="IKW16"/>
      <c r="ILA16"/>
      <c r="ILE16"/>
      <c r="ILI16"/>
      <c r="ILM16"/>
      <c r="ILQ16"/>
      <c r="ILU16"/>
      <c r="ILY16"/>
      <c r="IMC16"/>
      <c r="IMG16"/>
      <c r="IMK16"/>
      <c r="IMO16"/>
      <c r="IMS16"/>
      <c r="IMW16"/>
      <c r="INA16"/>
      <c r="INE16"/>
      <c r="INI16"/>
      <c r="INM16"/>
      <c r="INQ16"/>
      <c r="INU16"/>
      <c r="INY16"/>
      <c r="IOC16"/>
      <c r="IOG16"/>
      <c r="IOK16"/>
      <c r="IOO16"/>
      <c r="IOS16"/>
      <c r="IOW16"/>
      <c r="IPA16"/>
      <c r="IPE16"/>
      <c r="IPI16"/>
      <c r="IPM16"/>
      <c r="IPQ16"/>
      <c r="IPU16"/>
      <c r="IPY16"/>
      <c r="IQC16"/>
      <c r="IQG16"/>
      <c r="IQK16"/>
      <c r="IQO16"/>
      <c r="IQS16"/>
      <c r="IQW16"/>
      <c r="IRA16"/>
      <c r="IRE16"/>
      <c r="IRI16"/>
      <c r="IRM16"/>
      <c r="IRQ16"/>
      <c r="IRU16"/>
      <c r="IRY16"/>
      <c r="ISC16"/>
      <c r="ISG16"/>
      <c r="ISK16"/>
      <c r="ISO16"/>
      <c r="ISS16"/>
      <c r="ISW16"/>
      <c r="ITA16"/>
      <c r="ITE16"/>
      <c r="ITI16"/>
      <c r="ITM16"/>
      <c r="ITQ16"/>
      <c r="ITU16"/>
      <c r="ITY16"/>
      <c r="IUC16"/>
      <c r="IUG16"/>
      <c r="IUK16"/>
      <c r="IUO16"/>
      <c r="IUS16"/>
      <c r="IUW16"/>
      <c r="IVA16"/>
      <c r="IVE16"/>
      <c r="IVI16"/>
      <c r="IVM16"/>
      <c r="IVQ16"/>
      <c r="IVU16"/>
      <c r="IVY16"/>
      <c r="IWC16"/>
      <c r="IWG16"/>
      <c r="IWK16"/>
      <c r="IWO16"/>
      <c r="IWS16"/>
      <c r="IWW16"/>
      <c r="IXA16"/>
      <c r="IXE16"/>
      <c r="IXI16"/>
      <c r="IXM16"/>
      <c r="IXQ16"/>
      <c r="IXU16"/>
      <c r="IXY16"/>
      <c r="IYC16"/>
      <c r="IYG16"/>
      <c r="IYK16"/>
      <c r="IYO16"/>
      <c r="IYS16"/>
      <c r="IYW16"/>
      <c r="IZA16"/>
      <c r="IZE16"/>
      <c r="IZI16"/>
      <c r="IZM16"/>
      <c r="IZQ16"/>
      <c r="IZU16"/>
      <c r="IZY16"/>
      <c r="JAC16"/>
      <c r="JAG16"/>
      <c r="JAK16"/>
      <c r="JAO16"/>
      <c r="JAS16"/>
      <c r="JAW16"/>
      <c r="JBA16"/>
      <c r="JBE16"/>
      <c r="JBI16"/>
      <c r="JBM16"/>
      <c r="JBQ16"/>
      <c r="JBU16"/>
      <c r="JBY16"/>
      <c r="JCC16"/>
      <c r="JCG16"/>
      <c r="JCK16"/>
      <c r="JCO16"/>
      <c r="JCS16"/>
      <c r="JCW16"/>
      <c r="JDA16"/>
      <c r="JDE16"/>
      <c r="JDI16"/>
      <c r="JDM16"/>
      <c r="JDQ16"/>
      <c r="JDU16"/>
      <c r="JDY16"/>
      <c r="JEC16"/>
      <c r="JEG16"/>
      <c r="JEK16"/>
      <c r="JEO16"/>
      <c r="JES16"/>
      <c r="JEW16"/>
      <c r="JFA16"/>
      <c r="JFE16"/>
      <c r="JFI16"/>
      <c r="JFM16"/>
      <c r="JFQ16"/>
      <c r="JFU16"/>
      <c r="JFY16"/>
      <c r="JGC16"/>
      <c r="JGG16"/>
      <c r="JGK16"/>
      <c r="JGO16"/>
      <c r="JGS16"/>
      <c r="JGW16"/>
      <c r="JHA16"/>
      <c r="JHE16"/>
      <c r="JHI16"/>
      <c r="JHM16"/>
      <c r="JHQ16"/>
      <c r="JHU16"/>
      <c r="JHY16"/>
      <c r="JIC16"/>
      <c r="JIG16"/>
      <c r="JIK16"/>
      <c r="JIO16"/>
      <c r="JIS16"/>
      <c r="JIW16"/>
      <c r="JJA16"/>
      <c r="JJE16"/>
      <c r="JJI16"/>
      <c r="JJM16"/>
      <c r="JJQ16"/>
      <c r="JJU16"/>
      <c r="JJY16"/>
      <c r="JKC16"/>
      <c r="JKG16"/>
      <c r="JKK16"/>
      <c r="JKO16"/>
      <c r="JKS16"/>
      <c r="JKW16"/>
      <c r="JLA16"/>
      <c r="JLE16"/>
      <c r="JLI16"/>
      <c r="JLM16"/>
      <c r="JLQ16"/>
      <c r="JLU16"/>
      <c r="JLY16"/>
      <c r="JMC16"/>
      <c r="JMG16"/>
      <c r="JMK16"/>
      <c r="JMO16"/>
      <c r="JMS16"/>
      <c r="JMW16"/>
      <c r="JNA16"/>
      <c r="JNE16"/>
      <c r="JNI16"/>
      <c r="JNM16"/>
      <c r="JNQ16"/>
      <c r="JNU16"/>
      <c r="JNY16"/>
      <c r="JOC16"/>
      <c r="JOG16"/>
      <c r="JOK16"/>
      <c r="JOO16"/>
      <c r="JOS16"/>
      <c r="JOW16"/>
      <c r="JPA16"/>
      <c r="JPE16"/>
      <c r="JPI16"/>
      <c r="JPM16"/>
      <c r="JPQ16"/>
      <c r="JPU16"/>
      <c r="JPY16"/>
      <c r="JQC16"/>
      <c r="JQG16"/>
      <c r="JQK16"/>
      <c r="JQO16"/>
      <c r="JQS16"/>
      <c r="JQW16"/>
      <c r="JRA16"/>
      <c r="JRE16"/>
      <c r="JRI16"/>
      <c r="JRM16"/>
      <c r="JRQ16"/>
      <c r="JRU16"/>
      <c r="JRY16"/>
      <c r="JSC16"/>
      <c r="JSG16"/>
      <c r="JSK16"/>
      <c r="JSO16"/>
      <c r="JSS16"/>
      <c r="JSW16"/>
      <c r="JTA16"/>
      <c r="JTE16"/>
      <c r="JTI16"/>
      <c r="JTM16"/>
      <c r="JTQ16"/>
      <c r="JTU16"/>
      <c r="JTY16"/>
      <c r="JUC16"/>
      <c r="JUG16"/>
      <c r="JUK16"/>
      <c r="JUO16"/>
      <c r="JUS16"/>
      <c r="JUW16"/>
      <c r="JVA16"/>
      <c r="JVE16"/>
      <c r="JVI16"/>
      <c r="JVM16"/>
      <c r="JVQ16"/>
      <c r="JVU16"/>
      <c r="JVY16"/>
      <c r="JWC16"/>
      <c r="JWG16"/>
      <c r="JWK16"/>
      <c r="JWO16"/>
      <c r="JWS16"/>
      <c r="JWW16"/>
      <c r="JXA16"/>
      <c r="JXE16"/>
      <c r="JXI16"/>
      <c r="JXM16"/>
      <c r="JXQ16"/>
      <c r="JXU16"/>
      <c r="JXY16"/>
      <c r="JYC16"/>
      <c r="JYG16"/>
      <c r="JYK16"/>
      <c r="JYO16"/>
      <c r="JYS16"/>
      <c r="JYW16"/>
      <c r="JZA16"/>
      <c r="JZE16"/>
      <c r="JZI16"/>
      <c r="JZM16"/>
      <c r="JZQ16"/>
      <c r="JZU16"/>
      <c r="JZY16"/>
      <c r="KAC16"/>
      <c r="KAG16"/>
      <c r="KAK16"/>
      <c r="KAO16"/>
      <c r="KAS16"/>
      <c r="KAW16"/>
      <c r="KBA16"/>
      <c r="KBE16"/>
      <c r="KBI16"/>
      <c r="KBM16"/>
      <c r="KBQ16"/>
      <c r="KBU16"/>
      <c r="KBY16"/>
      <c r="KCC16"/>
      <c r="KCG16"/>
      <c r="KCK16"/>
      <c r="KCO16"/>
      <c r="KCS16"/>
      <c r="KCW16"/>
      <c r="KDA16"/>
      <c r="KDE16"/>
      <c r="KDI16"/>
      <c r="KDM16"/>
      <c r="KDQ16"/>
      <c r="KDU16"/>
      <c r="KDY16"/>
      <c r="KEC16"/>
      <c r="KEG16"/>
      <c r="KEK16"/>
      <c r="KEO16"/>
      <c r="KES16"/>
      <c r="KEW16"/>
      <c r="KFA16"/>
      <c r="KFE16"/>
      <c r="KFI16"/>
      <c r="KFM16"/>
      <c r="KFQ16"/>
      <c r="KFU16"/>
      <c r="KFY16"/>
      <c r="KGC16"/>
      <c r="KGG16"/>
      <c r="KGK16"/>
      <c r="KGO16"/>
      <c r="KGS16"/>
      <c r="KGW16"/>
      <c r="KHA16"/>
      <c r="KHE16"/>
      <c r="KHI16"/>
      <c r="KHM16"/>
      <c r="KHQ16"/>
      <c r="KHU16"/>
      <c r="KHY16"/>
      <c r="KIC16"/>
      <c r="KIG16"/>
      <c r="KIK16"/>
      <c r="KIO16"/>
      <c r="KIS16"/>
      <c r="KIW16"/>
      <c r="KJA16"/>
      <c r="KJE16"/>
      <c r="KJI16"/>
      <c r="KJM16"/>
      <c r="KJQ16"/>
      <c r="KJU16"/>
      <c r="KJY16"/>
      <c r="KKC16"/>
      <c r="KKG16"/>
      <c r="KKK16"/>
      <c r="KKO16"/>
      <c r="KKS16"/>
      <c r="KKW16"/>
      <c r="KLA16"/>
      <c r="KLE16"/>
      <c r="KLI16"/>
      <c r="KLM16"/>
      <c r="KLQ16"/>
      <c r="KLU16"/>
      <c r="KLY16"/>
      <c r="KMC16"/>
      <c r="KMG16"/>
      <c r="KMK16"/>
      <c r="KMO16"/>
      <c r="KMS16"/>
      <c r="KMW16"/>
      <c r="KNA16"/>
      <c r="KNE16"/>
      <c r="KNI16"/>
      <c r="KNM16"/>
      <c r="KNQ16"/>
      <c r="KNU16"/>
      <c r="KNY16"/>
      <c r="KOC16"/>
      <c r="KOG16"/>
      <c r="KOK16"/>
      <c r="KOO16"/>
      <c r="KOS16"/>
      <c r="KOW16"/>
      <c r="KPA16"/>
      <c r="KPE16"/>
      <c r="KPI16"/>
      <c r="KPM16"/>
      <c r="KPQ16"/>
      <c r="KPU16"/>
      <c r="KPY16"/>
      <c r="KQC16"/>
      <c r="KQG16"/>
      <c r="KQK16"/>
      <c r="KQO16"/>
      <c r="KQS16"/>
      <c r="KQW16"/>
      <c r="KRA16"/>
      <c r="KRE16"/>
      <c r="KRI16"/>
      <c r="KRM16"/>
      <c r="KRQ16"/>
      <c r="KRU16"/>
      <c r="KRY16"/>
      <c r="KSC16"/>
      <c r="KSG16"/>
      <c r="KSK16"/>
      <c r="KSO16"/>
      <c r="KSS16"/>
      <c r="KSW16"/>
      <c r="KTA16"/>
      <c r="KTE16"/>
      <c r="KTI16"/>
      <c r="KTM16"/>
      <c r="KTQ16"/>
      <c r="KTU16"/>
      <c r="KTY16"/>
      <c r="KUC16"/>
      <c r="KUG16"/>
      <c r="KUK16"/>
      <c r="KUO16"/>
      <c r="KUS16"/>
      <c r="KUW16"/>
      <c r="KVA16"/>
      <c r="KVE16"/>
      <c r="KVI16"/>
      <c r="KVM16"/>
      <c r="KVQ16"/>
      <c r="KVU16"/>
      <c r="KVY16"/>
      <c r="KWC16"/>
      <c r="KWG16"/>
      <c r="KWK16"/>
      <c r="KWO16"/>
      <c r="KWS16"/>
      <c r="KWW16"/>
      <c r="KXA16"/>
      <c r="KXE16"/>
      <c r="KXI16"/>
      <c r="KXM16"/>
      <c r="KXQ16"/>
      <c r="KXU16"/>
      <c r="KXY16"/>
      <c r="KYC16"/>
      <c r="KYG16"/>
      <c r="KYK16"/>
      <c r="KYO16"/>
      <c r="KYS16"/>
      <c r="KYW16"/>
      <c r="KZA16"/>
      <c r="KZE16"/>
      <c r="KZI16"/>
      <c r="KZM16"/>
      <c r="KZQ16"/>
      <c r="KZU16"/>
      <c r="KZY16"/>
      <c r="LAC16"/>
      <c r="LAG16"/>
      <c r="LAK16"/>
      <c r="LAO16"/>
      <c r="LAS16"/>
      <c r="LAW16"/>
      <c r="LBA16"/>
      <c r="LBE16"/>
      <c r="LBI16"/>
      <c r="LBM16"/>
      <c r="LBQ16"/>
      <c r="LBU16"/>
      <c r="LBY16"/>
      <c r="LCC16"/>
      <c r="LCG16"/>
      <c r="LCK16"/>
      <c r="LCO16"/>
      <c r="LCS16"/>
      <c r="LCW16"/>
      <c r="LDA16"/>
      <c r="LDE16"/>
      <c r="LDI16"/>
      <c r="LDM16"/>
      <c r="LDQ16"/>
      <c r="LDU16"/>
      <c r="LDY16"/>
      <c r="LEC16"/>
      <c r="LEG16"/>
      <c r="LEK16"/>
      <c r="LEO16"/>
      <c r="LES16"/>
      <c r="LEW16"/>
      <c r="LFA16"/>
      <c r="LFE16"/>
      <c r="LFI16"/>
      <c r="LFM16"/>
      <c r="LFQ16"/>
      <c r="LFU16"/>
      <c r="LFY16"/>
      <c r="LGC16"/>
      <c r="LGG16"/>
      <c r="LGK16"/>
      <c r="LGO16"/>
      <c r="LGS16"/>
      <c r="LGW16"/>
      <c r="LHA16"/>
      <c r="LHE16"/>
      <c r="LHI16"/>
      <c r="LHM16"/>
      <c r="LHQ16"/>
      <c r="LHU16"/>
      <c r="LHY16"/>
      <c r="LIC16"/>
      <c r="LIG16"/>
      <c r="LIK16"/>
      <c r="LIO16"/>
      <c r="LIS16"/>
      <c r="LIW16"/>
      <c r="LJA16"/>
      <c r="LJE16"/>
      <c r="LJI16"/>
      <c r="LJM16"/>
      <c r="LJQ16"/>
      <c r="LJU16"/>
      <c r="LJY16"/>
      <c r="LKC16"/>
      <c r="LKG16"/>
      <c r="LKK16"/>
      <c r="LKO16"/>
      <c r="LKS16"/>
      <c r="LKW16"/>
      <c r="LLA16"/>
      <c r="LLE16"/>
      <c r="LLI16"/>
      <c r="LLM16"/>
      <c r="LLQ16"/>
      <c r="LLU16"/>
      <c r="LLY16"/>
      <c r="LMC16"/>
      <c r="LMG16"/>
      <c r="LMK16"/>
      <c r="LMO16"/>
      <c r="LMS16"/>
      <c r="LMW16"/>
      <c r="LNA16"/>
      <c r="LNE16"/>
      <c r="LNI16"/>
      <c r="LNM16"/>
      <c r="LNQ16"/>
      <c r="LNU16"/>
      <c r="LNY16"/>
      <c r="LOC16"/>
      <c r="LOG16"/>
      <c r="LOK16"/>
      <c r="LOO16"/>
      <c r="LOS16"/>
      <c r="LOW16"/>
      <c r="LPA16"/>
      <c r="LPE16"/>
      <c r="LPI16"/>
      <c r="LPM16"/>
      <c r="LPQ16"/>
      <c r="LPU16"/>
      <c r="LPY16"/>
      <c r="LQC16"/>
      <c r="LQG16"/>
      <c r="LQK16"/>
      <c r="LQO16"/>
      <c r="LQS16"/>
      <c r="LQW16"/>
      <c r="LRA16"/>
      <c r="LRE16"/>
      <c r="LRI16"/>
      <c r="LRM16"/>
      <c r="LRQ16"/>
      <c r="LRU16"/>
      <c r="LRY16"/>
      <c r="LSC16"/>
      <c r="LSG16"/>
      <c r="LSK16"/>
      <c r="LSO16"/>
      <c r="LSS16"/>
      <c r="LSW16"/>
      <c r="LTA16"/>
      <c r="LTE16"/>
      <c r="LTI16"/>
      <c r="LTM16"/>
      <c r="LTQ16"/>
      <c r="LTU16"/>
      <c r="LTY16"/>
      <c r="LUC16"/>
      <c r="LUG16"/>
      <c r="LUK16"/>
      <c r="LUO16"/>
      <c r="LUS16"/>
      <c r="LUW16"/>
      <c r="LVA16"/>
      <c r="LVE16"/>
      <c r="LVI16"/>
      <c r="LVM16"/>
      <c r="LVQ16"/>
      <c r="LVU16"/>
      <c r="LVY16"/>
      <c r="LWC16"/>
      <c r="LWG16"/>
      <c r="LWK16"/>
      <c r="LWO16"/>
      <c r="LWS16"/>
      <c r="LWW16"/>
      <c r="LXA16"/>
      <c r="LXE16"/>
      <c r="LXI16"/>
      <c r="LXM16"/>
      <c r="LXQ16"/>
      <c r="LXU16"/>
      <c r="LXY16"/>
      <c r="LYC16"/>
      <c r="LYG16"/>
      <c r="LYK16"/>
      <c r="LYO16"/>
      <c r="LYS16"/>
      <c r="LYW16"/>
      <c r="LZA16"/>
      <c r="LZE16"/>
      <c r="LZI16"/>
      <c r="LZM16"/>
      <c r="LZQ16"/>
      <c r="LZU16"/>
      <c r="LZY16"/>
      <c r="MAC16"/>
      <c r="MAG16"/>
      <c r="MAK16"/>
      <c r="MAO16"/>
      <c r="MAS16"/>
      <c r="MAW16"/>
      <c r="MBA16"/>
      <c r="MBE16"/>
      <c r="MBI16"/>
      <c r="MBM16"/>
      <c r="MBQ16"/>
      <c r="MBU16"/>
      <c r="MBY16"/>
      <c r="MCC16"/>
      <c r="MCG16"/>
      <c r="MCK16"/>
      <c r="MCO16"/>
      <c r="MCS16"/>
      <c r="MCW16"/>
      <c r="MDA16"/>
      <c r="MDE16"/>
      <c r="MDI16"/>
      <c r="MDM16"/>
      <c r="MDQ16"/>
      <c r="MDU16"/>
      <c r="MDY16"/>
      <c r="MEC16"/>
      <c r="MEG16"/>
      <c r="MEK16"/>
      <c r="MEO16"/>
      <c r="MES16"/>
      <c r="MEW16"/>
      <c r="MFA16"/>
      <c r="MFE16"/>
      <c r="MFI16"/>
      <c r="MFM16"/>
      <c r="MFQ16"/>
      <c r="MFU16"/>
      <c r="MFY16"/>
      <c r="MGC16"/>
      <c r="MGG16"/>
      <c r="MGK16"/>
      <c r="MGO16"/>
      <c r="MGS16"/>
      <c r="MGW16"/>
      <c r="MHA16"/>
      <c r="MHE16"/>
      <c r="MHI16"/>
      <c r="MHM16"/>
      <c r="MHQ16"/>
      <c r="MHU16"/>
      <c r="MHY16"/>
      <c r="MIC16"/>
      <c r="MIG16"/>
      <c r="MIK16"/>
      <c r="MIO16"/>
      <c r="MIS16"/>
      <c r="MIW16"/>
      <c r="MJA16"/>
      <c r="MJE16"/>
      <c r="MJI16"/>
      <c r="MJM16"/>
      <c r="MJQ16"/>
      <c r="MJU16"/>
      <c r="MJY16"/>
      <c r="MKC16"/>
      <c r="MKG16"/>
      <c r="MKK16"/>
      <c r="MKO16"/>
      <c r="MKS16"/>
      <c r="MKW16"/>
      <c r="MLA16"/>
      <c r="MLE16"/>
      <c r="MLI16"/>
      <c r="MLM16"/>
      <c r="MLQ16"/>
      <c r="MLU16"/>
      <c r="MLY16"/>
      <c r="MMC16"/>
      <c r="MMG16"/>
      <c r="MMK16"/>
      <c r="MMO16"/>
      <c r="MMS16"/>
      <c r="MMW16"/>
      <c r="MNA16"/>
      <c r="MNE16"/>
      <c r="MNI16"/>
      <c r="MNM16"/>
      <c r="MNQ16"/>
      <c r="MNU16"/>
      <c r="MNY16"/>
      <c r="MOC16"/>
      <c r="MOG16"/>
      <c r="MOK16"/>
      <c r="MOO16"/>
      <c r="MOS16"/>
      <c r="MOW16"/>
      <c r="MPA16"/>
      <c r="MPE16"/>
      <c r="MPI16"/>
      <c r="MPM16"/>
      <c r="MPQ16"/>
      <c r="MPU16"/>
      <c r="MPY16"/>
      <c r="MQC16"/>
      <c r="MQG16"/>
      <c r="MQK16"/>
      <c r="MQO16"/>
      <c r="MQS16"/>
      <c r="MQW16"/>
      <c r="MRA16"/>
      <c r="MRE16"/>
      <c r="MRI16"/>
      <c r="MRM16"/>
      <c r="MRQ16"/>
      <c r="MRU16"/>
      <c r="MRY16"/>
      <c r="MSC16"/>
      <c r="MSG16"/>
      <c r="MSK16"/>
      <c r="MSO16"/>
      <c r="MSS16"/>
      <c r="MSW16"/>
      <c r="MTA16"/>
      <c r="MTE16"/>
      <c r="MTI16"/>
      <c r="MTM16"/>
      <c r="MTQ16"/>
      <c r="MTU16"/>
      <c r="MTY16"/>
      <c r="MUC16"/>
      <c r="MUG16"/>
      <c r="MUK16"/>
      <c r="MUO16"/>
      <c r="MUS16"/>
      <c r="MUW16"/>
      <c r="MVA16"/>
      <c r="MVE16"/>
      <c r="MVI16"/>
      <c r="MVM16"/>
      <c r="MVQ16"/>
      <c r="MVU16"/>
      <c r="MVY16"/>
      <c r="MWC16"/>
      <c r="MWG16"/>
      <c r="MWK16"/>
      <c r="MWO16"/>
      <c r="MWS16"/>
      <c r="MWW16"/>
      <c r="MXA16"/>
      <c r="MXE16"/>
      <c r="MXI16"/>
      <c r="MXM16"/>
      <c r="MXQ16"/>
      <c r="MXU16"/>
      <c r="MXY16"/>
      <c r="MYC16"/>
      <c r="MYG16"/>
      <c r="MYK16"/>
      <c r="MYO16"/>
      <c r="MYS16"/>
      <c r="MYW16"/>
      <c r="MZA16"/>
      <c r="MZE16"/>
      <c r="MZI16"/>
      <c r="MZM16"/>
      <c r="MZQ16"/>
      <c r="MZU16"/>
      <c r="MZY16"/>
      <c r="NAC16"/>
      <c r="NAG16"/>
      <c r="NAK16"/>
      <c r="NAO16"/>
      <c r="NAS16"/>
      <c r="NAW16"/>
      <c r="NBA16"/>
      <c r="NBE16"/>
      <c r="NBI16"/>
      <c r="NBM16"/>
      <c r="NBQ16"/>
      <c r="NBU16"/>
      <c r="NBY16"/>
      <c r="NCC16"/>
      <c r="NCG16"/>
      <c r="NCK16"/>
      <c r="NCO16"/>
      <c r="NCS16"/>
      <c r="NCW16"/>
      <c r="NDA16"/>
      <c r="NDE16"/>
      <c r="NDI16"/>
      <c r="NDM16"/>
      <c r="NDQ16"/>
      <c r="NDU16"/>
      <c r="NDY16"/>
      <c r="NEC16"/>
      <c r="NEG16"/>
      <c r="NEK16"/>
      <c r="NEO16"/>
      <c r="NES16"/>
      <c r="NEW16"/>
      <c r="NFA16"/>
      <c r="NFE16"/>
      <c r="NFI16"/>
      <c r="NFM16"/>
      <c r="NFQ16"/>
      <c r="NFU16"/>
      <c r="NFY16"/>
      <c r="NGC16"/>
      <c r="NGG16"/>
      <c r="NGK16"/>
      <c r="NGO16"/>
      <c r="NGS16"/>
      <c r="NGW16"/>
      <c r="NHA16"/>
      <c r="NHE16"/>
      <c r="NHI16"/>
      <c r="NHM16"/>
      <c r="NHQ16"/>
      <c r="NHU16"/>
      <c r="NHY16"/>
      <c r="NIC16"/>
      <c r="NIG16"/>
      <c r="NIK16"/>
      <c r="NIO16"/>
      <c r="NIS16"/>
      <c r="NIW16"/>
      <c r="NJA16"/>
      <c r="NJE16"/>
      <c r="NJI16"/>
      <c r="NJM16"/>
      <c r="NJQ16"/>
      <c r="NJU16"/>
      <c r="NJY16"/>
      <c r="NKC16"/>
      <c r="NKG16"/>
      <c r="NKK16"/>
      <c r="NKO16"/>
      <c r="NKS16"/>
      <c r="NKW16"/>
      <c r="NLA16"/>
      <c r="NLE16"/>
      <c r="NLI16"/>
      <c r="NLM16"/>
      <c r="NLQ16"/>
      <c r="NLU16"/>
      <c r="NLY16"/>
      <c r="NMC16"/>
      <c r="NMG16"/>
      <c r="NMK16"/>
      <c r="NMO16"/>
      <c r="NMS16"/>
      <c r="NMW16"/>
      <c r="NNA16"/>
      <c r="NNE16"/>
      <c r="NNI16"/>
      <c r="NNM16"/>
      <c r="NNQ16"/>
      <c r="NNU16"/>
      <c r="NNY16"/>
      <c r="NOC16"/>
      <c r="NOG16"/>
      <c r="NOK16"/>
      <c r="NOO16"/>
      <c r="NOS16"/>
      <c r="NOW16"/>
      <c r="NPA16"/>
      <c r="NPE16"/>
      <c r="NPI16"/>
      <c r="NPM16"/>
      <c r="NPQ16"/>
      <c r="NPU16"/>
      <c r="NPY16"/>
      <c r="NQC16"/>
      <c r="NQG16"/>
      <c r="NQK16"/>
      <c r="NQO16"/>
      <c r="NQS16"/>
      <c r="NQW16"/>
      <c r="NRA16"/>
      <c r="NRE16"/>
      <c r="NRI16"/>
      <c r="NRM16"/>
      <c r="NRQ16"/>
      <c r="NRU16"/>
      <c r="NRY16"/>
      <c r="NSC16"/>
      <c r="NSG16"/>
      <c r="NSK16"/>
      <c r="NSO16"/>
      <c r="NSS16"/>
      <c r="NSW16"/>
      <c r="NTA16"/>
      <c r="NTE16"/>
      <c r="NTI16"/>
      <c r="NTM16"/>
      <c r="NTQ16"/>
      <c r="NTU16"/>
      <c r="NTY16"/>
      <c r="NUC16"/>
      <c r="NUG16"/>
      <c r="NUK16"/>
      <c r="NUO16"/>
      <c r="NUS16"/>
      <c r="NUW16"/>
      <c r="NVA16"/>
      <c r="NVE16"/>
      <c r="NVI16"/>
      <c r="NVM16"/>
      <c r="NVQ16"/>
      <c r="NVU16"/>
      <c r="NVY16"/>
      <c r="NWC16"/>
      <c r="NWG16"/>
      <c r="NWK16"/>
      <c r="NWO16"/>
      <c r="NWS16"/>
      <c r="NWW16"/>
      <c r="NXA16"/>
      <c r="NXE16"/>
      <c r="NXI16"/>
      <c r="NXM16"/>
      <c r="NXQ16"/>
      <c r="NXU16"/>
      <c r="NXY16"/>
      <c r="NYC16"/>
      <c r="NYG16"/>
      <c r="NYK16"/>
      <c r="NYO16"/>
      <c r="NYS16"/>
      <c r="NYW16"/>
      <c r="NZA16"/>
      <c r="NZE16"/>
      <c r="NZI16"/>
      <c r="NZM16"/>
      <c r="NZQ16"/>
      <c r="NZU16"/>
      <c r="NZY16"/>
      <c r="OAC16"/>
      <c r="OAG16"/>
      <c r="OAK16"/>
      <c r="OAO16"/>
      <c r="OAS16"/>
      <c r="OAW16"/>
      <c r="OBA16"/>
      <c r="OBE16"/>
      <c r="OBI16"/>
      <c r="OBM16"/>
      <c r="OBQ16"/>
      <c r="OBU16"/>
      <c r="OBY16"/>
      <c r="OCC16"/>
      <c r="OCG16"/>
      <c r="OCK16"/>
      <c r="OCO16"/>
      <c r="OCS16"/>
      <c r="OCW16"/>
      <c r="ODA16"/>
      <c r="ODE16"/>
      <c r="ODI16"/>
      <c r="ODM16"/>
      <c r="ODQ16"/>
      <c r="ODU16"/>
      <c r="ODY16"/>
      <c r="OEC16"/>
      <c r="OEG16"/>
      <c r="OEK16"/>
      <c r="OEO16"/>
      <c r="OES16"/>
      <c r="OEW16"/>
      <c r="OFA16"/>
      <c r="OFE16"/>
      <c r="OFI16"/>
      <c r="OFM16"/>
      <c r="OFQ16"/>
      <c r="OFU16"/>
      <c r="OFY16"/>
      <c r="OGC16"/>
      <c r="OGG16"/>
      <c r="OGK16"/>
      <c r="OGO16"/>
      <c r="OGS16"/>
      <c r="OGW16"/>
      <c r="OHA16"/>
      <c r="OHE16"/>
      <c r="OHI16"/>
      <c r="OHM16"/>
      <c r="OHQ16"/>
      <c r="OHU16"/>
      <c r="OHY16"/>
      <c r="OIC16"/>
      <c r="OIG16"/>
      <c r="OIK16"/>
      <c r="OIO16"/>
      <c r="OIS16"/>
      <c r="OIW16"/>
      <c r="OJA16"/>
      <c r="OJE16"/>
      <c r="OJI16"/>
      <c r="OJM16"/>
      <c r="OJQ16"/>
      <c r="OJU16"/>
      <c r="OJY16"/>
      <c r="OKC16"/>
      <c r="OKG16"/>
      <c r="OKK16"/>
      <c r="OKO16"/>
      <c r="OKS16"/>
      <c r="OKW16"/>
      <c r="OLA16"/>
      <c r="OLE16"/>
      <c r="OLI16"/>
      <c r="OLM16"/>
      <c r="OLQ16"/>
      <c r="OLU16"/>
      <c r="OLY16"/>
      <c r="OMC16"/>
      <c r="OMG16"/>
      <c r="OMK16"/>
      <c r="OMO16"/>
      <c r="OMS16"/>
      <c r="OMW16"/>
      <c r="ONA16"/>
      <c r="ONE16"/>
      <c r="ONI16"/>
      <c r="ONM16"/>
      <c r="ONQ16"/>
      <c r="ONU16"/>
      <c r="ONY16"/>
      <c r="OOC16"/>
      <c r="OOG16"/>
      <c r="OOK16"/>
      <c r="OOO16"/>
      <c r="OOS16"/>
      <c r="OOW16"/>
      <c r="OPA16"/>
      <c r="OPE16"/>
      <c r="OPI16"/>
      <c r="OPM16"/>
      <c r="OPQ16"/>
      <c r="OPU16"/>
      <c r="OPY16"/>
      <c r="OQC16"/>
      <c r="OQG16"/>
      <c r="OQK16"/>
      <c r="OQO16"/>
      <c r="OQS16"/>
      <c r="OQW16"/>
      <c r="ORA16"/>
      <c r="ORE16"/>
      <c r="ORI16"/>
      <c r="ORM16"/>
      <c r="ORQ16"/>
      <c r="ORU16"/>
      <c r="ORY16"/>
      <c r="OSC16"/>
      <c r="OSG16"/>
      <c r="OSK16"/>
      <c r="OSO16"/>
      <c r="OSS16"/>
      <c r="OSW16"/>
      <c r="OTA16"/>
      <c r="OTE16"/>
      <c r="OTI16"/>
      <c r="OTM16"/>
      <c r="OTQ16"/>
      <c r="OTU16"/>
      <c r="OTY16"/>
      <c r="OUC16"/>
      <c r="OUG16"/>
      <c r="OUK16"/>
      <c r="OUO16"/>
      <c r="OUS16"/>
      <c r="OUW16"/>
      <c r="OVA16"/>
      <c r="OVE16"/>
      <c r="OVI16"/>
      <c r="OVM16"/>
      <c r="OVQ16"/>
      <c r="OVU16"/>
      <c r="OVY16"/>
      <c r="OWC16"/>
      <c r="OWG16"/>
      <c r="OWK16"/>
      <c r="OWO16"/>
      <c r="OWS16"/>
      <c r="OWW16"/>
      <c r="OXA16"/>
      <c r="OXE16"/>
      <c r="OXI16"/>
      <c r="OXM16"/>
      <c r="OXQ16"/>
      <c r="OXU16"/>
      <c r="OXY16"/>
      <c r="OYC16"/>
      <c r="OYG16"/>
      <c r="OYK16"/>
      <c r="OYO16"/>
      <c r="OYS16"/>
      <c r="OYW16"/>
      <c r="OZA16"/>
      <c r="OZE16"/>
      <c r="OZI16"/>
      <c r="OZM16"/>
      <c r="OZQ16"/>
      <c r="OZU16"/>
      <c r="OZY16"/>
      <c r="PAC16"/>
      <c r="PAG16"/>
      <c r="PAK16"/>
      <c r="PAO16"/>
      <c r="PAS16"/>
      <c r="PAW16"/>
      <c r="PBA16"/>
      <c r="PBE16"/>
      <c r="PBI16"/>
      <c r="PBM16"/>
      <c r="PBQ16"/>
      <c r="PBU16"/>
      <c r="PBY16"/>
      <c r="PCC16"/>
      <c r="PCG16"/>
      <c r="PCK16"/>
      <c r="PCO16"/>
      <c r="PCS16"/>
      <c r="PCW16"/>
      <c r="PDA16"/>
      <c r="PDE16"/>
      <c r="PDI16"/>
      <c r="PDM16"/>
      <c r="PDQ16"/>
      <c r="PDU16"/>
      <c r="PDY16"/>
      <c r="PEC16"/>
      <c r="PEG16"/>
      <c r="PEK16"/>
      <c r="PEO16"/>
      <c r="PES16"/>
      <c r="PEW16"/>
      <c r="PFA16"/>
      <c r="PFE16"/>
      <c r="PFI16"/>
      <c r="PFM16"/>
      <c r="PFQ16"/>
      <c r="PFU16"/>
      <c r="PFY16"/>
      <c r="PGC16"/>
      <c r="PGG16"/>
      <c r="PGK16"/>
      <c r="PGO16"/>
      <c r="PGS16"/>
      <c r="PGW16"/>
      <c r="PHA16"/>
      <c r="PHE16"/>
      <c r="PHI16"/>
      <c r="PHM16"/>
      <c r="PHQ16"/>
      <c r="PHU16"/>
      <c r="PHY16"/>
      <c r="PIC16"/>
      <c r="PIG16"/>
      <c r="PIK16"/>
      <c r="PIO16"/>
      <c r="PIS16"/>
      <c r="PIW16"/>
      <c r="PJA16"/>
      <c r="PJE16"/>
      <c r="PJI16"/>
      <c r="PJM16"/>
      <c r="PJQ16"/>
      <c r="PJU16"/>
      <c r="PJY16"/>
      <c r="PKC16"/>
      <c r="PKG16"/>
      <c r="PKK16"/>
      <c r="PKO16"/>
      <c r="PKS16"/>
      <c r="PKW16"/>
      <c r="PLA16"/>
      <c r="PLE16"/>
      <c r="PLI16"/>
      <c r="PLM16"/>
      <c r="PLQ16"/>
      <c r="PLU16"/>
      <c r="PLY16"/>
      <c r="PMC16"/>
      <c r="PMG16"/>
      <c r="PMK16"/>
      <c r="PMO16"/>
      <c r="PMS16"/>
      <c r="PMW16"/>
      <c r="PNA16"/>
      <c r="PNE16"/>
      <c r="PNI16"/>
      <c r="PNM16"/>
      <c r="PNQ16"/>
      <c r="PNU16"/>
      <c r="PNY16"/>
      <c r="POC16"/>
      <c r="POG16"/>
      <c r="POK16"/>
      <c r="POO16"/>
      <c r="POS16"/>
      <c r="POW16"/>
      <c r="PPA16"/>
      <c r="PPE16"/>
      <c r="PPI16"/>
      <c r="PPM16"/>
      <c r="PPQ16"/>
      <c r="PPU16"/>
      <c r="PPY16"/>
      <c r="PQC16"/>
      <c r="PQG16"/>
      <c r="PQK16"/>
      <c r="PQO16"/>
      <c r="PQS16"/>
      <c r="PQW16"/>
      <c r="PRA16"/>
      <c r="PRE16"/>
      <c r="PRI16"/>
      <c r="PRM16"/>
      <c r="PRQ16"/>
      <c r="PRU16"/>
      <c r="PRY16"/>
      <c r="PSC16"/>
      <c r="PSG16"/>
      <c r="PSK16"/>
      <c r="PSO16"/>
      <c r="PSS16"/>
      <c r="PSW16"/>
      <c r="PTA16"/>
      <c r="PTE16"/>
      <c r="PTI16"/>
      <c r="PTM16"/>
      <c r="PTQ16"/>
      <c r="PTU16"/>
      <c r="PTY16"/>
      <c r="PUC16"/>
      <c r="PUG16"/>
      <c r="PUK16"/>
      <c r="PUO16"/>
      <c r="PUS16"/>
      <c r="PUW16"/>
      <c r="PVA16"/>
      <c r="PVE16"/>
      <c r="PVI16"/>
      <c r="PVM16"/>
      <c r="PVQ16"/>
      <c r="PVU16"/>
      <c r="PVY16"/>
      <c r="PWC16"/>
      <c r="PWG16"/>
      <c r="PWK16"/>
      <c r="PWO16"/>
      <c r="PWS16"/>
      <c r="PWW16"/>
      <c r="PXA16"/>
      <c r="PXE16"/>
      <c r="PXI16"/>
      <c r="PXM16"/>
      <c r="PXQ16"/>
      <c r="PXU16"/>
      <c r="PXY16"/>
      <c r="PYC16"/>
      <c r="PYG16"/>
      <c r="PYK16"/>
      <c r="PYO16"/>
      <c r="PYS16"/>
      <c r="PYW16"/>
      <c r="PZA16"/>
      <c r="PZE16"/>
      <c r="PZI16"/>
      <c r="PZM16"/>
      <c r="PZQ16"/>
      <c r="PZU16"/>
      <c r="PZY16"/>
      <c r="QAC16"/>
      <c r="QAG16"/>
      <c r="QAK16"/>
      <c r="QAO16"/>
      <c r="QAS16"/>
      <c r="QAW16"/>
      <c r="QBA16"/>
      <c r="QBE16"/>
      <c r="QBI16"/>
      <c r="QBM16"/>
      <c r="QBQ16"/>
      <c r="QBU16"/>
      <c r="QBY16"/>
      <c r="QCC16"/>
      <c r="QCG16"/>
      <c r="QCK16"/>
      <c r="QCO16"/>
      <c r="QCS16"/>
      <c r="QCW16"/>
      <c r="QDA16"/>
      <c r="QDE16"/>
      <c r="QDI16"/>
      <c r="QDM16"/>
      <c r="QDQ16"/>
      <c r="QDU16"/>
      <c r="QDY16"/>
      <c r="QEC16"/>
      <c r="QEG16"/>
      <c r="QEK16"/>
      <c r="QEO16"/>
      <c r="QES16"/>
      <c r="QEW16"/>
      <c r="QFA16"/>
      <c r="QFE16"/>
      <c r="QFI16"/>
      <c r="QFM16"/>
      <c r="QFQ16"/>
      <c r="QFU16"/>
      <c r="QFY16"/>
      <c r="QGC16"/>
      <c r="QGG16"/>
      <c r="QGK16"/>
      <c r="QGO16"/>
      <c r="QGS16"/>
      <c r="QGW16"/>
      <c r="QHA16"/>
      <c r="QHE16"/>
      <c r="QHI16"/>
      <c r="QHM16"/>
      <c r="QHQ16"/>
      <c r="QHU16"/>
      <c r="QHY16"/>
      <c r="QIC16"/>
      <c r="QIG16"/>
      <c r="QIK16"/>
      <c r="QIO16"/>
      <c r="QIS16"/>
      <c r="QIW16"/>
      <c r="QJA16"/>
      <c r="QJE16"/>
      <c r="QJI16"/>
      <c r="QJM16"/>
      <c r="QJQ16"/>
      <c r="QJU16"/>
      <c r="QJY16"/>
      <c r="QKC16"/>
      <c r="QKG16"/>
      <c r="QKK16"/>
      <c r="QKO16"/>
      <c r="QKS16"/>
      <c r="QKW16"/>
      <c r="QLA16"/>
      <c r="QLE16"/>
      <c r="QLI16"/>
      <c r="QLM16"/>
      <c r="QLQ16"/>
      <c r="QLU16"/>
      <c r="QLY16"/>
      <c r="QMC16"/>
      <c r="QMG16"/>
      <c r="QMK16"/>
      <c r="QMO16"/>
      <c r="QMS16"/>
      <c r="QMW16"/>
      <c r="QNA16"/>
      <c r="QNE16"/>
      <c r="QNI16"/>
      <c r="QNM16"/>
      <c r="QNQ16"/>
      <c r="QNU16"/>
      <c r="QNY16"/>
      <c r="QOC16"/>
      <c r="QOG16"/>
      <c r="QOK16"/>
      <c r="QOO16"/>
      <c r="QOS16"/>
      <c r="QOW16"/>
      <c r="QPA16"/>
      <c r="QPE16"/>
      <c r="QPI16"/>
      <c r="QPM16"/>
      <c r="QPQ16"/>
      <c r="QPU16"/>
      <c r="QPY16"/>
      <c r="QQC16"/>
      <c r="QQG16"/>
      <c r="QQK16"/>
      <c r="QQO16"/>
      <c r="QQS16"/>
      <c r="QQW16"/>
      <c r="QRA16"/>
      <c r="QRE16"/>
      <c r="QRI16"/>
      <c r="QRM16"/>
      <c r="QRQ16"/>
      <c r="QRU16"/>
      <c r="QRY16"/>
      <c r="QSC16"/>
      <c r="QSG16"/>
      <c r="QSK16"/>
      <c r="QSO16"/>
      <c r="QSS16"/>
      <c r="QSW16"/>
      <c r="QTA16"/>
      <c r="QTE16"/>
      <c r="QTI16"/>
      <c r="QTM16"/>
      <c r="QTQ16"/>
      <c r="QTU16"/>
      <c r="QTY16"/>
      <c r="QUC16"/>
      <c r="QUG16"/>
      <c r="QUK16"/>
      <c r="QUO16"/>
      <c r="QUS16"/>
      <c r="QUW16"/>
      <c r="QVA16"/>
      <c r="QVE16"/>
      <c r="QVI16"/>
      <c r="QVM16"/>
      <c r="QVQ16"/>
      <c r="QVU16"/>
      <c r="QVY16"/>
      <c r="QWC16"/>
      <c r="QWG16"/>
      <c r="QWK16"/>
      <c r="QWO16"/>
      <c r="QWS16"/>
      <c r="QWW16"/>
      <c r="QXA16"/>
      <c r="QXE16"/>
      <c r="QXI16"/>
      <c r="QXM16"/>
      <c r="QXQ16"/>
      <c r="QXU16"/>
      <c r="QXY16"/>
      <c r="QYC16"/>
      <c r="QYG16"/>
      <c r="QYK16"/>
      <c r="QYO16"/>
      <c r="QYS16"/>
      <c r="QYW16"/>
      <c r="QZA16"/>
      <c r="QZE16"/>
      <c r="QZI16"/>
      <c r="QZM16"/>
      <c r="QZQ16"/>
      <c r="QZU16"/>
      <c r="QZY16"/>
      <c r="RAC16"/>
      <c r="RAG16"/>
      <c r="RAK16"/>
      <c r="RAO16"/>
      <c r="RAS16"/>
      <c r="RAW16"/>
      <c r="RBA16"/>
      <c r="RBE16"/>
      <c r="RBI16"/>
      <c r="RBM16"/>
      <c r="RBQ16"/>
      <c r="RBU16"/>
      <c r="RBY16"/>
      <c r="RCC16"/>
      <c r="RCG16"/>
      <c r="RCK16"/>
      <c r="RCO16"/>
      <c r="RCS16"/>
      <c r="RCW16"/>
      <c r="RDA16"/>
      <c r="RDE16"/>
      <c r="RDI16"/>
      <c r="RDM16"/>
      <c r="RDQ16"/>
      <c r="RDU16"/>
      <c r="RDY16"/>
      <c r="REC16"/>
      <c r="REG16"/>
      <c r="REK16"/>
      <c r="REO16"/>
      <c r="RES16"/>
      <c r="REW16"/>
      <c r="RFA16"/>
      <c r="RFE16"/>
      <c r="RFI16"/>
      <c r="RFM16"/>
      <c r="RFQ16"/>
      <c r="RFU16"/>
      <c r="RFY16"/>
      <c r="RGC16"/>
      <c r="RGG16"/>
      <c r="RGK16"/>
      <c r="RGO16"/>
      <c r="RGS16"/>
      <c r="RGW16"/>
      <c r="RHA16"/>
      <c r="RHE16"/>
      <c r="RHI16"/>
      <c r="RHM16"/>
      <c r="RHQ16"/>
      <c r="RHU16"/>
      <c r="RHY16"/>
      <c r="RIC16"/>
      <c r="RIG16"/>
      <c r="RIK16"/>
      <c r="RIO16"/>
      <c r="RIS16"/>
      <c r="RIW16"/>
      <c r="RJA16"/>
      <c r="RJE16"/>
      <c r="RJI16"/>
      <c r="RJM16"/>
      <c r="RJQ16"/>
      <c r="RJU16"/>
      <c r="RJY16"/>
      <c r="RKC16"/>
      <c r="RKG16"/>
      <c r="RKK16"/>
      <c r="RKO16"/>
      <c r="RKS16"/>
      <c r="RKW16"/>
      <c r="RLA16"/>
      <c r="RLE16"/>
      <c r="RLI16"/>
      <c r="RLM16"/>
      <c r="RLQ16"/>
      <c r="RLU16"/>
      <c r="RLY16"/>
      <c r="RMC16"/>
      <c r="RMG16"/>
      <c r="RMK16"/>
      <c r="RMO16"/>
      <c r="RMS16"/>
      <c r="RMW16"/>
      <c r="RNA16"/>
      <c r="RNE16"/>
      <c r="RNI16"/>
      <c r="RNM16"/>
      <c r="RNQ16"/>
      <c r="RNU16"/>
      <c r="RNY16"/>
      <c r="ROC16"/>
      <c r="ROG16"/>
      <c r="ROK16"/>
      <c r="ROO16"/>
      <c r="ROS16"/>
      <c r="ROW16"/>
      <c r="RPA16"/>
      <c r="RPE16"/>
      <c r="RPI16"/>
      <c r="RPM16"/>
      <c r="RPQ16"/>
      <c r="RPU16"/>
      <c r="RPY16"/>
      <c r="RQC16"/>
      <c r="RQG16"/>
      <c r="RQK16"/>
      <c r="RQO16"/>
      <c r="RQS16"/>
      <c r="RQW16"/>
      <c r="RRA16"/>
      <c r="RRE16"/>
      <c r="RRI16"/>
      <c r="RRM16"/>
      <c r="RRQ16"/>
      <c r="RRU16"/>
      <c r="RRY16"/>
      <c r="RSC16"/>
      <c r="RSG16"/>
      <c r="RSK16"/>
      <c r="RSO16"/>
      <c r="RSS16"/>
      <c r="RSW16"/>
      <c r="RTA16"/>
      <c r="RTE16"/>
      <c r="RTI16"/>
      <c r="RTM16"/>
      <c r="RTQ16"/>
      <c r="RTU16"/>
      <c r="RTY16"/>
      <c r="RUC16"/>
      <c r="RUG16"/>
      <c r="RUK16"/>
      <c r="RUO16"/>
      <c r="RUS16"/>
      <c r="RUW16"/>
      <c r="RVA16"/>
      <c r="RVE16"/>
      <c r="RVI16"/>
      <c r="RVM16"/>
      <c r="RVQ16"/>
      <c r="RVU16"/>
      <c r="RVY16"/>
      <c r="RWC16"/>
      <c r="RWG16"/>
      <c r="RWK16"/>
      <c r="RWO16"/>
      <c r="RWS16"/>
      <c r="RWW16"/>
      <c r="RXA16"/>
      <c r="RXE16"/>
      <c r="RXI16"/>
      <c r="RXM16"/>
      <c r="RXQ16"/>
      <c r="RXU16"/>
      <c r="RXY16"/>
      <c r="RYC16"/>
      <c r="RYG16"/>
      <c r="RYK16"/>
      <c r="RYO16"/>
      <c r="RYS16"/>
      <c r="RYW16"/>
      <c r="RZA16"/>
      <c r="RZE16"/>
      <c r="RZI16"/>
      <c r="RZM16"/>
      <c r="RZQ16"/>
      <c r="RZU16"/>
      <c r="RZY16"/>
      <c r="SAC16"/>
      <c r="SAG16"/>
      <c r="SAK16"/>
      <c r="SAO16"/>
      <c r="SAS16"/>
      <c r="SAW16"/>
      <c r="SBA16"/>
      <c r="SBE16"/>
      <c r="SBI16"/>
      <c r="SBM16"/>
      <c r="SBQ16"/>
      <c r="SBU16"/>
      <c r="SBY16"/>
      <c r="SCC16"/>
      <c r="SCG16"/>
      <c r="SCK16"/>
      <c r="SCO16"/>
      <c r="SCS16"/>
      <c r="SCW16"/>
      <c r="SDA16"/>
      <c r="SDE16"/>
      <c r="SDI16"/>
      <c r="SDM16"/>
      <c r="SDQ16"/>
      <c r="SDU16"/>
      <c r="SDY16"/>
      <c r="SEC16"/>
      <c r="SEG16"/>
      <c r="SEK16"/>
      <c r="SEO16"/>
      <c r="SES16"/>
      <c r="SEW16"/>
      <c r="SFA16"/>
      <c r="SFE16"/>
      <c r="SFI16"/>
      <c r="SFM16"/>
      <c r="SFQ16"/>
      <c r="SFU16"/>
      <c r="SFY16"/>
      <c r="SGC16"/>
      <c r="SGG16"/>
      <c r="SGK16"/>
      <c r="SGO16"/>
      <c r="SGS16"/>
      <c r="SGW16"/>
      <c r="SHA16"/>
      <c r="SHE16"/>
      <c r="SHI16"/>
      <c r="SHM16"/>
      <c r="SHQ16"/>
      <c r="SHU16"/>
      <c r="SHY16"/>
      <c r="SIC16"/>
      <c r="SIG16"/>
      <c r="SIK16"/>
      <c r="SIO16"/>
      <c r="SIS16"/>
      <c r="SIW16"/>
      <c r="SJA16"/>
      <c r="SJE16"/>
      <c r="SJI16"/>
      <c r="SJM16"/>
      <c r="SJQ16"/>
      <c r="SJU16"/>
      <c r="SJY16"/>
      <c r="SKC16"/>
      <c r="SKG16"/>
      <c r="SKK16"/>
      <c r="SKO16"/>
      <c r="SKS16"/>
      <c r="SKW16"/>
      <c r="SLA16"/>
      <c r="SLE16"/>
      <c r="SLI16"/>
      <c r="SLM16"/>
      <c r="SLQ16"/>
      <c r="SLU16"/>
      <c r="SLY16"/>
      <c r="SMC16"/>
      <c r="SMG16"/>
      <c r="SMK16"/>
      <c r="SMO16"/>
      <c r="SMS16"/>
      <c r="SMW16"/>
      <c r="SNA16"/>
      <c r="SNE16"/>
      <c r="SNI16"/>
      <c r="SNM16"/>
      <c r="SNQ16"/>
      <c r="SNU16"/>
      <c r="SNY16"/>
      <c r="SOC16"/>
      <c r="SOG16"/>
      <c r="SOK16"/>
      <c r="SOO16"/>
      <c r="SOS16"/>
      <c r="SOW16"/>
      <c r="SPA16"/>
      <c r="SPE16"/>
      <c r="SPI16"/>
      <c r="SPM16"/>
      <c r="SPQ16"/>
      <c r="SPU16"/>
      <c r="SPY16"/>
      <c r="SQC16"/>
      <c r="SQG16"/>
      <c r="SQK16"/>
      <c r="SQO16"/>
      <c r="SQS16"/>
      <c r="SQW16"/>
      <c r="SRA16"/>
      <c r="SRE16"/>
      <c r="SRI16"/>
      <c r="SRM16"/>
      <c r="SRQ16"/>
      <c r="SRU16"/>
      <c r="SRY16"/>
      <c r="SSC16"/>
      <c r="SSG16"/>
      <c r="SSK16"/>
      <c r="SSO16"/>
      <c r="SSS16"/>
      <c r="SSW16"/>
      <c r="STA16"/>
      <c r="STE16"/>
      <c r="STI16"/>
      <c r="STM16"/>
      <c r="STQ16"/>
      <c r="STU16"/>
      <c r="STY16"/>
      <c r="SUC16"/>
      <c r="SUG16"/>
      <c r="SUK16"/>
      <c r="SUO16"/>
      <c r="SUS16"/>
      <c r="SUW16"/>
      <c r="SVA16"/>
      <c r="SVE16"/>
      <c r="SVI16"/>
      <c r="SVM16"/>
      <c r="SVQ16"/>
      <c r="SVU16"/>
      <c r="SVY16"/>
      <c r="SWC16"/>
      <c r="SWG16"/>
      <c r="SWK16"/>
      <c r="SWO16"/>
      <c r="SWS16"/>
      <c r="SWW16"/>
      <c r="SXA16"/>
      <c r="SXE16"/>
      <c r="SXI16"/>
      <c r="SXM16"/>
      <c r="SXQ16"/>
      <c r="SXU16"/>
      <c r="SXY16"/>
      <c r="SYC16"/>
      <c r="SYG16"/>
      <c r="SYK16"/>
      <c r="SYO16"/>
      <c r="SYS16"/>
      <c r="SYW16"/>
      <c r="SZA16"/>
      <c r="SZE16"/>
      <c r="SZI16"/>
      <c r="SZM16"/>
      <c r="SZQ16"/>
      <c r="SZU16"/>
      <c r="SZY16"/>
      <c r="TAC16"/>
      <c r="TAG16"/>
      <c r="TAK16"/>
      <c r="TAO16"/>
      <c r="TAS16"/>
      <c r="TAW16"/>
      <c r="TBA16"/>
      <c r="TBE16"/>
      <c r="TBI16"/>
      <c r="TBM16"/>
      <c r="TBQ16"/>
      <c r="TBU16"/>
      <c r="TBY16"/>
      <c r="TCC16"/>
      <c r="TCG16"/>
      <c r="TCK16"/>
      <c r="TCO16"/>
      <c r="TCS16"/>
      <c r="TCW16"/>
      <c r="TDA16"/>
      <c r="TDE16"/>
      <c r="TDI16"/>
      <c r="TDM16"/>
      <c r="TDQ16"/>
      <c r="TDU16"/>
      <c r="TDY16"/>
      <c r="TEC16"/>
      <c r="TEG16"/>
      <c r="TEK16"/>
      <c r="TEO16"/>
      <c r="TES16"/>
      <c r="TEW16"/>
      <c r="TFA16"/>
      <c r="TFE16"/>
      <c r="TFI16"/>
      <c r="TFM16"/>
      <c r="TFQ16"/>
      <c r="TFU16"/>
      <c r="TFY16"/>
      <c r="TGC16"/>
      <c r="TGG16"/>
      <c r="TGK16"/>
      <c r="TGO16"/>
      <c r="TGS16"/>
      <c r="TGW16"/>
      <c r="THA16"/>
      <c r="THE16"/>
      <c r="THI16"/>
      <c r="THM16"/>
      <c r="THQ16"/>
      <c r="THU16"/>
      <c r="THY16"/>
      <c r="TIC16"/>
      <c r="TIG16"/>
      <c r="TIK16"/>
      <c r="TIO16"/>
      <c r="TIS16"/>
      <c r="TIW16"/>
      <c r="TJA16"/>
      <c r="TJE16"/>
      <c r="TJI16"/>
      <c r="TJM16"/>
      <c r="TJQ16"/>
      <c r="TJU16"/>
      <c r="TJY16"/>
      <c r="TKC16"/>
      <c r="TKG16"/>
      <c r="TKK16"/>
      <c r="TKO16"/>
      <c r="TKS16"/>
      <c r="TKW16"/>
      <c r="TLA16"/>
      <c r="TLE16"/>
      <c r="TLI16"/>
      <c r="TLM16"/>
      <c r="TLQ16"/>
      <c r="TLU16"/>
      <c r="TLY16"/>
      <c r="TMC16"/>
      <c r="TMG16"/>
      <c r="TMK16"/>
      <c r="TMO16"/>
      <c r="TMS16"/>
      <c r="TMW16"/>
      <c r="TNA16"/>
      <c r="TNE16"/>
      <c r="TNI16"/>
      <c r="TNM16"/>
      <c r="TNQ16"/>
      <c r="TNU16"/>
      <c r="TNY16"/>
      <c r="TOC16"/>
      <c r="TOG16"/>
      <c r="TOK16"/>
      <c r="TOO16"/>
      <c r="TOS16"/>
      <c r="TOW16"/>
      <c r="TPA16"/>
      <c r="TPE16"/>
      <c r="TPI16"/>
      <c r="TPM16"/>
      <c r="TPQ16"/>
      <c r="TPU16"/>
      <c r="TPY16"/>
      <c r="TQC16"/>
      <c r="TQG16"/>
      <c r="TQK16"/>
      <c r="TQO16"/>
      <c r="TQS16"/>
      <c r="TQW16"/>
      <c r="TRA16"/>
      <c r="TRE16"/>
      <c r="TRI16"/>
      <c r="TRM16"/>
      <c r="TRQ16"/>
      <c r="TRU16"/>
      <c r="TRY16"/>
      <c r="TSC16"/>
      <c r="TSG16"/>
      <c r="TSK16"/>
      <c r="TSO16"/>
      <c r="TSS16"/>
      <c r="TSW16"/>
      <c r="TTA16"/>
      <c r="TTE16"/>
      <c r="TTI16"/>
      <c r="TTM16"/>
      <c r="TTQ16"/>
      <c r="TTU16"/>
      <c r="TTY16"/>
      <c r="TUC16"/>
      <c r="TUG16"/>
      <c r="TUK16"/>
      <c r="TUO16"/>
      <c r="TUS16"/>
      <c r="TUW16"/>
      <c r="TVA16"/>
      <c r="TVE16"/>
      <c r="TVI16"/>
      <c r="TVM16"/>
      <c r="TVQ16"/>
      <c r="TVU16"/>
      <c r="TVY16"/>
      <c r="TWC16"/>
      <c r="TWG16"/>
      <c r="TWK16"/>
      <c r="TWO16"/>
      <c r="TWS16"/>
      <c r="TWW16"/>
      <c r="TXA16"/>
      <c r="TXE16"/>
      <c r="TXI16"/>
      <c r="TXM16"/>
      <c r="TXQ16"/>
      <c r="TXU16"/>
      <c r="TXY16"/>
      <c r="TYC16"/>
      <c r="TYG16"/>
      <c r="TYK16"/>
      <c r="TYO16"/>
      <c r="TYS16"/>
      <c r="TYW16"/>
      <c r="TZA16"/>
      <c r="TZE16"/>
      <c r="TZI16"/>
      <c r="TZM16"/>
      <c r="TZQ16"/>
      <c r="TZU16"/>
      <c r="TZY16"/>
      <c r="UAC16"/>
      <c r="UAG16"/>
      <c r="UAK16"/>
      <c r="UAO16"/>
      <c r="UAS16"/>
      <c r="UAW16"/>
      <c r="UBA16"/>
      <c r="UBE16"/>
      <c r="UBI16"/>
      <c r="UBM16"/>
      <c r="UBQ16"/>
      <c r="UBU16"/>
      <c r="UBY16"/>
      <c r="UCC16"/>
      <c r="UCG16"/>
      <c r="UCK16"/>
      <c r="UCO16"/>
      <c r="UCS16"/>
      <c r="UCW16"/>
      <c r="UDA16"/>
      <c r="UDE16"/>
      <c r="UDI16"/>
      <c r="UDM16"/>
      <c r="UDQ16"/>
      <c r="UDU16"/>
      <c r="UDY16"/>
      <c r="UEC16"/>
      <c r="UEG16"/>
      <c r="UEK16"/>
      <c r="UEO16"/>
      <c r="UES16"/>
      <c r="UEW16"/>
      <c r="UFA16"/>
      <c r="UFE16"/>
      <c r="UFI16"/>
      <c r="UFM16"/>
      <c r="UFQ16"/>
      <c r="UFU16"/>
      <c r="UFY16"/>
      <c r="UGC16"/>
      <c r="UGG16"/>
      <c r="UGK16"/>
      <c r="UGO16"/>
      <c r="UGS16"/>
      <c r="UGW16"/>
      <c r="UHA16"/>
      <c r="UHE16"/>
      <c r="UHI16"/>
      <c r="UHM16"/>
      <c r="UHQ16"/>
      <c r="UHU16"/>
      <c r="UHY16"/>
      <c r="UIC16"/>
      <c r="UIG16"/>
      <c r="UIK16"/>
      <c r="UIO16"/>
      <c r="UIS16"/>
      <c r="UIW16"/>
      <c r="UJA16"/>
      <c r="UJE16"/>
      <c r="UJI16"/>
      <c r="UJM16"/>
      <c r="UJQ16"/>
      <c r="UJU16"/>
      <c r="UJY16"/>
      <c r="UKC16"/>
      <c r="UKG16"/>
      <c r="UKK16"/>
      <c r="UKO16"/>
      <c r="UKS16"/>
      <c r="UKW16"/>
      <c r="ULA16"/>
      <c r="ULE16"/>
      <c r="ULI16"/>
      <c r="ULM16"/>
      <c r="ULQ16"/>
      <c r="ULU16"/>
      <c r="ULY16"/>
      <c r="UMC16"/>
      <c r="UMG16"/>
      <c r="UMK16"/>
      <c r="UMO16"/>
      <c r="UMS16"/>
      <c r="UMW16"/>
      <c r="UNA16"/>
      <c r="UNE16"/>
      <c r="UNI16"/>
      <c r="UNM16"/>
      <c r="UNQ16"/>
      <c r="UNU16"/>
      <c r="UNY16"/>
      <c r="UOC16"/>
      <c r="UOG16"/>
      <c r="UOK16"/>
      <c r="UOO16"/>
      <c r="UOS16"/>
      <c r="UOW16"/>
      <c r="UPA16"/>
      <c r="UPE16"/>
      <c r="UPI16"/>
      <c r="UPM16"/>
      <c r="UPQ16"/>
      <c r="UPU16"/>
      <c r="UPY16"/>
      <c r="UQC16"/>
      <c r="UQG16"/>
      <c r="UQK16"/>
      <c r="UQO16"/>
      <c r="UQS16"/>
      <c r="UQW16"/>
      <c r="URA16"/>
      <c r="URE16"/>
      <c r="URI16"/>
      <c r="URM16"/>
      <c r="URQ16"/>
      <c r="URU16"/>
      <c r="URY16"/>
      <c r="USC16"/>
      <c r="USG16"/>
      <c r="USK16"/>
      <c r="USO16"/>
      <c r="USS16"/>
      <c r="USW16"/>
      <c r="UTA16"/>
      <c r="UTE16"/>
      <c r="UTI16"/>
      <c r="UTM16"/>
      <c r="UTQ16"/>
      <c r="UTU16"/>
      <c r="UTY16"/>
      <c r="UUC16"/>
      <c r="UUG16"/>
      <c r="UUK16"/>
      <c r="UUO16"/>
      <c r="UUS16"/>
      <c r="UUW16"/>
      <c r="UVA16"/>
      <c r="UVE16"/>
      <c r="UVI16"/>
      <c r="UVM16"/>
      <c r="UVQ16"/>
      <c r="UVU16"/>
      <c r="UVY16"/>
      <c r="UWC16"/>
      <c r="UWG16"/>
      <c r="UWK16"/>
      <c r="UWO16"/>
      <c r="UWS16"/>
      <c r="UWW16"/>
      <c r="UXA16"/>
      <c r="UXE16"/>
      <c r="UXI16"/>
      <c r="UXM16"/>
      <c r="UXQ16"/>
      <c r="UXU16"/>
      <c r="UXY16"/>
      <c r="UYC16"/>
      <c r="UYG16"/>
      <c r="UYK16"/>
      <c r="UYO16"/>
      <c r="UYS16"/>
      <c r="UYW16"/>
      <c r="UZA16"/>
      <c r="UZE16"/>
      <c r="UZI16"/>
      <c r="UZM16"/>
      <c r="UZQ16"/>
      <c r="UZU16"/>
      <c r="UZY16"/>
      <c r="VAC16"/>
      <c r="VAG16"/>
      <c r="VAK16"/>
      <c r="VAO16"/>
      <c r="VAS16"/>
      <c r="VAW16"/>
      <c r="VBA16"/>
      <c r="VBE16"/>
      <c r="VBI16"/>
      <c r="VBM16"/>
      <c r="VBQ16"/>
      <c r="VBU16"/>
      <c r="VBY16"/>
      <c r="VCC16"/>
      <c r="VCG16"/>
      <c r="VCK16"/>
      <c r="VCO16"/>
      <c r="VCS16"/>
      <c r="VCW16"/>
      <c r="VDA16"/>
      <c r="VDE16"/>
      <c r="VDI16"/>
      <c r="VDM16"/>
      <c r="VDQ16"/>
      <c r="VDU16"/>
      <c r="VDY16"/>
      <c r="VEC16"/>
      <c r="VEG16"/>
      <c r="VEK16"/>
      <c r="VEO16"/>
      <c r="VES16"/>
      <c r="VEW16"/>
      <c r="VFA16"/>
      <c r="VFE16"/>
      <c r="VFI16"/>
      <c r="VFM16"/>
      <c r="VFQ16"/>
      <c r="VFU16"/>
      <c r="VFY16"/>
      <c r="VGC16"/>
      <c r="VGG16"/>
      <c r="VGK16"/>
      <c r="VGO16"/>
      <c r="VGS16"/>
      <c r="VGW16"/>
      <c r="VHA16"/>
      <c r="VHE16"/>
      <c r="VHI16"/>
      <c r="VHM16"/>
      <c r="VHQ16"/>
      <c r="VHU16"/>
      <c r="VHY16"/>
      <c r="VIC16"/>
      <c r="VIG16"/>
      <c r="VIK16"/>
      <c r="VIO16"/>
      <c r="VIS16"/>
      <c r="VIW16"/>
      <c r="VJA16"/>
      <c r="VJE16"/>
      <c r="VJI16"/>
      <c r="VJM16"/>
      <c r="VJQ16"/>
      <c r="VJU16"/>
      <c r="VJY16"/>
      <c r="VKC16"/>
      <c r="VKG16"/>
      <c r="VKK16"/>
      <c r="VKO16"/>
      <c r="VKS16"/>
      <c r="VKW16"/>
      <c r="VLA16"/>
      <c r="VLE16"/>
      <c r="VLI16"/>
      <c r="VLM16"/>
      <c r="VLQ16"/>
      <c r="VLU16"/>
      <c r="VLY16"/>
      <c r="VMC16"/>
      <c r="VMG16"/>
      <c r="VMK16"/>
      <c r="VMO16"/>
      <c r="VMS16"/>
      <c r="VMW16"/>
      <c r="VNA16"/>
      <c r="VNE16"/>
      <c r="VNI16"/>
      <c r="VNM16"/>
      <c r="VNQ16"/>
      <c r="VNU16"/>
      <c r="VNY16"/>
      <c r="VOC16"/>
      <c r="VOG16"/>
      <c r="VOK16"/>
      <c r="VOO16"/>
      <c r="VOS16"/>
      <c r="VOW16"/>
      <c r="VPA16"/>
      <c r="VPE16"/>
      <c r="VPI16"/>
      <c r="VPM16"/>
      <c r="VPQ16"/>
      <c r="VPU16"/>
      <c r="VPY16"/>
      <c r="VQC16"/>
      <c r="VQG16"/>
      <c r="VQK16"/>
      <c r="VQO16"/>
      <c r="VQS16"/>
      <c r="VQW16"/>
      <c r="VRA16"/>
      <c r="VRE16"/>
      <c r="VRI16"/>
      <c r="VRM16"/>
      <c r="VRQ16"/>
      <c r="VRU16"/>
      <c r="VRY16"/>
      <c r="VSC16"/>
      <c r="VSG16"/>
      <c r="VSK16"/>
      <c r="VSO16"/>
      <c r="VSS16"/>
      <c r="VSW16"/>
      <c r="VTA16"/>
      <c r="VTE16"/>
      <c r="VTI16"/>
      <c r="VTM16"/>
      <c r="VTQ16"/>
      <c r="VTU16"/>
      <c r="VTY16"/>
      <c r="VUC16"/>
      <c r="VUG16"/>
      <c r="VUK16"/>
      <c r="VUO16"/>
      <c r="VUS16"/>
      <c r="VUW16"/>
      <c r="VVA16"/>
      <c r="VVE16"/>
      <c r="VVI16"/>
      <c r="VVM16"/>
      <c r="VVQ16"/>
      <c r="VVU16"/>
      <c r="VVY16"/>
      <c r="VWC16"/>
      <c r="VWG16"/>
      <c r="VWK16"/>
      <c r="VWO16"/>
      <c r="VWS16"/>
      <c r="VWW16"/>
      <c r="VXA16"/>
      <c r="VXE16"/>
      <c r="VXI16"/>
      <c r="VXM16"/>
      <c r="VXQ16"/>
      <c r="VXU16"/>
      <c r="VXY16"/>
      <c r="VYC16"/>
      <c r="VYG16"/>
      <c r="VYK16"/>
      <c r="VYO16"/>
      <c r="VYS16"/>
      <c r="VYW16"/>
      <c r="VZA16"/>
      <c r="VZE16"/>
      <c r="VZI16"/>
      <c r="VZM16"/>
      <c r="VZQ16"/>
      <c r="VZU16"/>
      <c r="VZY16"/>
      <c r="WAC16"/>
      <c r="WAG16"/>
      <c r="WAK16"/>
      <c r="WAO16"/>
      <c r="WAS16"/>
      <c r="WAW16"/>
      <c r="WBA16"/>
      <c r="WBE16"/>
      <c r="WBI16"/>
      <c r="WBM16"/>
      <c r="WBQ16"/>
      <c r="WBU16"/>
      <c r="WBY16"/>
      <c r="WCC16"/>
      <c r="WCG16"/>
      <c r="WCK16"/>
      <c r="WCO16"/>
      <c r="WCS16"/>
      <c r="WCW16"/>
      <c r="WDA16"/>
      <c r="WDE16"/>
      <c r="WDI16"/>
      <c r="WDM16"/>
      <c r="WDQ16"/>
      <c r="WDU16"/>
      <c r="WDY16"/>
      <c r="WEC16"/>
      <c r="WEG16"/>
      <c r="WEK16"/>
      <c r="WEO16"/>
      <c r="WES16"/>
      <c r="WEW16"/>
      <c r="WFA16"/>
      <c r="WFE16"/>
      <c r="WFI16"/>
      <c r="WFM16"/>
      <c r="WFQ16"/>
      <c r="WFU16"/>
      <c r="WFY16"/>
      <c r="WGC16"/>
      <c r="WGG16"/>
      <c r="WGK16"/>
      <c r="WGO16"/>
      <c r="WGS16"/>
      <c r="WGW16"/>
      <c r="WHA16"/>
      <c r="WHE16"/>
      <c r="WHI16"/>
      <c r="WHM16"/>
      <c r="WHQ16"/>
      <c r="WHU16"/>
      <c r="WHY16"/>
      <c r="WIC16"/>
      <c r="WIG16"/>
      <c r="WIK16"/>
      <c r="WIO16"/>
      <c r="WIS16"/>
      <c r="WIW16"/>
      <c r="WJA16"/>
      <c r="WJE16"/>
      <c r="WJI16"/>
      <c r="WJM16"/>
      <c r="WJQ16"/>
      <c r="WJU16"/>
      <c r="WJY16"/>
      <c r="WKC16"/>
      <c r="WKG16"/>
      <c r="WKK16"/>
      <c r="WKO16"/>
      <c r="WKS16"/>
      <c r="WKW16"/>
      <c r="WLA16"/>
      <c r="WLE16"/>
      <c r="WLI16"/>
      <c r="WLM16"/>
      <c r="WLQ16"/>
      <c r="WLU16"/>
      <c r="WLY16"/>
      <c r="WMC16"/>
      <c r="WMG16"/>
      <c r="WMK16"/>
      <c r="WMO16"/>
      <c r="WMS16"/>
      <c r="WMW16"/>
      <c r="WNA16"/>
      <c r="WNE16"/>
      <c r="WNI16"/>
      <c r="WNM16"/>
      <c r="WNQ16"/>
      <c r="WNU16"/>
      <c r="WNY16"/>
      <c r="WOC16"/>
      <c r="WOG16"/>
      <c r="WOK16"/>
      <c r="WOO16"/>
      <c r="WOS16"/>
      <c r="WOW16"/>
      <c r="WPA16"/>
      <c r="WPE16"/>
      <c r="WPI16"/>
      <c r="WPM16"/>
      <c r="WPQ16"/>
      <c r="WPU16"/>
      <c r="WPY16"/>
      <c r="WQC16"/>
      <c r="WQG16"/>
      <c r="WQK16"/>
      <c r="WQO16"/>
      <c r="WQS16"/>
      <c r="WQW16"/>
      <c r="WRA16"/>
      <c r="WRE16"/>
      <c r="WRI16"/>
      <c r="WRM16"/>
      <c r="WRQ16"/>
      <c r="WRU16"/>
      <c r="WRY16"/>
      <c r="WSC16"/>
      <c r="WSG16"/>
      <c r="WSK16"/>
      <c r="WSO16"/>
      <c r="WSS16"/>
      <c r="WSW16"/>
      <c r="WTA16"/>
      <c r="WTE16"/>
      <c r="WTI16"/>
      <c r="WTM16"/>
      <c r="WTQ16"/>
      <c r="WTU16"/>
      <c r="WTY16"/>
      <c r="WUC16"/>
      <c r="WUG16"/>
      <c r="WUK16"/>
      <c r="WUO16"/>
      <c r="WUS16"/>
      <c r="WUW16"/>
      <c r="WVA16"/>
      <c r="WVE16"/>
      <c r="WVI16"/>
      <c r="WVM16"/>
      <c r="WVQ16"/>
      <c r="WVU16"/>
      <c r="WVY16"/>
      <c r="WWC16"/>
      <c r="WWG16"/>
      <c r="WWK16"/>
      <c r="WWO16"/>
      <c r="WWS16"/>
      <c r="WWW16"/>
      <c r="WXA16"/>
      <c r="WXE16"/>
      <c r="WXI16"/>
      <c r="WXM16"/>
      <c r="WXQ16"/>
      <c r="WXU16"/>
      <c r="WXY16"/>
      <c r="WYC16"/>
      <c r="WYG16"/>
      <c r="WYK16"/>
      <c r="WYO16"/>
      <c r="WYS16"/>
      <c r="WYW16"/>
      <c r="WZA16"/>
      <c r="WZE16"/>
      <c r="WZI16"/>
      <c r="WZM16"/>
      <c r="WZQ16"/>
      <c r="WZU16"/>
      <c r="WZY16"/>
      <c r="XAC16"/>
      <c r="XAG16"/>
      <c r="XAK16"/>
      <c r="XAO16"/>
      <c r="XAS16"/>
      <c r="XAW16"/>
      <c r="XBA16"/>
      <c r="XBE16"/>
      <c r="XBI16"/>
      <c r="XBM16"/>
      <c r="XBQ16"/>
      <c r="XBU16"/>
      <c r="XBY16"/>
      <c r="XCC16"/>
      <c r="XCG16"/>
      <c r="XCK16"/>
      <c r="XCO16"/>
      <c r="XCS16"/>
      <c r="XCW16"/>
      <c r="XDA16"/>
      <c r="XDE16"/>
      <c r="XDI16"/>
      <c r="XDM16"/>
      <c r="XDQ16"/>
      <c r="XDU16"/>
      <c r="XDY16"/>
      <c r="XEC16"/>
      <c r="XEG16"/>
      <c r="XEK16"/>
      <c r="XEO16"/>
      <c r="XES16"/>
      <c r="XEW16"/>
      <c r="XFA16"/>
    </row>
    <row r="17" spans="1:1021 1025:2045 2049:3069 3073:4093 4097:5117 5121:6141 6145:7165 7169:8189 8193:9213 9217:10237 10241:11261 11265:12285 12289:13309 13313:14333 14337:15357 15361:16381" s="1" customFormat="1" x14ac:dyDescent="0.35">
      <c r="A17" s="21">
        <v>1</v>
      </c>
      <c r="B17" s="21">
        <v>13</v>
      </c>
      <c r="C17" s="1" t="str">
        <f xml:space="preserve"> IF('Master Player List'!L15=1,'Master Player List'!C15,"")</f>
        <v/>
      </c>
      <c r="D17" s="1" t="str">
        <f xml:space="preserve"> IF('Master Player List'!L15=1,'Master Player List'!F15,"")</f>
        <v/>
      </c>
      <c r="E17" s="21" t="str">
        <f xml:space="preserve"> IF('Master Player List'!L15=1,'Master Player List'!I15,"")</f>
        <v/>
      </c>
      <c r="F17" s="22"/>
      <c r="I17" s="21"/>
      <c r="J17" s="22"/>
      <c r="M17"/>
      <c r="N17"/>
      <c r="Q17"/>
      <c r="U17"/>
      <c r="Y17"/>
      <c r="AC17"/>
      <c r="AG17"/>
      <c r="AK17"/>
      <c r="AO17"/>
      <c r="AS17"/>
      <c r="AW17"/>
      <c r="BA17"/>
      <c r="BE17"/>
      <c r="BI17"/>
      <c r="BM17"/>
      <c r="BQ17"/>
      <c r="BU17"/>
      <c r="BY17"/>
      <c r="CC17"/>
      <c r="CG17"/>
      <c r="CK17"/>
      <c r="CO17"/>
      <c r="CS17"/>
      <c r="CW17"/>
      <c r="DA17"/>
      <c r="DE17"/>
      <c r="DI17"/>
      <c r="DM17"/>
      <c r="DQ17"/>
      <c r="DU17"/>
      <c r="DY17"/>
      <c r="EC17"/>
      <c r="EG17"/>
      <c r="EK17"/>
      <c r="EO17"/>
      <c r="ES17"/>
      <c r="EW17"/>
      <c r="FA17"/>
      <c r="FE17"/>
      <c r="FI17"/>
      <c r="FM17"/>
      <c r="FQ17"/>
      <c r="FU17"/>
      <c r="FY17"/>
      <c r="GC17"/>
      <c r="GG17"/>
      <c r="GK17"/>
      <c r="GO17"/>
      <c r="GS17"/>
      <c r="GW17"/>
      <c r="HA17"/>
      <c r="HE17"/>
      <c r="HI17"/>
      <c r="HM17"/>
      <c r="HQ17"/>
      <c r="HU17"/>
      <c r="HY17"/>
      <c r="IC17"/>
      <c r="IG17"/>
      <c r="IK17"/>
      <c r="IO17"/>
      <c r="IS17"/>
      <c r="IW17"/>
      <c r="JA17"/>
      <c r="JE17"/>
      <c r="JI17"/>
      <c r="JM17"/>
      <c r="JQ17"/>
      <c r="JU17"/>
      <c r="JY17"/>
      <c r="KC17"/>
      <c r="KG17"/>
      <c r="KK17"/>
      <c r="KO17"/>
      <c r="KS17"/>
      <c r="KW17"/>
      <c r="LA17"/>
      <c r="LE17"/>
      <c r="LI17"/>
      <c r="LM17"/>
      <c r="LQ17"/>
      <c r="LU17"/>
      <c r="LY17"/>
      <c r="MC17"/>
      <c r="MG17"/>
      <c r="MK17"/>
      <c r="MO17"/>
      <c r="MS17"/>
      <c r="MW17"/>
      <c r="NA17"/>
      <c r="NE17"/>
      <c r="NI17"/>
      <c r="NM17"/>
      <c r="NQ17"/>
      <c r="NU17"/>
      <c r="NY17"/>
      <c r="OC17"/>
      <c r="OG17"/>
      <c r="OK17"/>
      <c r="OO17"/>
      <c r="OS17"/>
      <c r="OW17"/>
      <c r="PA17"/>
      <c r="PE17"/>
      <c r="PI17"/>
      <c r="PM17"/>
      <c r="PQ17"/>
      <c r="PU17"/>
      <c r="PY17"/>
      <c r="QC17"/>
      <c r="QG17"/>
      <c r="QK17"/>
      <c r="QO17"/>
      <c r="QS17"/>
      <c r="QW17"/>
      <c r="RA17"/>
      <c r="RE17"/>
      <c r="RI17"/>
      <c r="RM17"/>
      <c r="RQ17"/>
      <c r="RU17"/>
      <c r="RY17"/>
      <c r="SC17"/>
      <c r="SG17"/>
      <c r="SK17"/>
      <c r="SO17"/>
      <c r="SS17"/>
      <c r="SW17"/>
      <c r="TA17"/>
      <c r="TE17"/>
      <c r="TI17"/>
      <c r="TM17"/>
      <c r="TQ17"/>
      <c r="TU17"/>
      <c r="TY17"/>
      <c r="UC17"/>
      <c r="UG17"/>
      <c r="UK17"/>
      <c r="UO17"/>
      <c r="US17"/>
      <c r="UW17"/>
      <c r="VA17"/>
      <c r="VE17"/>
      <c r="VI17"/>
      <c r="VM17"/>
      <c r="VQ17"/>
      <c r="VU17"/>
      <c r="VY17"/>
      <c r="WC17"/>
      <c r="WG17"/>
      <c r="WK17"/>
      <c r="WO17"/>
      <c r="WS17"/>
      <c r="WW17"/>
      <c r="XA17"/>
      <c r="XE17"/>
      <c r="XI17"/>
      <c r="XM17"/>
      <c r="XQ17"/>
      <c r="XU17"/>
      <c r="XY17"/>
      <c r="YC17"/>
      <c r="YG17"/>
      <c r="YK17"/>
      <c r="YO17"/>
      <c r="YS17"/>
      <c r="YW17"/>
      <c r="ZA17"/>
      <c r="ZE17"/>
      <c r="ZI17"/>
      <c r="ZM17"/>
      <c r="ZQ17"/>
      <c r="ZU17"/>
      <c r="ZY17"/>
      <c r="AAC17"/>
      <c r="AAG17"/>
      <c r="AAK17"/>
      <c r="AAO17"/>
      <c r="AAS17"/>
      <c r="AAW17"/>
      <c r="ABA17"/>
      <c r="ABE17"/>
      <c r="ABI17"/>
      <c r="ABM17"/>
      <c r="ABQ17"/>
      <c r="ABU17"/>
      <c r="ABY17"/>
      <c r="ACC17"/>
      <c r="ACG17"/>
      <c r="ACK17"/>
      <c r="ACO17"/>
      <c r="ACS17"/>
      <c r="ACW17"/>
      <c r="ADA17"/>
      <c r="ADE17"/>
      <c r="ADI17"/>
      <c r="ADM17"/>
      <c r="ADQ17"/>
      <c r="ADU17"/>
      <c r="ADY17"/>
      <c r="AEC17"/>
      <c r="AEG17"/>
      <c r="AEK17"/>
      <c r="AEO17"/>
      <c r="AES17"/>
      <c r="AEW17"/>
      <c r="AFA17"/>
      <c r="AFE17"/>
      <c r="AFI17"/>
      <c r="AFM17"/>
      <c r="AFQ17"/>
      <c r="AFU17"/>
      <c r="AFY17"/>
      <c r="AGC17"/>
      <c r="AGG17"/>
      <c r="AGK17"/>
      <c r="AGO17"/>
      <c r="AGS17"/>
      <c r="AGW17"/>
      <c r="AHA17"/>
      <c r="AHE17"/>
      <c r="AHI17"/>
      <c r="AHM17"/>
      <c r="AHQ17"/>
      <c r="AHU17"/>
      <c r="AHY17"/>
      <c r="AIC17"/>
      <c r="AIG17"/>
      <c r="AIK17"/>
      <c r="AIO17"/>
      <c r="AIS17"/>
      <c r="AIW17"/>
      <c r="AJA17"/>
      <c r="AJE17"/>
      <c r="AJI17"/>
      <c r="AJM17"/>
      <c r="AJQ17"/>
      <c r="AJU17"/>
      <c r="AJY17"/>
      <c r="AKC17"/>
      <c r="AKG17"/>
      <c r="AKK17"/>
      <c r="AKO17"/>
      <c r="AKS17"/>
      <c r="AKW17"/>
      <c r="ALA17"/>
      <c r="ALE17"/>
      <c r="ALI17"/>
      <c r="ALM17"/>
      <c r="ALQ17"/>
      <c r="ALU17"/>
      <c r="ALY17"/>
      <c r="AMC17"/>
      <c r="AMG17"/>
      <c r="AMK17"/>
      <c r="AMO17"/>
      <c r="AMS17"/>
      <c r="AMW17"/>
      <c r="ANA17"/>
      <c r="ANE17"/>
      <c r="ANI17"/>
      <c r="ANM17"/>
      <c r="ANQ17"/>
      <c r="ANU17"/>
      <c r="ANY17"/>
      <c r="AOC17"/>
      <c r="AOG17"/>
      <c r="AOK17"/>
      <c r="AOO17"/>
      <c r="AOS17"/>
      <c r="AOW17"/>
      <c r="APA17"/>
      <c r="APE17"/>
      <c r="API17"/>
      <c r="APM17"/>
      <c r="APQ17"/>
      <c r="APU17"/>
      <c r="APY17"/>
      <c r="AQC17"/>
      <c r="AQG17"/>
      <c r="AQK17"/>
      <c r="AQO17"/>
      <c r="AQS17"/>
      <c r="AQW17"/>
      <c r="ARA17"/>
      <c r="ARE17"/>
      <c r="ARI17"/>
      <c r="ARM17"/>
      <c r="ARQ17"/>
      <c r="ARU17"/>
      <c r="ARY17"/>
      <c r="ASC17"/>
      <c r="ASG17"/>
      <c r="ASK17"/>
      <c r="ASO17"/>
      <c r="ASS17"/>
      <c r="ASW17"/>
      <c r="ATA17"/>
      <c r="ATE17"/>
      <c r="ATI17"/>
      <c r="ATM17"/>
      <c r="ATQ17"/>
      <c r="ATU17"/>
      <c r="ATY17"/>
      <c r="AUC17"/>
      <c r="AUG17"/>
      <c r="AUK17"/>
      <c r="AUO17"/>
      <c r="AUS17"/>
      <c r="AUW17"/>
      <c r="AVA17"/>
      <c r="AVE17"/>
      <c r="AVI17"/>
      <c r="AVM17"/>
      <c r="AVQ17"/>
      <c r="AVU17"/>
      <c r="AVY17"/>
      <c r="AWC17"/>
      <c r="AWG17"/>
      <c r="AWK17"/>
      <c r="AWO17"/>
      <c r="AWS17"/>
      <c r="AWW17"/>
      <c r="AXA17"/>
      <c r="AXE17"/>
      <c r="AXI17"/>
      <c r="AXM17"/>
      <c r="AXQ17"/>
      <c r="AXU17"/>
      <c r="AXY17"/>
      <c r="AYC17"/>
      <c r="AYG17"/>
      <c r="AYK17"/>
      <c r="AYO17"/>
      <c r="AYS17"/>
      <c r="AYW17"/>
      <c r="AZA17"/>
      <c r="AZE17"/>
      <c r="AZI17"/>
      <c r="AZM17"/>
      <c r="AZQ17"/>
      <c r="AZU17"/>
      <c r="AZY17"/>
      <c r="BAC17"/>
      <c r="BAG17"/>
      <c r="BAK17"/>
      <c r="BAO17"/>
      <c r="BAS17"/>
      <c r="BAW17"/>
      <c r="BBA17"/>
      <c r="BBE17"/>
      <c r="BBI17"/>
      <c r="BBM17"/>
      <c r="BBQ17"/>
      <c r="BBU17"/>
      <c r="BBY17"/>
      <c r="BCC17"/>
      <c r="BCG17"/>
      <c r="BCK17"/>
      <c r="BCO17"/>
      <c r="BCS17"/>
      <c r="BCW17"/>
      <c r="BDA17"/>
      <c r="BDE17"/>
      <c r="BDI17"/>
      <c r="BDM17"/>
      <c r="BDQ17"/>
      <c r="BDU17"/>
      <c r="BDY17"/>
      <c r="BEC17"/>
      <c r="BEG17"/>
      <c r="BEK17"/>
      <c r="BEO17"/>
      <c r="BES17"/>
      <c r="BEW17"/>
      <c r="BFA17"/>
      <c r="BFE17"/>
      <c r="BFI17"/>
      <c r="BFM17"/>
      <c r="BFQ17"/>
      <c r="BFU17"/>
      <c r="BFY17"/>
      <c r="BGC17"/>
      <c r="BGG17"/>
      <c r="BGK17"/>
      <c r="BGO17"/>
      <c r="BGS17"/>
      <c r="BGW17"/>
      <c r="BHA17"/>
      <c r="BHE17"/>
      <c r="BHI17"/>
      <c r="BHM17"/>
      <c r="BHQ17"/>
      <c r="BHU17"/>
      <c r="BHY17"/>
      <c r="BIC17"/>
      <c r="BIG17"/>
      <c r="BIK17"/>
      <c r="BIO17"/>
      <c r="BIS17"/>
      <c r="BIW17"/>
      <c r="BJA17"/>
      <c r="BJE17"/>
      <c r="BJI17"/>
      <c r="BJM17"/>
      <c r="BJQ17"/>
      <c r="BJU17"/>
      <c r="BJY17"/>
      <c r="BKC17"/>
      <c r="BKG17"/>
      <c r="BKK17"/>
      <c r="BKO17"/>
      <c r="BKS17"/>
      <c r="BKW17"/>
      <c r="BLA17"/>
      <c r="BLE17"/>
      <c r="BLI17"/>
      <c r="BLM17"/>
      <c r="BLQ17"/>
      <c r="BLU17"/>
      <c r="BLY17"/>
      <c r="BMC17"/>
      <c r="BMG17"/>
      <c r="BMK17"/>
      <c r="BMO17"/>
      <c r="BMS17"/>
      <c r="BMW17"/>
      <c r="BNA17"/>
      <c r="BNE17"/>
      <c r="BNI17"/>
      <c r="BNM17"/>
      <c r="BNQ17"/>
      <c r="BNU17"/>
      <c r="BNY17"/>
      <c r="BOC17"/>
      <c r="BOG17"/>
      <c r="BOK17"/>
      <c r="BOO17"/>
      <c r="BOS17"/>
      <c r="BOW17"/>
      <c r="BPA17"/>
      <c r="BPE17"/>
      <c r="BPI17"/>
      <c r="BPM17"/>
      <c r="BPQ17"/>
      <c r="BPU17"/>
      <c r="BPY17"/>
      <c r="BQC17"/>
      <c r="BQG17"/>
      <c r="BQK17"/>
      <c r="BQO17"/>
      <c r="BQS17"/>
      <c r="BQW17"/>
      <c r="BRA17"/>
      <c r="BRE17"/>
      <c r="BRI17"/>
      <c r="BRM17"/>
      <c r="BRQ17"/>
      <c r="BRU17"/>
      <c r="BRY17"/>
      <c r="BSC17"/>
      <c r="BSG17"/>
      <c r="BSK17"/>
      <c r="BSO17"/>
      <c r="BSS17"/>
      <c r="BSW17"/>
      <c r="BTA17"/>
      <c r="BTE17"/>
      <c r="BTI17"/>
      <c r="BTM17"/>
      <c r="BTQ17"/>
      <c r="BTU17"/>
      <c r="BTY17"/>
      <c r="BUC17"/>
      <c r="BUG17"/>
      <c r="BUK17"/>
      <c r="BUO17"/>
      <c r="BUS17"/>
      <c r="BUW17"/>
      <c r="BVA17"/>
      <c r="BVE17"/>
      <c r="BVI17"/>
      <c r="BVM17"/>
      <c r="BVQ17"/>
      <c r="BVU17"/>
      <c r="BVY17"/>
      <c r="BWC17"/>
      <c r="BWG17"/>
      <c r="BWK17"/>
      <c r="BWO17"/>
      <c r="BWS17"/>
      <c r="BWW17"/>
      <c r="BXA17"/>
      <c r="BXE17"/>
      <c r="BXI17"/>
      <c r="BXM17"/>
      <c r="BXQ17"/>
      <c r="BXU17"/>
      <c r="BXY17"/>
      <c r="BYC17"/>
      <c r="BYG17"/>
      <c r="BYK17"/>
      <c r="BYO17"/>
      <c r="BYS17"/>
      <c r="BYW17"/>
      <c r="BZA17"/>
      <c r="BZE17"/>
      <c r="BZI17"/>
      <c r="BZM17"/>
      <c r="BZQ17"/>
      <c r="BZU17"/>
      <c r="BZY17"/>
      <c r="CAC17"/>
      <c r="CAG17"/>
      <c r="CAK17"/>
      <c r="CAO17"/>
      <c r="CAS17"/>
      <c r="CAW17"/>
      <c r="CBA17"/>
      <c r="CBE17"/>
      <c r="CBI17"/>
      <c r="CBM17"/>
      <c r="CBQ17"/>
      <c r="CBU17"/>
      <c r="CBY17"/>
      <c r="CCC17"/>
      <c r="CCG17"/>
      <c r="CCK17"/>
      <c r="CCO17"/>
      <c r="CCS17"/>
      <c r="CCW17"/>
      <c r="CDA17"/>
      <c r="CDE17"/>
      <c r="CDI17"/>
      <c r="CDM17"/>
      <c r="CDQ17"/>
      <c r="CDU17"/>
      <c r="CDY17"/>
      <c r="CEC17"/>
      <c r="CEG17"/>
      <c r="CEK17"/>
      <c r="CEO17"/>
      <c r="CES17"/>
      <c r="CEW17"/>
      <c r="CFA17"/>
      <c r="CFE17"/>
      <c r="CFI17"/>
      <c r="CFM17"/>
      <c r="CFQ17"/>
      <c r="CFU17"/>
      <c r="CFY17"/>
      <c r="CGC17"/>
      <c r="CGG17"/>
      <c r="CGK17"/>
      <c r="CGO17"/>
      <c r="CGS17"/>
      <c r="CGW17"/>
      <c r="CHA17"/>
      <c r="CHE17"/>
      <c r="CHI17"/>
      <c r="CHM17"/>
      <c r="CHQ17"/>
      <c r="CHU17"/>
      <c r="CHY17"/>
      <c r="CIC17"/>
      <c r="CIG17"/>
      <c r="CIK17"/>
      <c r="CIO17"/>
      <c r="CIS17"/>
      <c r="CIW17"/>
      <c r="CJA17"/>
      <c r="CJE17"/>
      <c r="CJI17"/>
      <c r="CJM17"/>
      <c r="CJQ17"/>
      <c r="CJU17"/>
      <c r="CJY17"/>
      <c r="CKC17"/>
      <c r="CKG17"/>
      <c r="CKK17"/>
      <c r="CKO17"/>
      <c r="CKS17"/>
      <c r="CKW17"/>
      <c r="CLA17"/>
      <c r="CLE17"/>
      <c r="CLI17"/>
      <c r="CLM17"/>
      <c r="CLQ17"/>
      <c r="CLU17"/>
      <c r="CLY17"/>
      <c r="CMC17"/>
      <c r="CMG17"/>
      <c r="CMK17"/>
      <c r="CMO17"/>
      <c r="CMS17"/>
      <c r="CMW17"/>
      <c r="CNA17"/>
      <c r="CNE17"/>
      <c r="CNI17"/>
      <c r="CNM17"/>
      <c r="CNQ17"/>
      <c r="CNU17"/>
      <c r="CNY17"/>
      <c r="COC17"/>
      <c r="COG17"/>
      <c r="COK17"/>
      <c r="COO17"/>
      <c r="COS17"/>
      <c r="COW17"/>
      <c r="CPA17"/>
      <c r="CPE17"/>
      <c r="CPI17"/>
      <c r="CPM17"/>
      <c r="CPQ17"/>
      <c r="CPU17"/>
      <c r="CPY17"/>
      <c r="CQC17"/>
      <c r="CQG17"/>
      <c r="CQK17"/>
      <c r="CQO17"/>
      <c r="CQS17"/>
      <c r="CQW17"/>
      <c r="CRA17"/>
      <c r="CRE17"/>
      <c r="CRI17"/>
      <c r="CRM17"/>
      <c r="CRQ17"/>
      <c r="CRU17"/>
      <c r="CRY17"/>
      <c r="CSC17"/>
      <c r="CSG17"/>
      <c r="CSK17"/>
      <c r="CSO17"/>
      <c r="CSS17"/>
      <c r="CSW17"/>
      <c r="CTA17"/>
      <c r="CTE17"/>
      <c r="CTI17"/>
      <c r="CTM17"/>
      <c r="CTQ17"/>
      <c r="CTU17"/>
      <c r="CTY17"/>
      <c r="CUC17"/>
      <c r="CUG17"/>
      <c r="CUK17"/>
      <c r="CUO17"/>
      <c r="CUS17"/>
      <c r="CUW17"/>
      <c r="CVA17"/>
      <c r="CVE17"/>
      <c r="CVI17"/>
      <c r="CVM17"/>
      <c r="CVQ17"/>
      <c r="CVU17"/>
      <c r="CVY17"/>
      <c r="CWC17"/>
      <c r="CWG17"/>
      <c r="CWK17"/>
      <c r="CWO17"/>
      <c r="CWS17"/>
      <c r="CWW17"/>
      <c r="CXA17"/>
      <c r="CXE17"/>
      <c r="CXI17"/>
      <c r="CXM17"/>
      <c r="CXQ17"/>
      <c r="CXU17"/>
      <c r="CXY17"/>
      <c r="CYC17"/>
      <c r="CYG17"/>
      <c r="CYK17"/>
      <c r="CYO17"/>
      <c r="CYS17"/>
      <c r="CYW17"/>
      <c r="CZA17"/>
      <c r="CZE17"/>
      <c r="CZI17"/>
      <c r="CZM17"/>
      <c r="CZQ17"/>
      <c r="CZU17"/>
      <c r="CZY17"/>
      <c r="DAC17"/>
      <c r="DAG17"/>
      <c r="DAK17"/>
      <c r="DAO17"/>
      <c r="DAS17"/>
      <c r="DAW17"/>
      <c r="DBA17"/>
      <c r="DBE17"/>
      <c r="DBI17"/>
      <c r="DBM17"/>
      <c r="DBQ17"/>
      <c r="DBU17"/>
      <c r="DBY17"/>
      <c r="DCC17"/>
      <c r="DCG17"/>
      <c r="DCK17"/>
      <c r="DCO17"/>
      <c r="DCS17"/>
      <c r="DCW17"/>
      <c r="DDA17"/>
      <c r="DDE17"/>
      <c r="DDI17"/>
      <c r="DDM17"/>
      <c r="DDQ17"/>
      <c r="DDU17"/>
      <c r="DDY17"/>
      <c r="DEC17"/>
      <c r="DEG17"/>
      <c r="DEK17"/>
      <c r="DEO17"/>
      <c r="DES17"/>
      <c r="DEW17"/>
      <c r="DFA17"/>
      <c r="DFE17"/>
      <c r="DFI17"/>
      <c r="DFM17"/>
      <c r="DFQ17"/>
      <c r="DFU17"/>
      <c r="DFY17"/>
      <c r="DGC17"/>
      <c r="DGG17"/>
      <c r="DGK17"/>
      <c r="DGO17"/>
      <c r="DGS17"/>
      <c r="DGW17"/>
      <c r="DHA17"/>
      <c r="DHE17"/>
      <c r="DHI17"/>
      <c r="DHM17"/>
      <c r="DHQ17"/>
      <c r="DHU17"/>
      <c r="DHY17"/>
      <c r="DIC17"/>
      <c r="DIG17"/>
      <c r="DIK17"/>
      <c r="DIO17"/>
      <c r="DIS17"/>
      <c r="DIW17"/>
      <c r="DJA17"/>
      <c r="DJE17"/>
      <c r="DJI17"/>
      <c r="DJM17"/>
      <c r="DJQ17"/>
      <c r="DJU17"/>
      <c r="DJY17"/>
      <c r="DKC17"/>
      <c r="DKG17"/>
      <c r="DKK17"/>
      <c r="DKO17"/>
      <c r="DKS17"/>
      <c r="DKW17"/>
      <c r="DLA17"/>
      <c r="DLE17"/>
      <c r="DLI17"/>
      <c r="DLM17"/>
      <c r="DLQ17"/>
      <c r="DLU17"/>
      <c r="DLY17"/>
      <c r="DMC17"/>
      <c r="DMG17"/>
      <c r="DMK17"/>
      <c r="DMO17"/>
      <c r="DMS17"/>
      <c r="DMW17"/>
      <c r="DNA17"/>
      <c r="DNE17"/>
      <c r="DNI17"/>
      <c r="DNM17"/>
      <c r="DNQ17"/>
      <c r="DNU17"/>
      <c r="DNY17"/>
      <c r="DOC17"/>
      <c r="DOG17"/>
      <c r="DOK17"/>
      <c r="DOO17"/>
      <c r="DOS17"/>
      <c r="DOW17"/>
      <c r="DPA17"/>
      <c r="DPE17"/>
      <c r="DPI17"/>
      <c r="DPM17"/>
      <c r="DPQ17"/>
      <c r="DPU17"/>
      <c r="DPY17"/>
      <c r="DQC17"/>
      <c r="DQG17"/>
      <c r="DQK17"/>
      <c r="DQO17"/>
      <c r="DQS17"/>
      <c r="DQW17"/>
      <c r="DRA17"/>
      <c r="DRE17"/>
      <c r="DRI17"/>
      <c r="DRM17"/>
      <c r="DRQ17"/>
      <c r="DRU17"/>
      <c r="DRY17"/>
      <c r="DSC17"/>
      <c r="DSG17"/>
      <c r="DSK17"/>
      <c r="DSO17"/>
      <c r="DSS17"/>
      <c r="DSW17"/>
      <c r="DTA17"/>
      <c r="DTE17"/>
      <c r="DTI17"/>
      <c r="DTM17"/>
      <c r="DTQ17"/>
      <c r="DTU17"/>
      <c r="DTY17"/>
      <c r="DUC17"/>
      <c r="DUG17"/>
      <c r="DUK17"/>
      <c r="DUO17"/>
      <c r="DUS17"/>
      <c r="DUW17"/>
      <c r="DVA17"/>
      <c r="DVE17"/>
      <c r="DVI17"/>
      <c r="DVM17"/>
      <c r="DVQ17"/>
      <c r="DVU17"/>
      <c r="DVY17"/>
      <c r="DWC17"/>
      <c r="DWG17"/>
      <c r="DWK17"/>
      <c r="DWO17"/>
      <c r="DWS17"/>
      <c r="DWW17"/>
      <c r="DXA17"/>
      <c r="DXE17"/>
      <c r="DXI17"/>
      <c r="DXM17"/>
      <c r="DXQ17"/>
      <c r="DXU17"/>
      <c r="DXY17"/>
      <c r="DYC17"/>
      <c r="DYG17"/>
      <c r="DYK17"/>
      <c r="DYO17"/>
      <c r="DYS17"/>
      <c r="DYW17"/>
      <c r="DZA17"/>
      <c r="DZE17"/>
      <c r="DZI17"/>
      <c r="DZM17"/>
      <c r="DZQ17"/>
      <c r="DZU17"/>
      <c r="DZY17"/>
      <c r="EAC17"/>
      <c r="EAG17"/>
      <c r="EAK17"/>
      <c r="EAO17"/>
      <c r="EAS17"/>
      <c r="EAW17"/>
      <c r="EBA17"/>
      <c r="EBE17"/>
      <c r="EBI17"/>
      <c r="EBM17"/>
      <c r="EBQ17"/>
      <c r="EBU17"/>
      <c r="EBY17"/>
      <c r="ECC17"/>
      <c r="ECG17"/>
      <c r="ECK17"/>
      <c r="ECO17"/>
      <c r="ECS17"/>
      <c r="ECW17"/>
      <c r="EDA17"/>
      <c r="EDE17"/>
      <c r="EDI17"/>
      <c r="EDM17"/>
      <c r="EDQ17"/>
      <c r="EDU17"/>
      <c r="EDY17"/>
      <c r="EEC17"/>
      <c r="EEG17"/>
      <c r="EEK17"/>
      <c r="EEO17"/>
      <c r="EES17"/>
      <c r="EEW17"/>
      <c r="EFA17"/>
      <c r="EFE17"/>
      <c r="EFI17"/>
      <c r="EFM17"/>
      <c r="EFQ17"/>
      <c r="EFU17"/>
      <c r="EFY17"/>
      <c r="EGC17"/>
      <c r="EGG17"/>
      <c r="EGK17"/>
      <c r="EGO17"/>
      <c r="EGS17"/>
      <c r="EGW17"/>
      <c r="EHA17"/>
      <c r="EHE17"/>
      <c r="EHI17"/>
      <c r="EHM17"/>
      <c r="EHQ17"/>
      <c r="EHU17"/>
      <c r="EHY17"/>
      <c r="EIC17"/>
      <c r="EIG17"/>
      <c r="EIK17"/>
      <c r="EIO17"/>
      <c r="EIS17"/>
      <c r="EIW17"/>
      <c r="EJA17"/>
      <c r="EJE17"/>
      <c r="EJI17"/>
      <c r="EJM17"/>
      <c r="EJQ17"/>
      <c r="EJU17"/>
      <c r="EJY17"/>
      <c r="EKC17"/>
      <c r="EKG17"/>
      <c r="EKK17"/>
      <c r="EKO17"/>
      <c r="EKS17"/>
      <c r="EKW17"/>
      <c r="ELA17"/>
      <c r="ELE17"/>
      <c r="ELI17"/>
      <c r="ELM17"/>
      <c r="ELQ17"/>
      <c r="ELU17"/>
      <c r="ELY17"/>
      <c r="EMC17"/>
      <c r="EMG17"/>
      <c r="EMK17"/>
      <c r="EMO17"/>
      <c r="EMS17"/>
      <c r="EMW17"/>
      <c r="ENA17"/>
      <c r="ENE17"/>
      <c r="ENI17"/>
      <c r="ENM17"/>
      <c r="ENQ17"/>
      <c r="ENU17"/>
      <c r="ENY17"/>
      <c r="EOC17"/>
      <c r="EOG17"/>
      <c r="EOK17"/>
      <c r="EOO17"/>
      <c r="EOS17"/>
      <c r="EOW17"/>
      <c r="EPA17"/>
      <c r="EPE17"/>
      <c r="EPI17"/>
      <c r="EPM17"/>
      <c r="EPQ17"/>
      <c r="EPU17"/>
      <c r="EPY17"/>
      <c r="EQC17"/>
      <c r="EQG17"/>
      <c r="EQK17"/>
      <c r="EQO17"/>
      <c r="EQS17"/>
      <c r="EQW17"/>
      <c r="ERA17"/>
      <c r="ERE17"/>
      <c r="ERI17"/>
      <c r="ERM17"/>
      <c r="ERQ17"/>
      <c r="ERU17"/>
      <c r="ERY17"/>
      <c r="ESC17"/>
      <c r="ESG17"/>
      <c r="ESK17"/>
      <c r="ESO17"/>
      <c r="ESS17"/>
      <c r="ESW17"/>
      <c r="ETA17"/>
      <c r="ETE17"/>
      <c r="ETI17"/>
      <c r="ETM17"/>
      <c r="ETQ17"/>
      <c r="ETU17"/>
      <c r="ETY17"/>
      <c r="EUC17"/>
      <c r="EUG17"/>
      <c r="EUK17"/>
      <c r="EUO17"/>
      <c r="EUS17"/>
      <c r="EUW17"/>
      <c r="EVA17"/>
      <c r="EVE17"/>
      <c r="EVI17"/>
      <c r="EVM17"/>
      <c r="EVQ17"/>
      <c r="EVU17"/>
      <c r="EVY17"/>
      <c r="EWC17"/>
      <c r="EWG17"/>
      <c r="EWK17"/>
      <c r="EWO17"/>
      <c r="EWS17"/>
      <c r="EWW17"/>
      <c r="EXA17"/>
      <c r="EXE17"/>
      <c r="EXI17"/>
      <c r="EXM17"/>
      <c r="EXQ17"/>
      <c r="EXU17"/>
      <c r="EXY17"/>
      <c r="EYC17"/>
      <c r="EYG17"/>
      <c r="EYK17"/>
      <c r="EYO17"/>
      <c r="EYS17"/>
      <c r="EYW17"/>
      <c r="EZA17"/>
      <c r="EZE17"/>
      <c r="EZI17"/>
      <c r="EZM17"/>
      <c r="EZQ17"/>
      <c r="EZU17"/>
      <c r="EZY17"/>
      <c r="FAC17"/>
      <c r="FAG17"/>
      <c r="FAK17"/>
      <c r="FAO17"/>
      <c r="FAS17"/>
      <c r="FAW17"/>
      <c r="FBA17"/>
      <c r="FBE17"/>
      <c r="FBI17"/>
      <c r="FBM17"/>
      <c r="FBQ17"/>
      <c r="FBU17"/>
      <c r="FBY17"/>
      <c r="FCC17"/>
      <c r="FCG17"/>
      <c r="FCK17"/>
      <c r="FCO17"/>
      <c r="FCS17"/>
      <c r="FCW17"/>
      <c r="FDA17"/>
      <c r="FDE17"/>
      <c r="FDI17"/>
      <c r="FDM17"/>
      <c r="FDQ17"/>
      <c r="FDU17"/>
      <c r="FDY17"/>
      <c r="FEC17"/>
      <c r="FEG17"/>
      <c r="FEK17"/>
      <c r="FEO17"/>
      <c r="FES17"/>
      <c r="FEW17"/>
      <c r="FFA17"/>
      <c r="FFE17"/>
      <c r="FFI17"/>
      <c r="FFM17"/>
      <c r="FFQ17"/>
      <c r="FFU17"/>
      <c r="FFY17"/>
      <c r="FGC17"/>
      <c r="FGG17"/>
      <c r="FGK17"/>
      <c r="FGO17"/>
      <c r="FGS17"/>
      <c r="FGW17"/>
      <c r="FHA17"/>
      <c r="FHE17"/>
      <c r="FHI17"/>
      <c r="FHM17"/>
      <c r="FHQ17"/>
      <c r="FHU17"/>
      <c r="FHY17"/>
      <c r="FIC17"/>
      <c r="FIG17"/>
      <c r="FIK17"/>
      <c r="FIO17"/>
      <c r="FIS17"/>
      <c r="FIW17"/>
      <c r="FJA17"/>
      <c r="FJE17"/>
      <c r="FJI17"/>
      <c r="FJM17"/>
      <c r="FJQ17"/>
      <c r="FJU17"/>
      <c r="FJY17"/>
      <c r="FKC17"/>
      <c r="FKG17"/>
      <c r="FKK17"/>
      <c r="FKO17"/>
      <c r="FKS17"/>
      <c r="FKW17"/>
      <c r="FLA17"/>
      <c r="FLE17"/>
      <c r="FLI17"/>
      <c r="FLM17"/>
      <c r="FLQ17"/>
      <c r="FLU17"/>
      <c r="FLY17"/>
      <c r="FMC17"/>
      <c r="FMG17"/>
      <c r="FMK17"/>
      <c r="FMO17"/>
      <c r="FMS17"/>
      <c r="FMW17"/>
      <c r="FNA17"/>
      <c r="FNE17"/>
      <c r="FNI17"/>
      <c r="FNM17"/>
      <c r="FNQ17"/>
      <c r="FNU17"/>
      <c r="FNY17"/>
      <c r="FOC17"/>
      <c r="FOG17"/>
      <c r="FOK17"/>
      <c r="FOO17"/>
      <c r="FOS17"/>
      <c r="FOW17"/>
      <c r="FPA17"/>
      <c r="FPE17"/>
      <c r="FPI17"/>
      <c r="FPM17"/>
      <c r="FPQ17"/>
      <c r="FPU17"/>
      <c r="FPY17"/>
      <c r="FQC17"/>
      <c r="FQG17"/>
      <c r="FQK17"/>
      <c r="FQO17"/>
      <c r="FQS17"/>
      <c r="FQW17"/>
      <c r="FRA17"/>
      <c r="FRE17"/>
      <c r="FRI17"/>
      <c r="FRM17"/>
      <c r="FRQ17"/>
      <c r="FRU17"/>
      <c r="FRY17"/>
      <c r="FSC17"/>
      <c r="FSG17"/>
      <c r="FSK17"/>
      <c r="FSO17"/>
      <c r="FSS17"/>
      <c r="FSW17"/>
      <c r="FTA17"/>
      <c r="FTE17"/>
      <c r="FTI17"/>
      <c r="FTM17"/>
      <c r="FTQ17"/>
      <c r="FTU17"/>
      <c r="FTY17"/>
      <c r="FUC17"/>
      <c r="FUG17"/>
      <c r="FUK17"/>
      <c r="FUO17"/>
      <c r="FUS17"/>
      <c r="FUW17"/>
      <c r="FVA17"/>
      <c r="FVE17"/>
      <c r="FVI17"/>
      <c r="FVM17"/>
      <c r="FVQ17"/>
      <c r="FVU17"/>
      <c r="FVY17"/>
      <c r="FWC17"/>
      <c r="FWG17"/>
      <c r="FWK17"/>
      <c r="FWO17"/>
      <c r="FWS17"/>
      <c r="FWW17"/>
      <c r="FXA17"/>
      <c r="FXE17"/>
      <c r="FXI17"/>
      <c r="FXM17"/>
      <c r="FXQ17"/>
      <c r="FXU17"/>
      <c r="FXY17"/>
      <c r="FYC17"/>
      <c r="FYG17"/>
      <c r="FYK17"/>
      <c r="FYO17"/>
      <c r="FYS17"/>
      <c r="FYW17"/>
      <c r="FZA17"/>
      <c r="FZE17"/>
      <c r="FZI17"/>
      <c r="FZM17"/>
      <c r="FZQ17"/>
      <c r="FZU17"/>
      <c r="FZY17"/>
      <c r="GAC17"/>
      <c r="GAG17"/>
      <c r="GAK17"/>
      <c r="GAO17"/>
      <c r="GAS17"/>
      <c r="GAW17"/>
      <c r="GBA17"/>
      <c r="GBE17"/>
      <c r="GBI17"/>
      <c r="GBM17"/>
      <c r="GBQ17"/>
      <c r="GBU17"/>
      <c r="GBY17"/>
      <c r="GCC17"/>
      <c r="GCG17"/>
      <c r="GCK17"/>
      <c r="GCO17"/>
      <c r="GCS17"/>
      <c r="GCW17"/>
      <c r="GDA17"/>
      <c r="GDE17"/>
      <c r="GDI17"/>
      <c r="GDM17"/>
      <c r="GDQ17"/>
      <c r="GDU17"/>
      <c r="GDY17"/>
      <c r="GEC17"/>
      <c r="GEG17"/>
      <c r="GEK17"/>
      <c r="GEO17"/>
      <c r="GES17"/>
      <c r="GEW17"/>
      <c r="GFA17"/>
      <c r="GFE17"/>
      <c r="GFI17"/>
      <c r="GFM17"/>
      <c r="GFQ17"/>
      <c r="GFU17"/>
      <c r="GFY17"/>
      <c r="GGC17"/>
      <c r="GGG17"/>
      <c r="GGK17"/>
      <c r="GGO17"/>
      <c r="GGS17"/>
      <c r="GGW17"/>
      <c r="GHA17"/>
      <c r="GHE17"/>
      <c r="GHI17"/>
      <c r="GHM17"/>
      <c r="GHQ17"/>
      <c r="GHU17"/>
      <c r="GHY17"/>
      <c r="GIC17"/>
      <c r="GIG17"/>
      <c r="GIK17"/>
      <c r="GIO17"/>
      <c r="GIS17"/>
      <c r="GIW17"/>
      <c r="GJA17"/>
      <c r="GJE17"/>
      <c r="GJI17"/>
      <c r="GJM17"/>
      <c r="GJQ17"/>
      <c r="GJU17"/>
      <c r="GJY17"/>
      <c r="GKC17"/>
      <c r="GKG17"/>
      <c r="GKK17"/>
      <c r="GKO17"/>
      <c r="GKS17"/>
      <c r="GKW17"/>
      <c r="GLA17"/>
      <c r="GLE17"/>
      <c r="GLI17"/>
      <c r="GLM17"/>
      <c r="GLQ17"/>
      <c r="GLU17"/>
      <c r="GLY17"/>
      <c r="GMC17"/>
      <c r="GMG17"/>
      <c r="GMK17"/>
      <c r="GMO17"/>
      <c r="GMS17"/>
      <c r="GMW17"/>
      <c r="GNA17"/>
      <c r="GNE17"/>
      <c r="GNI17"/>
      <c r="GNM17"/>
      <c r="GNQ17"/>
      <c r="GNU17"/>
      <c r="GNY17"/>
      <c r="GOC17"/>
      <c r="GOG17"/>
      <c r="GOK17"/>
      <c r="GOO17"/>
      <c r="GOS17"/>
      <c r="GOW17"/>
      <c r="GPA17"/>
      <c r="GPE17"/>
      <c r="GPI17"/>
      <c r="GPM17"/>
      <c r="GPQ17"/>
      <c r="GPU17"/>
      <c r="GPY17"/>
      <c r="GQC17"/>
      <c r="GQG17"/>
      <c r="GQK17"/>
      <c r="GQO17"/>
      <c r="GQS17"/>
      <c r="GQW17"/>
      <c r="GRA17"/>
      <c r="GRE17"/>
      <c r="GRI17"/>
      <c r="GRM17"/>
      <c r="GRQ17"/>
      <c r="GRU17"/>
      <c r="GRY17"/>
      <c r="GSC17"/>
      <c r="GSG17"/>
      <c r="GSK17"/>
      <c r="GSO17"/>
      <c r="GSS17"/>
      <c r="GSW17"/>
      <c r="GTA17"/>
      <c r="GTE17"/>
      <c r="GTI17"/>
      <c r="GTM17"/>
      <c r="GTQ17"/>
      <c r="GTU17"/>
      <c r="GTY17"/>
      <c r="GUC17"/>
      <c r="GUG17"/>
      <c r="GUK17"/>
      <c r="GUO17"/>
      <c r="GUS17"/>
      <c r="GUW17"/>
      <c r="GVA17"/>
      <c r="GVE17"/>
      <c r="GVI17"/>
      <c r="GVM17"/>
      <c r="GVQ17"/>
      <c r="GVU17"/>
      <c r="GVY17"/>
      <c r="GWC17"/>
      <c r="GWG17"/>
      <c r="GWK17"/>
      <c r="GWO17"/>
      <c r="GWS17"/>
      <c r="GWW17"/>
      <c r="GXA17"/>
      <c r="GXE17"/>
      <c r="GXI17"/>
      <c r="GXM17"/>
      <c r="GXQ17"/>
      <c r="GXU17"/>
      <c r="GXY17"/>
      <c r="GYC17"/>
      <c r="GYG17"/>
      <c r="GYK17"/>
      <c r="GYO17"/>
      <c r="GYS17"/>
      <c r="GYW17"/>
      <c r="GZA17"/>
      <c r="GZE17"/>
      <c r="GZI17"/>
      <c r="GZM17"/>
      <c r="GZQ17"/>
      <c r="GZU17"/>
      <c r="GZY17"/>
      <c r="HAC17"/>
      <c r="HAG17"/>
      <c r="HAK17"/>
      <c r="HAO17"/>
      <c r="HAS17"/>
      <c r="HAW17"/>
      <c r="HBA17"/>
      <c r="HBE17"/>
      <c r="HBI17"/>
      <c r="HBM17"/>
      <c r="HBQ17"/>
      <c r="HBU17"/>
      <c r="HBY17"/>
      <c r="HCC17"/>
      <c r="HCG17"/>
      <c r="HCK17"/>
      <c r="HCO17"/>
      <c r="HCS17"/>
      <c r="HCW17"/>
      <c r="HDA17"/>
      <c r="HDE17"/>
      <c r="HDI17"/>
      <c r="HDM17"/>
      <c r="HDQ17"/>
      <c r="HDU17"/>
      <c r="HDY17"/>
      <c r="HEC17"/>
      <c r="HEG17"/>
      <c r="HEK17"/>
      <c r="HEO17"/>
      <c r="HES17"/>
      <c r="HEW17"/>
      <c r="HFA17"/>
      <c r="HFE17"/>
      <c r="HFI17"/>
      <c r="HFM17"/>
      <c r="HFQ17"/>
      <c r="HFU17"/>
      <c r="HFY17"/>
      <c r="HGC17"/>
      <c r="HGG17"/>
      <c r="HGK17"/>
      <c r="HGO17"/>
      <c r="HGS17"/>
      <c r="HGW17"/>
      <c r="HHA17"/>
      <c r="HHE17"/>
      <c r="HHI17"/>
      <c r="HHM17"/>
      <c r="HHQ17"/>
      <c r="HHU17"/>
      <c r="HHY17"/>
      <c r="HIC17"/>
      <c r="HIG17"/>
      <c r="HIK17"/>
      <c r="HIO17"/>
      <c r="HIS17"/>
      <c r="HIW17"/>
      <c r="HJA17"/>
      <c r="HJE17"/>
      <c r="HJI17"/>
      <c r="HJM17"/>
      <c r="HJQ17"/>
      <c r="HJU17"/>
      <c r="HJY17"/>
      <c r="HKC17"/>
      <c r="HKG17"/>
      <c r="HKK17"/>
      <c r="HKO17"/>
      <c r="HKS17"/>
      <c r="HKW17"/>
      <c r="HLA17"/>
      <c r="HLE17"/>
      <c r="HLI17"/>
      <c r="HLM17"/>
      <c r="HLQ17"/>
      <c r="HLU17"/>
      <c r="HLY17"/>
      <c r="HMC17"/>
      <c r="HMG17"/>
      <c r="HMK17"/>
      <c r="HMO17"/>
      <c r="HMS17"/>
      <c r="HMW17"/>
      <c r="HNA17"/>
      <c r="HNE17"/>
      <c r="HNI17"/>
      <c r="HNM17"/>
      <c r="HNQ17"/>
      <c r="HNU17"/>
      <c r="HNY17"/>
      <c r="HOC17"/>
      <c r="HOG17"/>
      <c r="HOK17"/>
      <c r="HOO17"/>
      <c r="HOS17"/>
      <c r="HOW17"/>
      <c r="HPA17"/>
      <c r="HPE17"/>
      <c r="HPI17"/>
      <c r="HPM17"/>
      <c r="HPQ17"/>
      <c r="HPU17"/>
      <c r="HPY17"/>
      <c r="HQC17"/>
      <c r="HQG17"/>
      <c r="HQK17"/>
      <c r="HQO17"/>
      <c r="HQS17"/>
      <c r="HQW17"/>
      <c r="HRA17"/>
      <c r="HRE17"/>
      <c r="HRI17"/>
      <c r="HRM17"/>
      <c r="HRQ17"/>
      <c r="HRU17"/>
      <c r="HRY17"/>
      <c r="HSC17"/>
      <c r="HSG17"/>
      <c r="HSK17"/>
      <c r="HSO17"/>
      <c r="HSS17"/>
      <c r="HSW17"/>
      <c r="HTA17"/>
      <c r="HTE17"/>
      <c r="HTI17"/>
      <c r="HTM17"/>
      <c r="HTQ17"/>
      <c r="HTU17"/>
      <c r="HTY17"/>
      <c r="HUC17"/>
      <c r="HUG17"/>
      <c r="HUK17"/>
      <c r="HUO17"/>
      <c r="HUS17"/>
      <c r="HUW17"/>
      <c r="HVA17"/>
      <c r="HVE17"/>
      <c r="HVI17"/>
      <c r="HVM17"/>
      <c r="HVQ17"/>
      <c r="HVU17"/>
      <c r="HVY17"/>
      <c r="HWC17"/>
      <c r="HWG17"/>
      <c r="HWK17"/>
      <c r="HWO17"/>
      <c r="HWS17"/>
      <c r="HWW17"/>
      <c r="HXA17"/>
      <c r="HXE17"/>
      <c r="HXI17"/>
      <c r="HXM17"/>
      <c r="HXQ17"/>
      <c r="HXU17"/>
      <c r="HXY17"/>
      <c r="HYC17"/>
      <c r="HYG17"/>
      <c r="HYK17"/>
      <c r="HYO17"/>
      <c r="HYS17"/>
      <c r="HYW17"/>
      <c r="HZA17"/>
      <c r="HZE17"/>
      <c r="HZI17"/>
      <c r="HZM17"/>
      <c r="HZQ17"/>
      <c r="HZU17"/>
      <c r="HZY17"/>
      <c r="IAC17"/>
      <c r="IAG17"/>
      <c r="IAK17"/>
      <c r="IAO17"/>
      <c r="IAS17"/>
      <c r="IAW17"/>
      <c r="IBA17"/>
      <c r="IBE17"/>
      <c r="IBI17"/>
      <c r="IBM17"/>
      <c r="IBQ17"/>
      <c r="IBU17"/>
      <c r="IBY17"/>
      <c r="ICC17"/>
      <c r="ICG17"/>
      <c r="ICK17"/>
      <c r="ICO17"/>
      <c r="ICS17"/>
      <c r="ICW17"/>
      <c r="IDA17"/>
      <c r="IDE17"/>
      <c r="IDI17"/>
      <c r="IDM17"/>
      <c r="IDQ17"/>
      <c r="IDU17"/>
      <c r="IDY17"/>
      <c r="IEC17"/>
      <c r="IEG17"/>
      <c r="IEK17"/>
      <c r="IEO17"/>
      <c r="IES17"/>
      <c r="IEW17"/>
      <c r="IFA17"/>
      <c r="IFE17"/>
      <c r="IFI17"/>
      <c r="IFM17"/>
      <c r="IFQ17"/>
      <c r="IFU17"/>
      <c r="IFY17"/>
      <c r="IGC17"/>
      <c r="IGG17"/>
      <c r="IGK17"/>
      <c r="IGO17"/>
      <c r="IGS17"/>
      <c r="IGW17"/>
      <c r="IHA17"/>
      <c r="IHE17"/>
      <c r="IHI17"/>
      <c r="IHM17"/>
      <c r="IHQ17"/>
      <c r="IHU17"/>
      <c r="IHY17"/>
      <c r="IIC17"/>
      <c r="IIG17"/>
      <c r="IIK17"/>
      <c r="IIO17"/>
      <c r="IIS17"/>
      <c r="IIW17"/>
      <c r="IJA17"/>
      <c r="IJE17"/>
      <c r="IJI17"/>
      <c r="IJM17"/>
      <c r="IJQ17"/>
      <c r="IJU17"/>
      <c r="IJY17"/>
      <c r="IKC17"/>
      <c r="IKG17"/>
      <c r="IKK17"/>
      <c r="IKO17"/>
      <c r="IKS17"/>
      <c r="IKW17"/>
      <c r="ILA17"/>
      <c r="ILE17"/>
      <c r="ILI17"/>
      <c r="ILM17"/>
      <c r="ILQ17"/>
      <c r="ILU17"/>
      <c r="ILY17"/>
      <c r="IMC17"/>
      <c r="IMG17"/>
      <c r="IMK17"/>
      <c r="IMO17"/>
      <c r="IMS17"/>
      <c r="IMW17"/>
      <c r="INA17"/>
      <c r="INE17"/>
      <c r="INI17"/>
      <c r="INM17"/>
      <c r="INQ17"/>
      <c r="INU17"/>
      <c r="INY17"/>
      <c r="IOC17"/>
      <c r="IOG17"/>
      <c r="IOK17"/>
      <c r="IOO17"/>
      <c r="IOS17"/>
      <c r="IOW17"/>
      <c r="IPA17"/>
      <c r="IPE17"/>
      <c r="IPI17"/>
      <c r="IPM17"/>
      <c r="IPQ17"/>
      <c r="IPU17"/>
      <c r="IPY17"/>
      <c r="IQC17"/>
      <c r="IQG17"/>
      <c r="IQK17"/>
      <c r="IQO17"/>
      <c r="IQS17"/>
      <c r="IQW17"/>
      <c r="IRA17"/>
      <c r="IRE17"/>
      <c r="IRI17"/>
      <c r="IRM17"/>
      <c r="IRQ17"/>
      <c r="IRU17"/>
      <c r="IRY17"/>
      <c r="ISC17"/>
      <c r="ISG17"/>
      <c r="ISK17"/>
      <c r="ISO17"/>
      <c r="ISS17"/>
      <c r="ISW17"/>
      <c r="ITA17"/>
      <c r="ITE17"/>
      <c r="ITI17"/>
      <c r="ITM17"/>
      <c r="ITQ17"/>
      <c r="ITU17"/>
      <c r="ITY17"/>
      <c r="IUC17"/>
      <c r="IUG17"/>
      <c r="IUK17"/>
      <c r="IUO17"/>
      <c r="IUS17"/>
      <c r="IUW17"/>
      <c r="IVA17"/>
      <c r="IVE17"/>
      <c r="IVI17"/>
      <c r="IVM17"/>
      <c r="IVQ17"/>
      <c r="IVU17"/>
      <c r="IVY17"/>
      <c r="IWC17"/>
      <c r="IWG17"/>
      <c r="IWK17"/>
      <c r="IWO17"/>
      <c r="IWS17"/>
      <c r="IWW17"/>
      <c r="IXA17"/>
      <c r="IXE17"/>
      <c r="IXI17"/>
      <c r="IXM17"/>
      <c r="IXQ17"/>
      <c r="IXU17"/>
      <c r="IXY17"/>
      <c r="IYC17"/>
      <c r="IYG17"/>
      <c r="IYK17"/>
      <c r="IYO17"/>
      <c r="IYS17"/>
      <c r="IYW17"/>
      <c r="IZA17"/>
      <c r="IZE17"/>
      <c r="IZI17"/>
      <c r="IZM17"/>
      <c r="IZQ17"/>
      <c r="IZU17"/>
      <c r="IZY17"/>
      <c r="JAC17"/>
      <c r="JAG17"/>
      <c r="JAK17"/>
      <c r="JAO17"/>
      <c r="JAS17"/>
      <c r="JAW17"/>
      <c r="JBA17"/>
      <c r="JBE17"/>
      <c r="JBI17"/>
      <c r="JBM17"/>
      <c r="JBQ17"/>
      <c r="JBU17"/>
      <c r="JBY17"/>
      <c r="JCC17"/>
      <c r="JCG17"/>
      <c r="JCK17"/>
      <c r="JCO17"/>
      <c r="JCS17"/>
      <c r="JCW17"/>
      <c r="JDA17"/>
      <c r="JDE17"/>
      <c r="JDI17"/>
      <c r="JDM17"/>
      <c r="JDQ17"/>
      <c r="JDU17"/>
      <c r="JDY17"/>
      <c r="JEC17"/>
      <c r="JEG17"/>
      <c r="JEK17"/>
      <c r="JEO17"/>
      <c r="JES17"/>
      <c r="JEW17"/>
      <c r="JFA17"/>
      <c r="JFE17"/>
      <c r="JFI17"/>
      <c r="JFM17"/>
      <c r="JFQ17"/>
      <c r="JFU17"/>
      <c r="JFY17"/>
      <c r="JGC17"/>
      <c r="JGG17"/>
      <c r="JGK17"/>
      <c r="JGO17"/>
      <c r="JGS17"/>
      <c r="JGW17"/>
      <c r="JHA17"/>
      <c r="JHE17"/>
      <c r="JHI17"/>
      <c r="JHM17"/>
      <c r="JHQ17"/>
      <c r="JHU17"/>
      <c r="JHY17"/>
      <c r="JIC17"/>
      <c r="JIG17"/>
      <c r="JIK17"/>
      <c r="JIO17"/>
      <c r="JIS17"/>
      <c r="JIW17"/>
      <c r="JJA17"/>
      <c r="JJE17"/>
      <c r="JJI17"/>
      <c r="JJM17"/>
      <c r="JJQ17"/>
      <c r="JJU17"/>
      <c r="JJY17"/>
      <c r="JKC17"/>
      <c r="JKG17"/>
      <c r="JKK17"/>
      <c r="JKO17"/>
      <c r="JKS17"/>
      <c r="JKW17"/>
      <c r="JLA17"/>
      <c r="JLE17"/>
      <c r="JLI17"/>
      <c r="JLM17"/>
      <c r="JLQ17"/>
      <c r="JLU17"/>
      <c r="JLY17"/>
      <c r="JMC17"/>
      <c r="JMG17"/>
      <c r="JMK17"/>
      <c r="JMO17"/>
      <c r="JMS17"/>
      <c r="JMW17"/>
      <c r="JNA17"/>
      <c r="JNE17"/>
      <c r="JNI17"/>
      <c r="JNM17"/>
      <c r="JNQ17"/>
      <c r="JNU17"/>
      <c r="JNY17"/>
      <c r="JOC17"/>
      <c r="JOG17"/>
      <c r="JOK17"/>
      <c r="JOO17"/>
      <c r="JOS17"/>
      <c r="JOW17"/>
      <c r="JPA17"/>
      <c r="JPE17"/>
      <c r="JPI17"/>
      <c r="JPM17"/>
      <c r="JPQ17"/>
      <c r="JPU17"/>
      <c r="JPY17"/>
      <c r="JQC17"/>
      <c r="JQG17"/>
      <c r="JQK17"/>
      <c r="JQO17"/>
      <c r="JQS17"/>
      <c r="JQW17"/>
      <c r="JRA17"/>
      <c r="JRE17"/>
      <c r="JRI17"/>
      <c r="JRM17"/>
      <c r="JRQ17"/>
      <c r="JRU17"/>
      <c r="JRY17"/>
      <c r="JSC17"/>
      <c r="JSG17"/>
      <c r="JSK17"/>
      <c r="JSO17"/>
      <c r="JSS17"/>
      <c r="JSW17"/>
      <c r="JTA17"/>
      <c r="JTE17"/>
      <c r="JTI17"/>
      <c r="JTM17"/>
      <c r="JTQ17"/>
      <c r="JTU17"/>
      <c r="JTY17"/>
      <c r="JUC17"/>
      <c r="JUG17"/>
      <c r="JUK17"/>
      <c r="JUO17"/>
      <c r="JUS17"/>
      <c r="JUW17"/>
      <c r="JVA17"/>
      <c r="JVE17"/>
      <c r="JVI17"/>
      <c r="JVM17"/>
      <c r="JVQ17"/>
      <c r="JVU17"/>
      <c r="JVY17"/>
      <c r="JWC17"/>
      <c r="JWG17"/>
      <c r="JWK17"/>
      <c r="JWO17"/>
      <c r="JWS17"/>
      <c r="JWW17"/>
      <c r="JXA17"/>
      <c r="JXE17"/>
      <c r="JXI17"/>
      <c r="JXM17"/>
      <c r="JXQ17"/>
      <c r="JXU17"/>
      <c r="JXY17"/>
      <c r="JYC17"/>
      <c r="JYG17"/>
      <c r="JYK17"/>
      <c r="JYO17"/>
      <c r="JYS17"/>
      <c r="JYW17"/>
      <c r="JZA17"/>
      <c r="JZE17"/>
      <c r="JZI17"/>
      <c r="JZM17"/>
      <c r="JZQ17"/>
      <c r="JZU17"/>
      <c r="JZY17"/>
      <c r="KAC17"/>
      <c r="KAG17"/>
      <c r="KAK17"/>
      <c r="KAO17"/>
      <c r="KAS17"/>
      <c r="KAW17"/>
      <c r="KBA17"/>
      <c r="KBE17"/>
      <c r="KBI17"/>
      <c r="KBM17"/>
      <c r="KBQ17"/>
      <c r="KBU17"/>
      <c r="KBY17"/>
      <c r="KCC17"/>
      <c r="KCG17"/>
      <c r="KCK17"/>
      <c r="KCO17"/>
      <c r="KCS17"/>
      <c r="KCW17"/>
      <c r="KDA17"/>
      <c r="KDE17"/>
      <c r="KDI17"/>
      <c r="KDM17"/>
      <c r="KDQ17"/>
      <c r="KDU17"/>
      <c r="KDY17"/>
      <c r="KEC17"/>
      <c r="KEG17"/>
      <c r="KEK17"/>
      <c r="KEO17"/>
      <c r="KES17"/>
      <c r="KEW17"/>
      <c r="KFA17"/>
      <c r="KFE17"/>
      <c r="KFI17"/>
      <c r="KFM17"/>
      <c r="KFQ17"/>
      <c r="KFU17"/>
      <c r="KFY17"/>
      <c r="KGC17"/>
      <c r="KGG17"/>
      <c r="KGK17"/>
      <c r="KGO17"/>
      <c r="KGS17"/>
      <c r="KGW17"/>
      <c r="KHA17"/>
      <c r="KHE17"/>
      <c r="KHI17"/>
      <c r="KHM17"/>
      <c r="KHQ17"/>
      <c r="KHU17"/>
      <c r="KHY17"/>
      <c r="KIC17"/>
      <c r="KIG17"/>
      <c r="KIK17"/>
      <c r="KIO17"/>
      <c r="KIS17"/>
      <c r="KIW17"/>
      <c r="KJA17"/>
      <c r="KJE17"/>
      <c r="KJI17"/>
      <c r="KJM17"/>
      <c r="KJQ17"/>
      <c r="KJU17"/>
      <c r="KJY17"/>
      <c r="KKC17"/>
      <c r="KKG17"/>
      <c r="KKK17"/>
      <c r="KKO17"/>
      <c r="KKS17"/>
      <c r="KKW17"/>
      <c r="KLA17"/>
      <c r="KLE17"/>
      <c r="KLI17"/>
      <c r="KLM17"/>
      <c r="KLQ17"/>
      <c r="KLU17"/>
      <c r="KLY17"/>
      <c r="KMC17"/>
      <c r="KMG17"/>
      <c r="KMK17"/>
      <c r="KMO17"/>
      <c r="KMS17"/>
      <c r="KMW17"/>
      <c r="KNA17"/>
      <c r="KNE17"/>
      <c r="KNI17"/>
      <c r="KNM17"/>
      <c r="KNQ17"/>
      <c r="KNU17"/>
      <c r="KNY17"/>
      <c r="KOC17"/>
      <c r="KOG17"/>
      <c r="KOK17"/>
      <c r="KOO17"/>
      <c r="KOS17"/>
      <c r="KOW17"/>
      <c r="KPA17"/>
      <c r="KPE17"/>
      <c r="KPI17"/>
      <c r="KPM17"/>
      <c r="KPQ17"/>
      <c r="KPU17"/>
      <c r="KPY17"/>
      <c r="KQC17"/>
      <c r="KQG17"/>
      <c r="KQK17"/>
      <c r="KQO17"/>
      <c r="KQS17"/>
      <c r="KQW17"/>
      <c r="KRA17"/>
      <c r="KRE17"/>
      <c r="KRI17"/>
      <c r="KRM17"/>
      <c r="KRQ17"/>
      <c r="KRU17"/>
      <c r="KRY17"/>
      <c r="KSC17"/>
      <c r="KSG17"/>
      <c r="KSK17"/>
      <c r="KSO17"/>
      <c r="KSS17"/>
      <c r="KSW17"/>
      <c r="KTA17"/>
      <c r="KTE17"/>
      <c r="KTI17"/>
      <c r="KTM17"/>
      <c r="KTQ17"/>
      <c r="KTU17"/>
      <c r="KTY17"/>
      <c r="KUC17"/>
      <c r="KUG17"/>
      <c r="KUK17"/>
      <c r="KUO17"/>
      <c r="KUS17"/>
      <c r="KUW17"/>
      <c r="KVA17"/>
      <c r="KVE17"/>
      <c r="KVI17"/>
      <c r="KVM17"/>
      <c r="KVQ17"/>
      <c r="KVU17"/>
      <c r="KVY17"/>
      <c r="KWC17"/>
      <c r="KWG17"/>
      <c r="KWK17"/>
      <c r="KWO17"/>
      <c r="KWS17"/>
      <c r="KWW17"/>
      <c r="KXA17"/>
      <c r="KXE17"/>
      <c r="KXI17"/>
      <c r="KXM17"/>
      <c r="KXQ17"/>
      <c r="KXU17"/>
      <c r="KXY17"/>
      <c r="KYC17"/>
      <c r="KYG17"/>
      <c r="KYK17"/>
      <c r="KYO17"/>
      <c r="KYS17"/>
      <c r="KYW17"/>
      <c r="KZA17"/>
      <c r="KZE17"/>
      <c r="KZI17"/>
      <c r="KZM17"/>
      <c r="KZQ17"/>
      <c r="KZU17"/>
      <c r="KZY17"/>
      <c r="LAC17"/>
      <c r="LAG17"/>
      <c r="LAK17"/>
      <c r="LAO17"/>
      <c r="LAS17"/>
      <c r="LAW17"/>
      <c r="LBA17"/>
      <c r="LBE17"/>
      <c r="LBI17"/>
      <c r="LBM17"/>
      <c r="LBQ17"/>
      <c r="LBU17"/>
      <c r="LBY17"/>
      <c r="LCC17"/>
      <c r="LCG17"/>
      <c r="LCK17"/>
      <c r="LCO17"/>
      <c r="LCS17"/>
      <c r="LCW17"/>
      <c r="LDA17"/>
      <c r="LDE17"/>
      <c r="LDI17"/>
      <c r="LDM17"/>
      <c r="LDQ17"/>
      <c r="LDU17"/>
      <c r="LDY17"/>
      <c r="LEC17"/>
      <c r="LEG17"/>
      <c r="LEK17"/>
      <c r="LEO17"/>
      <c r="LES17"/>
      <c r="LEW17"/>
      <c r="LFA17"/>
      <c r="LFE17"/>
      <c r="LFI17"/>
      <c r="LFM17"/>
      <c r="LFQ17"/>
      <c r="LFU17"/>
      <c r="LFY17"/>
      <c r="LGC17"/>
      <c r="LGG17"/>
      <c r="LGK17"/>
      <c r="LGO17"/>
      <c r="LGS17"/>
      <c r="LGW17"/>
      <c r="LHA17"/>
      <c r="LHE17"/>
      <c r="LHI17"/>
      <c r="LHM17"/>
      <c r="LHQ17"/>
      <c r="LHU17"/>
      <c r="LHY17"/>
      <c r="LIC17"/>
      <c r="LIG17"/>
      <c r="LIK17"/>
      <c r="LIO17"/>
      <c r="LIS17"/>
      <c r="LIW17"/>
      <c r="LJA17"/>
      <c r="LJE17"/>
      <c r="LJI17"/>
      <c r="LJM17"/>
      <c r="LJQ17"/>
      <c r="LJU17"/>
      <c r="LJY17"/>
      <c r="LKC17"/>
      <c r="LKG17"/>
      <c r="LKK17"/>
      <c r="LKO17"/>
      <c r="LKS17"/>
      <c r="LKW17"/>
      <c r="LLA17"/>
      <c r="LLE17"/>
      <c r="LLI17"/>
      <c r="LLM17"/>
      <c r="LLQ17"/>
      <c r="LLU17"/>
      <c r="LLY17"/>
      <c r="LMC17"/>
      <c r="LMG17"/>
      <c r="LMK17"/>
      <c r="LMO17"/>
      <c r="LMS17"/>
      <c r="LMW17"/>
      <c r="LNA17"/>
      <c r="LNE17"/>
      <c r="LNI17"/>
      <c r="LNM17"/>
      <c r="LNQ17"/>
      <c r="LNU17"/>
      <c r="LNY17"/>
      <c r="LOC17"/>
      <c r="LOG17"/>
      <c r="LOK17"/>
      <c r="LOO17"/>
      <c r="LOS17"/>
      <c r="LOW17"/>
      <c r="LPA17"/>
      <c r="LPE17"/>
      <c r="LPI17"/>
      <c r="LPM17"/>
      <c r="LPQ17"/>
      <c r="LPU17"/>
      <c r="LPY17"/>
      <c r="LQC17"/>
      <c r="LQG17"/>
      <c r="LQK17"/>
      <c r="LQO17"/>
      <c r="LQS17"/>
      <c r="LQW17"/>
      <c r="LRA17"/>
      <c r="LRE17"/>
      <c r="LRI17"/>
      <c r="LRM17"/>
      <c r="LRQ17"/>
      <c r="LRU17"/>
      <c r="LRY17"/>
      <c r="LSC17"/>
      <c r="LSG17"/>
      <c r="LSK17"/>
      <c r="LSO17"/>
      <c r="LSS17"/>
      <c r="LSW17"/>
      <c r="LTA17"/>
      <c r="LTE17"/>
      <c r="LTI17"/>
      <c r="LTM17"/>
      <c r="LTQ17"/>
      <c r="LTU17"/>
      <c r="LTY17"/>
      <c r="LUC17"/>
      <c r="LUG17"/>
      <c r="LUK17"/>
      <c r="LUO17"/>
      <c r="LUS17"/>
      <c r="LUW17"/>
      <c r="LVA17"/>
      <c r="LVE17"/>
      <c r="LVI17"/>
      <c r="LVM17"/>
      <c r="LVQ17"/>
      <c r="LVU17"/>
      <c r="LVY17"/>
      <c r="LWC17"/>
      <c r="LWG17"/>
      <c r="LWK17"/>
      <c r="LWO17"/>
      <c r="LWS17"/>
      <c r="LWW17"/>
      <c r="LXA17"/>
      <c r="LXE17"/>
      <c r="LXI17"/>
      <c r="LXM17"/>
      <c r="LXQ17"/>
      <c r="LXU17"/>
      <c r="LXY17"/>
      <c r="LYC17"/>
      <c r="LYG17"/>
      <c r="LYK17"/>
      <c r="LYO17"/>
      <c r="LYS17"/>
      <c r="LYW17"/>
      <c r="LZA17"/>
      <c r="LZE17"/>
      <c r="LZI17"/>
      <c r="LZM17"/>
      <c r="LZQ17"/>
      <c r="LZU17"/>
      <c r="LZY17"/>
      <c r="MAC17"/>
      <c r="MAG17"/>
      <c r="MAK17"/>
      <c r="MAO17"/>
      <c r="MAS17"/>
      <c r="MAW17"/>
      <c r="MBA17"/>
      <c r="MBE17"/>
      <c r="MBI17"/>
      <c r="MBM17"/>
      <c r="MBQ17"/>
      <c r="MBU17"/>
      <c r="MBY17"/>
      <c r="MCC17"/>
      <c r="MCG17"/>
      <c r="MCK17"/>
      <c r="MCO17"/>
      <c r="MCS17"/>
      <c r="MCW17"/>
      <c r="MDA17"/>
      <c r="MDE17"/>
      <c r="MDI17"/>
      <c r="MDM17"/>
      <c r="MDQ17"/>
      <c r="MDU17"/>
      <c r="MDY17"/>
      <c r="MEC17"/>
      <c r="MEG17"/>
      <c r="MEK17"/>
      <c r="MEO17"/>
      <c r="MES17"/>
      <c r="MEW17"/>
      <c r="MFA17"/>
      <c r="MFE17"/>
      <c r="MFI17"/>
      <c r="MFM17"/>
      <c r="MFQ17"/>
      <c r="MFU17"/>
      <c r="MFY17"/>
      <c r="MGC17"/>
      <c r="MGG17"/>
      <c r="MGK17"/>
      <c r="MGO17"/>
      <c r="MGS17"/>
      <c r="MGW17"/>
      <c r="MHA17"/>
      <c r="MHE17"/>
      <c r="MHI17"/>
      <c r="MHM17"/>
      <c r="MHQ17"/>
      <c r="MHU17"/>
      <c r="MHY17"/>
      <c r="MIC17"/>
      <c r="MIG17"/>
      <c r="MIK17"/>
      <c r="MIO17"/>
      <c r="MIS17"/>
      <c r="MIW17"/>
      <c r="MJA17"/>
      <c r="MJE17"/>
      <c r="MJI17"/>
      <c r="MJM17"/>
      <c r="MJQ17"/>
      <c r="MJU17"/>
      <c r="MJY17"/>
      <c r="MKC17"/>
      <c r="MKG17"/>
      <c r="MKK17"/>
      <c r="MKO17"/>
      <c r="MKS17"/>
      <c r="MKW17"/>
      <c r="MLA17"/>
      <c r="MLE17"/>
      <c r="MLI17"/>
      <c r="MLM17"/>
      <c r="MLQ17"/>
      <c r="MLU17"/>
      <c r="MLY17"/>
      <c r="MMC17"/>
      <c r="MMG17"/>
      <c r="MMK17"/>
      <c r="MMO17"/>
      <c r="MMS17"/>
      <c r="MMW17"/>
      <c r="MNA17"/>
      <c r="MNE17"/>
      <c r="MNI17"/>
      <c r="MNM17"/>
      <c r="MNQ17"/>
      <c r="MNU17"/>
      <c r="MNY17"/>
      <c r="MOC17"/>
      <c r="MOG17"/>
      <c r="MOK17"/>
      <c r="MOO17"/>
      <c r="MOS17"/>
      <c r="MOW17"/>
      <c r="MPA17"/>
      <c r="MPE17"/>
      <c r="MPI17"/>
      <c r="MPM17"/>
      <c r="MPQ17"/>
      <c r="MPU17"/>
      <c r="MPY17"/>
      <c r="MQC17"/>
      <c r="MQG17"/>
      <c r="MQK17"/>
      <c r="MQO17"/>
      <c r="MQS17"/>
      <c r="MQW17"/>
      <c r="MRA17"/>
      <c r="MRE17"/>
      <c r="MRI17"/>
      <c r="MRM17"/>
      <c r="MRQ17"/>
      <c r="MRU17"/>
      <c r="MRY17"/>
      <c r="MSC17"/>
      <c r="MSG17"/>
      <c r="MSK17"/>
      <c r="MSO17"/>
      <c r="MSS17"/>
      <c r="MSW17"/>
      <c r="MTA17"/>
      <c r="MTE17"/>
      <c r="MTI17"/>
      <c r="MTM17"/>
      <c r="MTQ17"/>
      <c r="MTU17"/>
      <c r="MTY17"/>
      <c r="MUC17"/>
      <c r="MUG17"/>
      <c r="MUK17"/>
      <c r="MUO17"/>
      <c r="MUS17"/>
      <c r="MUW17"/>
      <c r="MVA17"/>
      <c r="MVE17"/>
      <c r="MVI17"/>
      <c r="MVM17"/>
      <c r="MVQ17"/>
      <c r="MVU17"/>
      <c r="MVY17"/>
      <c r="MWC17"/>
      <c r="MWG17"/>
      <c r="MWK17"/>
      <c r="MWO17"/>
      <c r="MWS17"/>
      <c r="MWW17"/>
      <c r="MXA17"/>
      <c r="MXE17"/>
      <c r="MXI17"/>
      <c r="MXM17"/>
      <c r="MXQ17"/>
      <c r="MXU17"/>
      <c r="MXY17"/>
      <c r="MYC17"/>
      <c r="MYG17"/>
      <c r="MYK17"/>
      <c r="MYO17"/>
      <c r="MYS17"/>
      <c r="MYW17"/>
      <c r="MZA17"/>
      <c r="MZE17"/>
      <c r="MZI17"/>
      <c r="MZM17"/>
      <c r="MZQ17"/>
      <c r="MZU17"/>
      <c r="MZY17"/>
      <c r="NAC17"/>
      <c r="NAG17"/>
      <c r="NAK17"/>
      <c r="NAO17"/>
      <c r="NAS17"/>
      <c r="NAW17"/>
      <c r="NBA17"/>
      <c r="NBE17"/>
      <c r="NBI17"/>
      <c r="NBM17"/>
      <c r="NBQ17"/>
      <c r="NBU17"/>
      <c r="NBY17"/>
      <c r="NCC17"/>
      <c r="NCG17"/>
      <c r="NCK17"/>
      <c r="NCO17"/>
      <c r="NCS17"/>
      <c r="NCW17"/>
      <c r="NDA17"/>
      <c r="NDE17"/>
      <c r="NDI17"/>
      <c r="NDM17"/>
      <c r="NDQ17"/>
      <c r="NDU17"/>
      <c r="NDY17"/>
      <c r="NEC17"/>
      <c r="NEG17"/>
      <c r="NEK17"/>
      <c r="NEO17"/>
      <c r="NES17"/>
      <c r="NEW17"/>
      <c r="NFA17"/>
      <c r="NFE17"/>
      <c r="NFI17"/>
      <c r="NFM17"/>
      <c r="NFQ17"/>
      <c r="NFU17"/>
      <c r="NFY17"/>
      <c r="NGC17"/>
      <c r="NGG17"/>
      <c r="NGK17"/>
      <c r="NGO17"/>
      <c r="NGS17"/>
      <c r="NGW17"/>
      <c r="NHA17"/>
      <c r="NHE17"/>
      <c r="NHI17"/>
      <c r="NHM17"/>
      <c r="NHQ17"/>
      <c r="NHU17"/>
      <c r="NHY17"/>
      <c r="NIC17"/>
      <c r="NIG17"/>
      <c r="NIK17"/>
      <c r="NIO17"/>
      <c r="NIS17"/>
      <c r="NIW17"/>
      <c r="NJA17"/>
      <c r="NJE17"/>
      <c r="NJI17"/>
      <c r="NJM17"/>
      <c r="NJQ17"/>
      <c r="NJU17"/>
      <c r="NJY17"/>
      <c r="NKC17"/>
      <c r="NKG17"/>
      <c r="NKK17"/>
      <c r="NKO17"/>
      <c r="NKS17"/>
      <c r="NKW17"/>
      <c r="NLA17"/>
      <c r="NLE17"/>
      <c r="NLI17"/>
      <c r="NLM17"/>
      <c r="NLQ17"/>
      <c r="NLU17"/>
      <c r="NLY17"/>
      <c r="NMC17"/>
      <c r="NMG17"/>
      <c r="NMK17"/>
      <c r="NMO17"/>
      <c r="NMS17"/>
      <c r="NMW17"/>
      <c r="NNA17"/>
      <c r="NNE17"/>
      <c r="NNI17"/>
      <c r="NNM17"/>
      <c r="NNQ17"/>
      <c r="NNU17"/>
      <c r="NNY17"/>
      <c r="NOC17"/>
      <c r="NOG17"/>
      <c r="NOK17"/>
      <c r="NOO17"/>
      <c r="NOS17"/>
      <c r="NOW17"/>
      <c r="NPA17"/>
      <c r="NPE17"/>
      <c r="NPI17"/>
      <c r="NPM17"/>
      <c r="NPQ17"/>
      <c r="NPU17"/>
      <c r="NPY17"/>
      <c r="NQC17"/>
      <c r="NQG17"/>
      <c r="NQK17"/>
      <c r="NQO17"/>
      <c r="NQS17"/>
      <c r="NQW17"/>
      <c r="NRA17"/>
      <c r="NRE17"/>
      <c r="NRI17"/>
      <c r="NRM17"/>
      <c r="NRQ17"/>
      <c r="NRU17"/>
      <c r="NRY17"/>
      <c r="NSC17"/>
      <c r="NSG17"/>
      <c r="NSK17"/>
      <c r="NSO17"/>
      <c r="NSS17"/>
      <c r="NSW17"/>
      <c r="NTA17"/>
      <c r="NTE17"/>
      <c r="NTI17"/>
      <c r="NTM17"/>
      <c r="NTQ17"/>
      <c r="NTU17"/>
      <c r="NTY17"/>
      <c r="NUC17"/>
      <c r="NUG17"/>
      <c r="NUK17"/>
      <c r="NUO17"/>
      <c r="NUS17"/>
      <c r="NUW17"/>
      <c r="NVA17"/>
      <c r="NVE17"/>
      <c r="NVI17"/>
      <c r="NVM17"/>
      <c r="NVQ17"/>
      <c r="NVU17"/>
      <c r="NVY17"/>
      <c r="NWC17"/>
      <c r="NWG17"/>
      <c r="NWK17"/>
      <c r="NWO17"/>
      <c r="NWS17"/>
      <c r="NWW17"/>
      <c r="NXA17"/>
      <c r="NXE17"/>
      <c r="NXI17"/>
      <c r="NXM17"/>
      <c r="NXQ17"/>
      <c r="NXU17"/>
      <c r="NXY17"/>
      <c r="NYC17"/>
      <c r="NYG17"/>
      <c r="NYK17"/>
      <c r="NYO17"/>
      <c r="NYS17"/>
      <c r="NYW17"/>
      <c r="NZA17"/>
      <c r="NZE17"/>
      <c r="NZI17"/>
      <c r="NZM17"/>
      <c r="NZQ17"/>
      <c r="NZU17"/>
      <c r="NZY17"/>
      <c r="OAC17"/>
      <c r="OAG17"/>
      <c r="OAK17"/>
      <c r="OAO17"/>
      <c r="OAS17"/>
      <c r="OAW17"/>
      <c r="OBA17"/>
      <c r="OBE17"/>
      <c r="OBI17"/>
      <c r="OBM17"/>
      <c r="OBQ17"/>
      <c r="OBU17"/>
      <c r="OBY17"/>
      <c r="OCC17"/>
      <c r="OCG17"/>
      <c r="OCK17"/>
      <c r="OCO17"/>
      <c r="OCS17"/>
      <c r="OCW17"/>
      <c r="ODA17"/>
      <c r="ODE17"/>
      <c r="ODI17"/>
      <c r="ODM17"/>
      <c r="ODQ17"/>
      <c r="ODU17"/>
      <c r="ODY17"/>
      <c r="OEC17"/>
      <c r="OEG17"/>
      <c r="OEK17"/>
      <c r="OEO17"/>
      <c r="OES17"/>
      <c r="OEW17"/>
      <c r="OFA17"/>
      <c r="OFE17"/>
      <c r="OFI17"/>
      <c r="OFM17"/>
      <c r="OFQ17"/>
      <c r="OFU17"/>
      <c r="OFY17"/>
      <c r="OGC17"/>
      <c r="OGG17"/>
      <c r="OGK17"/>
      <c r="OGO17"/>
      <c r="OGS17"/>
      <c r="OGW17"/>
      <c r="OHA17"/>
      <c r="OHE17"/>
      <c r="OHI17"/>
      <c r="OHM17"/>
      <c r="OHQ17"/>
      <c r="OHU17"/>
      <c r="OHY17"/>
      <c r="OIC17"/>
      <c r="OIG17"/>
      <c r="OIK17"/>
      <c r="OIO17"/>
      <c r="OIS17"/>
      <c r="OIW17"/>
      <c r="OJA17"/>
      <c r="OJE17"/>
      <c r="OJI17"/>
      <c r="OJM17"/>
      <c r="OJQ17"/>
      <c r="OJU17"/>
      <c r="OJY17"/>
      <c r="OKC17"/>
      <c r="OKG17"/>
      <c r="OKK17"/>
      <c r="OKO17"/>
      <c r="OKS17"/>
      <c r="OKW17"/>
      <c r="OLA17"/>
      <c r="OLE17"/>
      <c r="OLI17"/>
      <c r="OLM17"/>
      <c r="OLQ17"/>
      <c r="OLU17"/>
      <c r="OLY17"/>
      <c r="OMC17"/>
      <c r="OMG17"/>
      <c r="OMK17"/>
      <c r="OMO17"/>
      <c r="OMS17"/>
      <c r="OMW17"/>
      <c r="ONA17"/>
      <c r="ONE17"/>
      <c r="ONI17"/>
      <c r="ONM17"/>
      <c r="ONQ17"/>
      <c r="ONU17"/>
      <c r="ONY17"/>
      <c r="OOC17"/>
      <c r="OOG17"/>
      <c r="OOK17"/>
      <c r="OOO17"/>
      <c r="OOS17"/>
      <c r="OOW17"/>
      <c r="OPA17"/>
      <c r="OPE17"/>
      <c r="OPI17"/>
      <c r="OPM17"/>
      <c r="OPQ17"/>
      <c r="OPU17"/>
      <c r="OPY17"/>
      <c r="OQC17"/>
      <c r="OQG17"/>
      <c r="OQK17"/>
      <c r="OQO17"/>
      <c r="OQS17"/>
      <c r="OQW17"/>
      <c r="ORA17"/>
      <c r="ORE17"/>
      <c r="ORI17"/>
      <c r="ORM17"/>
      <c r="ORQ17"/>
      <c r="ORU17"/>
      <c r="ORY17"/>
      <c r="OSC17"/>
      <c r="OSG17"/>
      <c r="OSK17"/>
      <c r="OSO17"/>
      <c r="OSS17"/>
      <c r="OSW17"/>
      <c r="OTA17"/>
      <c r="OTE17"/>
      <c r="OTI17"/>
      <c r="OTM17"/>
      <c r="OTQ17"/>
      <c r="OTU17"/>
      <c r="OTY17"/>
      <c r="OUC17"/>
      <c r="OUG17"/>
      <c r="OUK17"/>
      <c r="OUO17"/>
      <c r="OUS17"/>
      <c r="OUW17"/>
      <c r="OVA17"/>
      <c r="OVE17"/>
      <c r="OVI17"/>
      <c r="OVM17"/>
      <c r="OVQ17"/>
      <c r="OVU17"/>
      <c r="OVY17"/>
      <c r="OWC17"/>
      <c r="OWG17"/>
      <c r="OWK17"/>
      <c r="OWO17"/>
      <c r="OWS17"/>
      <c r="OWW17"/>
      <c r="OXA17"/>
      <c r="OXE17"/>
      <c r="OXI17"/>
      <c r="OXM17"/>
      <c r="OXQ17"/>
      <c r="OXU17"/>
      <c r="OXY17"/>
      <c r="OYC17"/>
      <c r="OYG17"/>
      <c r="OYK17"/>
      <c r="OYO17"/>
      <c r="OYS17"/>
      <c r="OYW17"/>
      <c r="OZA17"/>
      <c r="OZE17"/>
      <c r="OZI17"/>
      <c r="OZM17"/>
      <c r="OZQ17"/>
      <c r="OZU17"/>
      <c r="OZY17"/>
      <c r="PAC17"/>
      <c r="PAG17"/>
      <c r="PAK17"/>
      <c r="PAO17"/>
      <c r="PAS17"/>
      <c r="PAW17"/>
      <c r="PBA17"/>
      <c r="PBE17"/>
      <c r="PBI17"/>
      <c r="PBM17"/>
      <c r="PBQ17"/>
      <c r="PBU17"/>
      <c r="PBY17"/>
      <c r="PCC17"/>
      <c r="PCG17"/>
      <c r="PCK17"/>
      <c r="PCO17"/>
      <c r="PCS17"/>
      <c r="PCW17"/>
      <c r="PDA17"/>
      <c r="PDE17"/>
      <c r="PDI17"/>
      <c r="PDM17"/>
      <c r="PDQ17"/>
      <c r="PDU17"/>
      <c r="PDY17"/>
      <c r="PEC17"/>
      <c r="PEG17"/>
      <c r="PEK17"/>
      <c r="PEO17"/>
      <c r="PES17"/>
      <c r="PEW17"/>
      <c r="PFA17"/>
      <c r="PFE17"/>
      <c r="PFI17"/>
      <c r="PFM17"/>
      <c r="PFQ17"/>
      <c r="PFU17"/>
      <c r="PFY17"/>
      <c r="PGC17"/>
      <c r="PGG17"/>
      <c r="PGK17"/>
      <c r="PGO17"/>
      <c r="PGS17"/>
      <c r="PGW17"/>
      <c r="PHA17"/>
      <c r="PHE17"/>
      <c r="PHI17"/>
      <c r="PHM17"/>
      <c r="PHQ17"/>
      <c r="PHU17"/>
      <c r="PHY17"/>
      <c r="PIC17"/>
      <c r="PIG17"/>
      <c r="PIK17"/>
      <c r="PIO17"/>
      <c r="PIS17"/>
      <c r="PIW17"/>
      <c r="PJA17"/>
      <c r="PJE17"/>
      <c r="PJI17"/>
      <c r="PJM17"/>
      <c r="PJQ17"/>
      <c r="PJU17"/>
      <c r="PJY17"/>
      <c r="PKC17"/>
      <c r="PKG17"/>
      <c r="PKK17"/>
      <c r="PKO17"/>
      <c r="PKS17"/>
      <c r="PKW17"/>
      <c r="PLA17"/>
      <c r="PLE17"/>
      <c r="PLI17"/>
      <c r="PLM17"/>
      <c r="PLQ17"/>
      <c r="PLU17"/>
      <c r="PLY17"/>
      <c r="PMC17"/>
      <c r="PMG17"/>
      <c r="PMK17"/>
      <c r="PMO17"/>
      <c r="PMS17"/>
      <c r="PMW17"/>
      <c r="PNA17"/>
      <c r="PNE17"/>
      <c r="PNI17"/>
      <c r="PNM17"/>
      <c r="PNQ17"/>
      <c r="PNU17"/>
      <c r="PNY17"/>
      <c r="POC17"/>
      <c r="POG17"/>
      <c r="POK17"/>
      <c r="POO17"/>
      <c r="POS17"/>
      <c r="POW17"/>
      <c r="PPA17"/>
      <c r="PPE17"/>
      <c r="PPI17"/>
      <c r="PPM17"/>
      <c r="PPQ17"/>
      <c r="PPU17"/>
      <c r="PPY17"/>
      <c r="PQC17"/>
      <c r="PQG17"/>
      <c r="PQK17"/>
      <c r="PQO17"/>
      <c r="PQS17"/>
      <c r="PQW17"/>
      <c r="PRA17"/>
      <c r="PRE17"/>
      <c r="PRI17"/>
      <c r="PRM17"/>
      <c r="PRQ17"/>
      <c r="PRU17"/>
      <c r="PRY17"/>
      <c r="PSC17"/>
      <c r="PSG17"/>
      <c r="PSK17"/>
      <c r="PSO17"/>
      <c r="PSS17"/>
      <c r="PSW17"/>
      <c r="PTA17"/>
      <c r="PTE17"/>
      <c r="PTI17"/>
      <c r="PTM17"/>
      <c r="PTQ17"/>
      <c r="PTU17"/>
      <c r="PTY17"/>
      <c r="PUC17"/>
      <c r="PUG17"/>
      <c r="PUK17"/>
      <c r="PUO17"/>
      <c r="PUS17"/>
      <c r="PUW17"/>
      <c r="PVA17"/>
      <c r="PVE17"/>
      <c r="PVI17"/>
      <c r="PVM17"/>
      <c r="PVQ17"/>
      <c r="PVU17"/>
      <c r="PVY17"/>
      <c r="PWC17"/>
      <c r="PWG17"/>
      <c r="PWK17"/>
      <c r="PWO17"/>
      <c r="PWS17"/>
      <c r="PWW17"/>
      <c r="PXA17"/>
      <c r="PXE17"/>
      <c r="PXI17"/>
      <c r="PXM17"/>
      <c r="PXQ17"/>
      <c r="PXU17"/>
      <c r="PXY17"/>
      <c r="PYC17"/>
      <c r="PYG17"/>
      <c r="PYK17"/>
      <c r="PYO17"/>
      <c r="PYS17"/>
      <c r="PYW17"/>
      <c r="PZA17"/>
      <c r="PZE17"/>
      <c r="PZI17"/>
      <c r="PZM17"/>
      <c r="PZQ17"/>
      <c r="PZU17"/>
      <c r="PZY17"/>
      <c r="QAC17"/>
      <c r="QAG17"/>
      <c r="QAK17"/>
      <c r="QAO17"/>
      <c r="QAS17"/>
      <c r="QAW17"/>
      <c r="QBA17"/>
      <c r="QBE17"/>
      <c r="QBI17"/>
      <c r="QBM17"/>
      <c r="QBQ17"/>
      <c r="QBU17"/>
      <c r="QBY17"/>
      <c r="QCC17"/>
      <c r="QCG17"/>
      <c r="QCK17"/>
      <c r="QCO17"/>
      <c r="QCS17"/>
      <c r="QCW17"/>
      <c r="QDA17"/>
      <c r="QDE17"/>
      <c r="QDI17"/>
      <c r="QDM17"/>
      <c r="QDQ17"/>
      <c r="QDU17"/>
      <c r="QDY17"/>
      <c r="QEC17"/>
      <c r="QEG17"/>
      <c r="QEK17"/>
      <c r="QEO17"/>
      <c r="QES17"/>
      <c r="QEW17"/>
      <c r="QFA17"/>
      <c r="QFE17"/>
      <c r="QFI17"/>
      <c r="QFM17"/>
      <c r="QFQ17"/>
      <c r="QFU17"/>
      <c r="QFY17"/>
      <c r="QGC17"/>
      <c r="QGG17"/>
      <c r="QGK17"/>
      <c r="QGO17"/>
      <c r="QGS17"/>
      <c r="QGW17"/>
      <c r="QHA17"/>
      <c r="QHE17"/>
      <c r="QHI17"/>
      <c r="QHM17"/>
      <c r="QHQ17"/>
      <c r="QHU17"/>
      <c r="QHY17"/>
      <c r="QIC17"/>
      <c r="QIG17"/>
      <c r="QIK17"/>
      <c r="QIO17"/>
      <c r="QIS17"/>
      <c r="QIW17"/>
      <c r="QJA17"/>
      <c r="QJE17"/>
      <c r="QJI17"/>
      <c r="QJM17"/>
      <c r="QJQ17"/>
      <c r="QJU17"/>
      <c r="QJY17"/>
      <c r="QKC17"/>
      <c r="QKG17"/>
      <c r="QKK17"/>
      <c r="QKO17"/>
      <c r="QKS17"/>
      <c r="QKW17"/>
      <c r="QLA17"/>
      <c r="QLE17"/>
      <c r="QLI17"/>
      <c r="QLM17"/>
      <c r="QLQ17"/>
      <c r="QLU17"/>
      <c r="QLY17"/>
      <c r="QMC17"/>
      <c r="QMG17"/>
      <c r="QMK17"/>
      <c r="QMO17"/>
      <c r="QMS17"/>
      <c r="QMW17"/>
      <c r="QNA17"/>
      <c r="QNE17"/>
      <c r="QNI17"/>
      <c r="QNM17"/>
      <c r="QNQ17"/>
      <c r="QNU17"/>
      <c r="QNY17"/>
      <c r="QOC17"/>
      <c r="QOG17"/>
      <c r="QOK17"/>
      <c r="QOO17"/>
      <c r="QOS17"/>
      <c r="QOW17"/>
      <c r="QPA17"/>
      <c r="QPE17"/>
      <c r="QPI17"/>
      <c r="QPM17"/>
      <c r="QPQ17"/>
      <c r="QPU17"/>
      <c r="QPY17"/>
      <c r="QQC17"/>
      <c r="QQG17"/>
      <c r="QQK17"/>
      <c r="QQO17"/>
      <c r="QQS17"/>
      <c r="QQW17"/>
      <c r="QRA17"/>
      <c r="QRE17"/>
      <c r="QRI17"/>
      <c r="QRM17"/>
      <c r="QRQ17"/>
      <c r="QRU17"/>
      <c r="QRY17"/>
      <c r="QSC17"/>
      <c r="QSG17"/>
      <c r="QSK17"/>
      <c r="QSO17"/>
      <c r="QSS17"/>
      <c r="QSW17"/>
      <c r="QTA17"/>
      <c r="QTE17"/>
      <c r="QTI17"/>
      <c r="QTM17"/>
      <c r="QTQ17"/>
      <c r="QTU17"/>
      <c r="QTY17"/>
      <c r="QUC17"/>
      <c r="QUG17"/>
      <c r="QUK17"/>
      <c r="QUO17"/>
      <c r="QUS17"/>
      <c r="QUW17"/>
      <c r="QVA17"/>
      <c r="QVE17"/>
      <c r="QVI17"/>
      <c r="QVM17"/>
      <c r="QVQ17"/>
      <c r="QVU17"/>
      <c r="QVY17"/>
      <c r="QWC17"/>
      <c r="QWG17"/>
      <c r="QWK17"/>
      <c r="QWO17"/>
      <c r="QWS17"/>
      <c r="QWW17"/>
      <c r="QXA17"/>
      <c r="QXE17"/>
      <c r="QXI17"/>
      <c r="QXM17"/>
      <c r="QXQ17"/>
      <c r="QXU17"/>
      <c r="QXY17"/>
      <c r="QYC17"/>
      <c r="QYG17"/>
      <c r="QYK17"/>
      <c r="QYO17"/>
      <c r="QYS17"/>
      <c r="QYW17"/>
      <c r="QZA17"/>
      <c r="QZE17"/>
      <c r="QZI17"/>
      <c r="QZM17"/>
      <c r="QZQ17"/>
      <c r="QZU17"/>
      <c r="QZY17"/>
      <c r="RAC17"/>
      <c r="RAG17"/>
      <c r="RAK17"/>
      <c r="RAO17"/>
      <c r="RAS17"/>
      <c r="RAW17"/>
      <c r="RBA17"/>
      <c r="RBE17"/>
      <c r="RBI17"/>
      <c r="RBM17"/>
      <c r="RBQ17"/>
      <c r="RBU17"/>
      <c r="RBY17"/>
      <c r="RCC17"/>
      <c r="RCG17"/>
      <c r="RCK17"/>
      <c r="RCO17"/>
      <c r="RCS17"/>
      <c r="RCW17"/>
      <c r="RDA17"/>
      <c r="RDE17"/>
      <c r="RDI17"/>
      <c r="RDM17"/>
      <c r="RDQ17"/>
      <c r="RDU17"/>
      <c r="RDY17"/>
      <c r="REC17"/>
      <c r="REG17"/>
      <c r="REK17"/>
      <c r="REO17"/>
      <c r="RES17"/>
      <c r="REW17"/>
      <c r="RFA17"/>
      <c r="RFE17"/>
      <c r="RFI17"/>
      <c r="RFM17"/>
      <c r="RFQ17"/>
      <c r="RFU17"/>
      <c r="RFY17"/>
      <c r="RGC17"/>
      <c r="RGG17"/>
      <c r="RGK17"/>
      <c r="RGO17"/>
      <c r="RGS17"/>
      <c r="RGW17"/>
      <c r="RHA17"/>
      <c r="RHE17"/>
      <c r="RHI17"/>
      <c r="RHM17"/>
      <c r="RHQ17"/>
      <c r="RHU17"/>
      <c r="RHY17"/>
      <c r="RIC17"/>
      <c r="RIG17"/>
      <c r="RIK17"/>
      <c r="RIO17"/>
      <c r="RIS17"/>
      <c r="RIW17"/>
      <c r="RJA17"/>
      <c r="RJE17"/>
      <c r="RJI17"/>
      <c r="RJM17"/>
      <c r="RJQ17"/>
      <c r="RJU17"/>
      <c r="RJY17"/>
      <c r="RKC17"/>
      <c r="RKG17"/>
      <c r="RKK17"/>
      <c r="RKO17"/>
      <c r="RKS17"/>
      <c r="RKW17"/>
      <c r="RLA17"/>
      <c r="RLE17"/>
      <c r="RLI17"/>
      <c r="RLM17"/>
      <c r="RLQ17"/>
      <c r="RLU17"/>
      <c r="RLY17"/>
      <c r="RMC17"/>
      <c r="RMG17"/>
      <c r="RMK17"/>
      <c r="RMO17"/>
      <c r="RMS17"/>
      <c r="RMW17"/>
      <c r="RNA17"/>
      <c r="RNE17"/>
      <c r="RNI17"/>
      <c r="RNM17"/>
      <c r="RNQ17"/>
      <c r="RNU17"/>
      <c r="RNY17"/>
      <c r="ROC17"/>
      <c r="ROG17"/>
      <c r="ROK17"/>
      <c r="ROO17"/>
      <c r="ROS17"/>
      <c r="ROW17"/>
      <c r="RPA17"/>
      <c r="RPE17"/>
      <c r="RPI17"/>
      <c r="RPM17"/>
      <c r="RPQ17"/>
      <c r="RPU17"/>
      <c r="RPY17"/>
      <c r="RQC17"/>
      <c r="RQG17"/>
      <c r="RQK17"/>
      <c r="RQO17"/>
      <c r="RQS17"/>
      <c r="RQW17"/>
      <c r="RRA17"/>
      <c r="RRE17"/>
      <c r="RRI17"/>
      <c r="RRM17"/>
      <c r="RRQ17"/>
      <c r="RRU17"/>
      <c r="RRY17"/>
      <c r="RSC17"/>
      <c r="RSG17"/>
      <c r="RSK17"/>
      <c r="RSO17"/>
      <c r="RSS17"/>
      <c r="RSW17"/>
      <c r="RTA17"/>
      <c r="RTE17"/>
      <c r="RTI17"/>
      <c r="RTM17"/>
      <c r="RTQ17"/>
      <c r="RTU17"/>
      <c r="RTY17"/>
      <c r="RUC17"/>
      <c r="RUG17"/>
      <c r="RUK17"/>
      <c r="RUO17"/>
      <c r="RUS17"/>
      <c r="RUW17"/>
      <c r="RVA17"/>
      <c r="RVE17"/>
      <c r="RVI17"/>
      <c r="RVM17"/>
      <c r="RVQ17"/>
      <c r="RVU17"/>
      <c r="RVY17"/>
      <c r="RWC17"/>
      <c r="RWG17"/>
      <c r="RWK17"/>
      <c r="RWO17"/>
      <c r="RWS17"/>
      <c r="RWW17"/>
      <c r="RXA17"/>
      <c r="RXE17"/>
      <c r="RXI17"/>
      <c r="RXM17"/>
      <c r="RXQ17"/>
      <c r="RXU17"/>
      <c r="RXY17"/>
      <c r="RYC17"/>
      <c r="RYG17"/>
      <c r="RYK17"/>
      <c r="RYO17"/>
      <c r="RYS17"/>
      <c r="RYW17"/>
      <c r="RZA17"/>
      <c r="RZE17"/>
      <c r="RZI17"/>
      <c r="RZM17"/>
      <c r="RZQ17"/>
      <c r="RZU17"/>
      <c r="RZY17"/>
      <c r="SAC17"/>
      <c r="SAG17"/>
      <c r="SAK17"/>
      <c r="SAO17"/>
      <c r="SAS17"/>
      <c r="SAW17"/>
      <c r="SBA17"/>
      <c r="SBE17"/>
      <c r="SBI17"/>
      <c r="SBM17"/>
      <c r="SBQ17"/>
      <c r="SBU17"/>
      <c r="SBY17"/>
      <c r="SCC17"/>
      <c r="SCG17"/>
      <c r="SCK17"/>
      <c r="SCO17"/>
      <c r="SCS17"/>
      <c r="SCW17"/>
      <c r="SDA17"/>
      <c r="SDE17"/>
      <c r="SDI17"/>
      <c r="SDM17"/>
      <c r="SDQ17"/>
      <c r="SDU17"/>
      <c r="SDY17"/>
      <c r="SEC17"/>
      <c r="SEG17"/>
      <c r="SEK17"/>
      <c r="SEO17"/>
      <c r="SES17"/>
      <c r="SEW17"/>
      <c r="SFA17"/>
      <c r="SFE17"/>
      <c r="SFI17"/>
      <c r="SFM17"/>
      <c r="SFQ17"/>
      <c r="SFU17"/>
      <c r="SFY17"/>
      <c r="SGC17"/>
      <c r="SGG17"/>
      <c r="SGK17"/>
      <c r="SGO17"/>
      <c r="SGS17"/>
      <c r="SGW17"/>
      <c r="SHA17"/>
      <c r="SHE17"/>
      <c r="SHI17"/>
      <c r="SHM17"/>
      <c r="SHQ17"/>
      <c r="SHU17"/>
      <c r="SHY17"/>
      <c r="SIC17"/>
      <c r="SIG17"/>
      <c r="SIK17"/>
      <c r="SIO17"/>
      <c r="SIS17"/>
      <c r="SIW17"/>
      <c r="SJA17"/>
      <c r="SJE17"/>
      <c r="SJI17"/>
      <c r="SJM17"/>
      <c r="SJQ17"/>
      <c r="SJU17"/>
      <c r="SJY17"/>
      <c r="SKC17"/>
      <c r="SKG17"/>
      <c r="SKK17"/>
      <c r="SKO17"/>
      <c r="SKS17"/>
      <c r="SKW17"/>
      <c r="SLA17"/>
      <c r="SLE17"/>
      <c r="SLI17"/>
      <c r="SLM17"/>
      <c r="SLQ17"/>
      <c r="SLU17"/>
      <c r="SLY17"/>
      <c r="SMC17"/>
      <c r="SMG17"/>
      <c r="SMK17"/>
      <c r="SMO17"/>
      <c r="SMS17"/>
      <c r="SMW17"/>
      <c r="SNA17"/>
      <c r="SNE17"/>
      <c r="SNI17"/>
      <c r="SNM17"/>
      <c r="SNQ17"/>
      <c r="SNU17"/>
      <c r="SNY17"/>
      <c r="SOC17"/>
      <c r="SOG17"/>
      <c r="SOK17"/>
      <c r="SOO17"/>
      <c r="SOS17"/>
      <c r="SOW17"/>
      <c r="SPA17"/>
      <c r="SPE17"/>
      <c r="SPI17"/>
      <c r="SPM17"/>
      <c r="SPQ17"/>
      <c r="SPU17"/>
      <c r="SPY17"/>
      <c r="SQC17"/>
      <c r="SQG17"/>
      <c r="SQK17"/>
      <c r="SQO17"/>
      <c r="SQS17"/>
      <c r="SQW17"/>
      <c r="SRA17"/>
      <c r="SRE17"/>
      <c r="SRI17"/>
      <c r="SRM17"/>
      <c r="SRQ17"/>
      <c r="SRU17"/>
      <c r="SRY17"/>
      <c r="SSC17"/>
      <c r="SSG17"/>
      <c r="SSK17"/>
      <c r="SSO17"/>
      <c r="SSS17"/>
      <c r="SSW17"/>
      <c r="STA17"/>
      <c r="STE17"/>
      <c r="STI17"/>
      <c r="STM17"/>
      <c r="STQ17"/>
      <c r="STU17"/>
      <c r="STY17"/>
      <c r="SUC17"/>
      <c r="SUG17"/>
      <c r="SUK17"/>
      <c r="SUO17"/>
      <c r="SUS17"/>
      <c r="SUW17"/>
      <c r="SVA17"/>
      <c r="SVE17"/>
      <c r="SVI17"/>
      <c r="SVM17"/>
      <c r="SVQ17"/>
      <c r="SVU17"/>
      <c r="SVY17"/>
      <c r="SWC17"/>
      <c r="SWG17"/>
      <c r="SWK17"/>
      <c r="SWO17"/>
      <c r="SWS17"/>
      <c r="SWW17"/>
      <c r="SXA17"/>
      <c r="SXE17"/>
      <c r="SXI17"/>
      <c r="SXM17"/>
      <c r="SXQ17"/>
      <c r="SXU17"/>
      <c r="SXY17"/>
      <c r="SYC17"/>
      <c r="SYG17"/>
      <c r="SYK17"/>
      <c r="SYO17"/>
      <c r="SYS17"/>
      <c r="SYW17"/>
      <c r="SZA17"/>
      <c r="SZE17"/>
      <c r="SZI17"/>
      <c r="SZM17"/>
      <c r="SZQ17"/>
      <c r="SZU17"/>
      <c r="SZY17"/>
      <c r="TAC17"/>
      <c r="TAG17"/>
      <c r="TAK17"/>
      <c r="TAO17"/>
      <c r="TAS17"/>
      <c r="TAW17"/>
      <c r="TBA17"/>
      <c r="TBE17"/>
      <c r="TBI17"/>
      <c r="TBM17"/>
      <c r="TBQ17"/>
      <c r="TBU17"/>
      <c r="TBY17"/>
      <c r="TCC17"/>
      <c r="TCG17"/>
      <c r="TCK17"/>
      <c r="TCO17"/>
      <c r="TCS17"/>
      <c r="TCW17"/>
      <c r="TDA17"/>
      <c r="TDE17"/>
      <c r="TDI17"/>
      <c r="TDM17"/>
      <c r="TDQ17"/>
      <c r="TDU17"/>
      <c r="TDY17"/>
      <c r="TEC17"/>
      <c r="TEG17"/>
      <c r="TEK17"/>
      <c r="TEO17"/>
      <c r="TES17"/>
      <c r="TEW17"/>
      <c r="TFA17"/>
      <c r="TFE17"/>
      <c r="TFI17"/>
      <c r="TFM17"/>
      <c r="TFQ17"/>
      <c r="TFU17"/>
      <c r="TFY17"/>
      <c r="TGC17"/>
      <c r="TGG17"/>
      <c r="TGK17"/>
      <c r="TGO17"/>
      <c r="TGS17"/>
      <c r="TGW17"/>
      <c r="THA17"/>
      <c r="THE17"/>
      <c r="THI17"/>
      <c r="THM17"/>
      <c r="THQ17"/>
      <c r="THU17"/>
      <c r="THY17"/>
      <c r="TIC17"/>
      <c r="TIG17"/>
      <c r="TIK17"/>
      <c r="TIO17"/>
      <c r="TIS17"/>
      <c r="TIW17"/>
      <c r="TJA17"/>
      <c r="TJE17"/>
      <c r="TJI17"/>
      <c r="TJM17"/>
      <c r="TJQ17"/>
      <c r="TJU17"/>
      <c r="TJY17"/>
      <c r="TKC17"/>
      <c r="TKG17"/>
      <c r="TKK17"/>
      <c r="TKO17"/>
      <c r="TKS17"/>
      <c r="TKW17"/>
      <c r="TLA17"/>
      <c r="TLE17"/>
      <c r="TLI17"/>
      <c r="TLM17"/>
      <c r="TLQ17"/>
      <c r="TLU17"/>
      <c r="TLY17"/>
      <c r="TMC17"/>
      <c r="TMG17"/>
      <c r="TMK17"/>
      <c r="TMO17"/>
      <c r="TMS17"/>
      <c r="TMW17"/>
      <c r="TNA17"/>
      <c r="TNE17"/>
      <c r="TNI17"/>
      <c r="TNM17"/>
      <c r="TNQ17"/>
      <c r="TNU17"/>
      <c r="TNY17"/>
      <c r="TOC17"/>
      <c r="TOG17"/>
      <c r="TOK17"/>
      <c r="TOO17"/>
      <c r="TOS17"/>
      <c r="TOW17"/>
      <c r="TPA17"/>
      <c r="TPE17"/>
      <c r="TPI17"/>
      <c r="TPM17"/>
      <c r="TPQ17"/>
      <c r="TPU17"/>
      <c r="TPY17"/>
      <c r="TQC17"/>
      <c r="TQG17"/>
      <c r="TQK17"/>
      <c r="TQO17"/>
      <c r="TQS17"/>
      <c r="TQW17"/>
      <c r="TRA17"/>
      <c r="TRE17"/>
      <c r="TRI17"/>
      <c r="TRM17"/>
      <c r="TRQ17"/>
      <c r="TRU17"/>
      <c r="TRY17"/>
      <c r="TSC17"/>
      <c r="TSG17"/>
      <c r="TSK17"/>
      <c r="TSO17"/>
      <c r="TSS17"/>
      <c r="TSW17"/>
      <c r="TTA17"/>
      <c r="TTE17"/>
      <c r="TTI17"/>
      <c r="TTM17"/>
      <c r="TTQ17"/>
      <c r="TTU17"/>
      <c r="TTY17"/>
      <c r="TUC17"/>
      <c r="TUG17"/>
      <c r="TUK17"/>
      <c r="TUO17"/>
      <c r="TUS17"/>
      <c r="TUW17"/>
      <c r="TVA17"/>
      <c r="TVE17"/>
      <c r="TVI17"/>
      <c r="TVM17"/>
      <c r="TVQ17"/>
      <c r="TVU17"/>
      <c r="TVY17"/>
      <c r="TWC17"/>
      <c r="TWG17"/>
      <c r="TWK17"/>
      <c r="TWO17"/>
      <c r="TWS17"/>
      <c r="TWW17"/>
      <c r="TXA17"/>
      <c r="TXE17"/>
      <c r="TXI17"/>
      <c r="TXM17"/>
      <c r="TXQ17"/>
      <c r="TXU17"/>
      <c r="TXY17"/>
      <c r="TYC17"/>
      <c r="TYG17"/>
      <c r="TYK17"/>
      <c r="TYO17"/>
      <c r="TYS17"/>
      <c r="TYW17"/>
      <c r="TZA17"/>
      <c r="TZE17"/>
      <c r="TZI17"/>
      <c r="TZM17"/>
      <c r="TZQ17"/>
      <c r="TZU17"/>
      <c r="TZY17"/>
      <c r="UAC17"/>
      <c r="UAG17"/>
      <c r="UAK17"/>
      <c r="UAO17"/>
      <c r="UAS17"/>
      <c r="UAW17"/>
      <c r="UBA17"/>
      <c r="UBE17"/>
      <c r="UBI17"/>
      <c r="UBM17"/>
      <c r="UBQ17"/>
      <c r="UBU17"/>
      <c r="UBY17"/>
      <c r="UCC17"/>
      <c r="UCG17"/>
      <c r="UCK17"/>
      <c r="UCO17"/>
      <c r="UCS17"/>
      <c r="UCW17"/>
      <c r="UDA17"/>
      <c r="UDE17"/>
      <c r="UDI17"/>
      <c r="UDM17"/>
      <c r="UDQ17"/>
      <c r="UDU17"/>
      <c r="UDY17"/>
      <c r="UEC17"/>
      <c r="UEG17"/>
      <c r="UEK17"/>
      <c r="UEO17"/>
      <c r="UES17"/>
      <c r="UEW17"/>
      <c r="UFA17"/>
      <c r="UFE17"/>
      <c r="UFI17"/>
      <c r="UFM17"/>
      <c r="UFQ17"/>
      <c r="UFU17"/>
      <c r="UFY17"/>
      <c r="UGC17"/>
      <c r="UGG17"/>
      <c r="UGK17"/>
      <c r="UGO17"/>
      <c r="UGS17"/>
      <c r="UGW17"/>
      <c r="UHA17"/>
      <c r="UHE17"/>
      <c r="UHI17"/>
      <c r="UHM17"/>
      <c r="UHQ17"/>
      <c r="UHU17"/>
      <c r="UHY17"/>
      <c r="UIC17"/>
      <c r="UIG17"/>
      <c r="UIK17"/>
      <c r="UIO17"/>
      <c r="UIS17"/>
      <c r="UIW17"/>
      <c r="UJA17"/>
      <c r="UJE17"/>
      <c r="UJI17"/>
      <c r="UJM17"/>
      <c r="UJQ17"/>
      <c r="UJU17"/>
      <c r="UJY17"/>
      <c r="UKC17"/>
      <c r="UKG17"/>
      <c r="UKK17"/>
      <c r="UKO17"/>
      <c r="UKS17"/>
      <c r="UKW17"/>
      <c r="ULA17"/>
      <c r="ULE17"/>
      <c r="ULI17"/>
      <c r="ULM17"/>
      <c r="ULQ17"/>
      <c r="ULU17"/>
      <c r="ULY17"/>
      <c r="UMC17"/>
      <c r="UMG17"/>
      <c r="UMK17"/>
      <c r="UMO17"/>
      <c r="UMS17"/>
      <c r="UMW17"/>
      <c r="UNA17"/>
      <c r="UNE17"/>
      <c r="UNI17"/>
      <c r="UNM17"/>
      <c r="UNQ17"/>
      <c r="UNU17"/>
      <c r="UNY17"/>
      <c r="UOC17"/>
      <c r="UOG17"/>
      <c r="UOK17"/>
      <c r="UOO17"/>
      <c r="UOS17"/>
      <c r="UOW17"/>
      <c r="UPA17"/>
      <c r="UPE17"/>
      <c r="UPI17"/>
      <c r="UPM17"/>
      <c r="UPQ17"/>
      <c r="UPU17"/>
      <c r="UPY17"/>
      <c r="UQC17"/>
      <c r="UQG17"/>
      <c r="UQK17"/>
      <c r="UQO17"/>
      <c r="UQS17"/>
      <c r="UQW17"/>
      <c r="URA17"/>
      <c r="URE17"/>
      <c r="URI17"/>
      <c r="URM17"/>
      <c r="URQ17"/>
      <c r="URU17"/>
      <c r="URY17"/>
      <c r="USC17"/>
      <c r="USG17"/>
      <c r="USK17"/>
      <c r="USO17"/>
      <c r="USS17"/>
      <c r="USW17"/>
      <c r="UTA17"/>
      <c r="UTE17"/>
      <c r="UTI17"/>
      <c r="UTM17"/>
      <c r="UTQ17"/>
      <c r="UTU17"/>
      <c r="UTY17"/>
      <c r="UUC17"/>
      <c r="UUG17"/>
      <c r="UUK17"/>
      <c r="UUO17"/>
      <c r="UUS17"/>
      <c r="UUW17"/>
      <c r="UVA17"/>
      <c r="UVE17"/>
      <c r="UVI17"/>
      <c r="UVM17"/>
      <c r="UVQ17"/>
      <c r="UVU17"/>
      <c r="UVY17"/>
      <c r="UWC17"/>
      <c r="UWG17"/>
      <c r="UWK17"/>
      <c r="UWO17"/>
      <c r="UWS17"/>
      <c r="UWW17"/>
      <c r="UXA17"/>
      <c r="UXE17"/>
      <c r="UXI17"/>
      <c r="UXM17"/>
      <c r="UXQ17"/>
      <c r="UXU17"/>
      <c r="UXY17"/>
      <c r="UYC17"/>
      <c r="UYG17"/>
      <c r="UYK17"/>
      <c r="UYO17"/>
      <c r="UYS17"/>
      <c r="UYW17"/>
      <c r="UZA17"/>
      <c r="UZE17"/>
      <c r="UZI17"/>
      <c r="UZM17"/>
      <c r="UZQ17"/>
      <c r="UZU17"/>
      <c r="UZY17"/>
      <c r="VAC17"/>
      <c r="VAG17"/>
      <c r="VAK17"/>
      <c r="VAO17"/>
      <c r="VAS17"/>
      <c r="VAW17"/>
      <c r="VBA17"/>
      <c r="VBE17"/>
      <c r="VBI17"/>
      <c r="VBM17"/>
      <c r="VBQ17"/>
      <c r="VBU17"/>
      <c r="VBY17"/>
      <c r="VCC17"/>
      <c r="VCG17"/>
      <c r="VCK17"/>
      <c r="VCO17"/>
      <c r="VCS17"/>
      <c r="VCW17"/>
      <c r="VDA17"/>
      <c r="VDE17"/>
      <c r="VDI17"/>
      <c r="VDM17"/>
      <c r="VDQ17"/>
      <c r="VDU17"/>
      <c r="VDY17"/>
      <c r="VEC17"/>
      <c r="VEG17"/>
      <c r="VEK17"/>
      <c r="VEO17"/>
      <c r="VES17"/>
      <c r="VEW17"/>
      <c r="VFA17"/>
      <c r="VFE17"/>
      <c r="VFI17"/>
      <c r="VFM17"/>
      <c r="VFQ17"/>
      <c r="VFU17"/>
      <c r="VFY17"/>
      <c r="VGC17"/>
      <c r="VGG17"/>
      <c r="VGK17"/>
      <c r="VGO17"/>
      <c r="VGS17"/>
      <c r="VGW17"/>
      <c r="VHA17"/>
      <c r="VHE17"/>
      <c r="VHI17"/>
      <c r="VHM17"/>
      <c r="VHQ17"/>
      <c r="VHU17"/>
      <c r="VHY17"/>
      <c r="VIC17"/>
      <c r="VIG17"/>
      <c r="VIK17"/>
      <c r="VIO17"/>
      <c r="VIS17"/>
      <c r="VIW17"/>
      <c r="VJA17"/>
      <c r="VJE17"/>
      <c r="VJI17"/>
      <c r="VJM17"/>
      <c r="VJQ17"/>
      <c r="VJU17"/>
      <c r="VJY17"/>
      <c r="VKC17"/>
      <c r="VKG17"/>
      <c r="VKK17"/>
      <c r="VKO17"/>
      <c r="VKS17"/>
      <c r="VKW17"/>
      <c r="VLA17"/>
      <c r="VLE17"/>
      <c r="VLI17"/>
      <c r="VLM17"/>
      <c r="VLQ17"/>
      <c r="VLU17"/>
      <c r="VLY17"/>
      <c r="VMC17"/>
      <c r="VMG17"/>
      <c r="VMK17"/>
      <c r="VMO17"/>
      <c r="VMS17"/>
      <c r="VMW17"/>
      <c r="VNA17"/>
      <c r="VNE17"/>
      <c r="VNI17"/>
      <c r="VNM17"/>
      <c r="VNQ17"/>
      <c r="VNU17"/>
      <c r="VNY17"/>
      <c r="VOC17"/>
      <c r="VOG17"/>
      <c r="VOK17"/>
      <c r="VOO17"/>
      <c r="VOS17"/>
      <c r="VOW17"/>
      <c r="VPA17"/>
      <c r="VPE17"/>
      <c r="VPI17"/>
      <c r="VPM17"/>
      <c r="VPQ17"/>
      <c r="VPU17"/>
      <c r="VPY17"/>
      <c r="VQC17"/>
      <c r="VQG17"/>
      <c r="VQK17"/>
      <c r="VQO17"/>
      <c r="VQS17"/>
      <c r="VQW17"/>
      <c r="VRA17"/>
      <c r="VRE17"/>
      <c r="VRI17"/>
      <c r="VRM17"/>
      <c r="VRQ17"/>
      <c r="VRU17"/>
      <c r="VRY17"/>
      <c r="VSC17"/>
      <c r="VSG17"/>
      <c r="VSK17"/>
      <c r="VSO17"/>
      <c r="VSS17"/>
      <c r="VSW17"/>
      <c r="VTA17"/>
      <c r="VTE17"/>
      <c r="VTI17"/>
      <c r="VTM17"/>
      <c r="VTQ17"/>
      <c r="VTU17"/>
      <c r="VTY17"/>
      <c r="VUC17"/>
      <c r="VUG17"/>
      <c r="VUK17"/>
      <c r="VUO17"/>
      <c r="VUS17"/>
      <c r="VUW17"/>
      <c r="VVA17"/>
      <c r="VVE17"/>
      <c r="VVI17"/>
      <c r="VVM17"/>
      <c r="VVQ17"/>
      <c r="VVU17"/>
      <c r="VVY17"/>
      <c r="VWC17"/>
      <c r="VWG17"/>
      <c r="VWK17"/>
      <c r="VWO17"/>
      <c r="VWS17"/>
      <c r="VWW17"/>
      <c r="VXA17"/>
      <c r="VXE17"/>
      <c r="VXI17"/>
      <c r="VXM17"/>
      <c r="VXQ17"/>
      <c r="VXU17"/>
      <c r="VXY17"/>
      <c r="VYC17"/>
      <c r="VYG17"/>
      <c r="VYK17"/>
      <c r="VYO17"/>
      <c r="VYS17"/>
      <c r="VYW17"/>
      <c r="VZA17"/>
      <c r="VZE17"/>
      <c r="VZI17"/>
      <c r="VZM17"/>
      <c r="VZQ17"/>
      <c r="VZU17"/>
      <c r="VZY17"/>
      <c r="WAC17"/>
      <c r="WAG17"/>
      <c r="WAK17"/>
      <c r="WAO17"/>
      <c r="WAS17"/>
      <c r="WAW17"/>
      <c r="WBA17"/>
      <c r="WBE17"/>
      <c r="WBI17"/>
      <c r="WBM17"/>
      <c r="WBQ17"/>
      <c r="WBU17"/>
      <c r="WBY17"/>
      <c r="WCC17"/>
      <c r="WCG17"/>
      <c r="WCK17"/>
      <c r="WCO17"/>
      <c r="WCS17"/>
      <c r="WCW17"/>
      <c r="WDA17"/>
      <c r="WDE17"/>
      <c r="WDI17"/>
      <c r="WDM17"/>
      <c r="WDQ17"/>
      <c r="WDU17"/>
      <c r="WDY17"/>
      <c r="WEC17"/>
      <c r="WEG17"/>
      <c r="WEK17"/>
      <c r="WEO17"/>
      <c r="WES17"/>
      <c r="WEW17"/>
      <c r="WFA17"/>
      <c r="WFE17"/>
      <c r="WFI17"/>
      <c r="WFM17"/>
      <c r="WFQ17"/>
      <c r="WFU17"/>
      <c r="WFY17"/>
      <c r="WGC17"/>
      <c r="WGG17"/>
      <c r="WGK17"/>
      <c r="WGO17"/>
      <c r="WGS17"/>
      <c r="WGW17"/>
      <c r="WHA17"/>
      <c r="WHE17"/>
      <c r="WHI17"/>
      <c r="WHM17"/>
      <c r="WHQ17"/>
      <c r="WHU17"/>
      <c r="WHY17"/>
      <c r="WIC17"/>
      <c r="WIG17"/>
      <c r="WIK17"/>
      <c r="WIO17"/>
      <c r="WIS17"/>
      <c r="WIW17"/>
      <c r="WJA17"/>
      <c r="WJE17"/>
      <c r="WJI17"/>
      <c r="WJM17"/>
      <c r="WJQ17"/>
      <c r="WJU17"/>
      <c r="WJY17"/>
      <c r="WKC17"/>
      <c r="WKG17"/>
      <c r="WKK17"/>
      <c r="WKO17"/>
      <c r="WKS17"/>
      <c r="WKW17"/>
      <c r="WLA17"/>
      <c r="WLE17"/>
      <c r="WLI17"/>
      <c r="WLM17"/>
      <c r="WLQ17"/>
      <c r="WLU17"/>
      <c r="WLY17"/>
      <c r="WMC17"/>
      <c r="WMG17"/>
      <c r="WMK17"/>
      <c r="WMO17"/>
      <c r="WMS17"/>
      <c r="WMW17"/>
      <c r="WNA17"/>
      <c r="WNE17"/>
      <c r="WNI17"/>
      <c r="WNM17"/>
      <c r="WNQ17"/>
      <c r="WNU17"/>
      <c r="WNY17"/>
      <c r="WOC17"/>
      <c r="WOG17"/>
      <c r="WOK17"/>
      <c r="WOO17"/>
      <c r="WOS17"/>
      <c r="WOW17"/>
      <c r="WPA17"/>
      <c r="WPE17"/>
      <c r="WPI17"/>
      <c r="WPM17"/>
      <c r="WPQ17"/>
      <c r="WPU17"/>
      <c r="WPY17"/>
      <c r="WQC17"/>
      <c r="WQG17"/>
      <c r="WQK17"/>
      <c r="WQO17"/>
      <c r="WQS17"/>
      <c r="WQW17"/>
      <c r="WRA17"/>
      <c r="WRE17"/>
      <c r="WRI17"/>
      <c r="WRM17"/>
      <c r="WRQ17"/>
      <c r="WRU17"/>
      <c r="WRY17"/>
      <c r="WSC17"/>
      <c r="WSG17"/>
      <c r="WSK17"/>
      <c r="WSO17"/>
      <c r="WSS17"/>
      <c r="WSW17"/>
      <c r="WTA17"/>
      <c r="WTE17"/>
      <c r="WTI17"/>
      <c r="WTM17"/>
      <c r="WTQ17"/>
      <c r="WTU17"/>
      <c r="WTY17"/>
      <c r="WUC17"/>
      <c r="WUG17"/>
      <c r="WUK17"/>
      <c r="WUO17"/>
      <c r="WUS17"/>
      <c r="WUW17"/>
      <c r="WVA17"/>
      <c r="WVE17"/>
      <c r="WVI17"/>
      <c r="WVM17"/>
      <c r="WVQ17"/>
      <c r="WVU17"/>
      <c r="WVY17"/>
      <c r="WWC17"/>
      <c r="WWG17"/>
      <c r="WWK17"/>
      <c r="WWO17"/>
      <c r="WWS17"/>
      <c r="WWW17"/>
      <c r="WXA17"/>
      <c r="WXE17"/>
      <c r="WXI17"/>
      <c r="WXM17"/>
      <c r="WXQ17"/>
      <c r="WXU17"/>
      <c r="WXY17"/>
      <c r="WYC17"/>
      <c r="WYG17"/>
      <c r="WYK17"/>
      <c r="WYO17"/>
      <c r="WYS17"/>
      <c r="WYW17"/>
      <c r="WZA17"/>
      <c r="WZE17"/>
      <c r="WZI17"/>
      <c r="WZM17"/>
      <c r="WZQ17"/>
      <c r="WZU17"/>
      <c r="WZY17"/>
      <c r="XAC17"/>
      <c r="XAG17"/>
      <c r="XAK17"/>
      <c r="XAO17"/>
      <c r="XAS17"/>
      <c r="XAW17"/>
      <c r="XBA17"/>
      <c r="XBE17"/>
      <c r="XBI17"/>
      <c r="XBM17"/>
      <c r="XBQ17"/>
      <c r="XBU17"/>
      <c r="XBY17"/>
      <c r="XCC17"/>
      <c r="XCG17"/>
      <c r="XCK17"/>
      <c r="XCO17"/>
      <c r="XCS17"/>
      <c r="XCW17"/>
      <c r="XDA17"/>
      <c r="XDE17"/>
      <c r="XDI17"/>
      <c r="XDM17"/>
      <c r="XDQ17"/>
      <c r="XDU17"/>
      <c r="XDY17"/>
      <c r="XEC17"/>
      <c r="XEG17"/>
      <c r="XEK17"/>
      <c r="XEO17"/>
      <c r="XES17"/>
      <c r="XEW17"/>
      <c r="XFA17"/>
    </row>
    <row r="18" spans="1:1021 1025:2045 2049:3069 3073:4093 4097:5117 5121:6141 6145:7165 7169:8189 8193:9213 9217:10237 10241:11261 11265:12285 12289:13309 13313:14333 14337:15357 15361:16381" s="1" customFormat="1" x14ac:dyDescent="0.35">
      <c r="A18" s="21">
        <v>1</v>
      </c>
      <c r="B18" s="21">
        <v>14</v>
      </c>
      <c r="C18" s="1" t="str">
        <f xml:space="preserve"> IF('Master Player List'!L16=1,'Master Player List'!C16,"")</f>
        <v/>
      </c>
      <c r="D18" s="1" t="str">
        <f xml:space="preserve"> IF('Master Player List'!L16=1,'Master Player List'!F16,"")</f>
        <v/>
      </c>
      <c r="E18" s="21" t="str">
        <f xml:space="preserve"> IF('Master Player List'!L16=1,'Master Player List'!I16,"")</f>
        <v/>
      </c>
      <c r="F18" s="22"/>
      <c r="I18" s="21"/>
      <c r="J18" s="22"/>
      <c r="M18"/>
      <c r="N18"/>
      <c r="P18" s="17"/>
      <c r="Q18"/>
      <c r="U18"/>
      <c r="Y18"/>
      <c r="AC18"/>
      <c r="AG18"/>
      <c r="AK18"/>
      <c r="AO18"/>
      <c r="AS18"/>
      <c r="AW18"/>
      <c r="BA18"/>
      <c r="BE18"/>
      <c r="BI18"/>
      <c r="BM18"/>
      <c r="BQ18"/>
      <c r="BU18"/>
      <c r="BY18"/>
      <c r="CC18"/>
      <c r="CG18"/>
      <c r="CK18"/>
      <c r="CO18"/>
      <c r="CS18"/>
      <c r="CW18"/>
      <c r="DA18"/>
      <c r="DE18"/>
      <c r="DI18"/>
      <c r="DM18"/>
      <c r="DQ18"/>
      <c r="DU18"/>
      <c r="DY18"/>
      <c r="EC18"/>
      <c r="EG18"/>
      <c r="EK18"/>
      <c r="EO18"/>
      <c r="ES18"/>
      <c r="EW18"/>
      <c r="FA18"/>
      <c r="FE18"/>
      <c r="FI18"/>
      <c r="FM18"/>
      <c r="FQ18"/>
      <c r="FU18"/>
      <c r="FY18"/>
      <c r="GC18"/>
      <c r="GG18"/>
      <c r="GK18"/>
      <c r="GO18"/>
      <c r="GS18"/>
      <c r="GW18"/>
      <c r="HA18"/>
      <c r="HE18"/>
      <c r="HI18"/>
      <c r="HM18"/>
      <c r="HQ18"/>
      <c r="HU18"/>
      <c r="HY18"/>
      <c r="IC18"/>
      <c r="IG18"/>
      <c r="IK18"/>
      <c r="IO18"/>
      <c r="IS18"/>
      <c r="IW18"/>
      <c r="JA18"/>
      <c r="JE18"/>
      <c r="JI18"/>
      <c r="JM18"/>
      <c r="JQ18"/>
      <c r="JU18"/>
      <c r="JY18"/>
      <c r="KC18"/>
      <c r="KG18"/>
      <c r="KK18"/>
      <c r="KO18"/>
      <c r="KS18"/>
      <c r="KW18"/>
      <c r="LA18"/>
      <c r="LE18"/>
      <c r="LI18"/>
      <c r="LM18"/>
      <c r="LQ18"/>
      <c r="LU18"/>
      <c r="LY18"/>
      <c r="MC18"/>
      <c r="MG18"/>
      <c r="MK18"/>
      <c r="MO18"/>
      <c r="MS18"/>
      <c r="MW18"/>
      <c r="NA18"/>
      <c r="NE18"/>
      <c r="NI18"/>
      <c r="NM18"/>
      <c r="NQ18"/>
      <c r="NU18"/>
      <c r="NY18"/>
      <c r="OC18"/>
      <c r="OG18"/>
      <c r="OK18"/>
      <c r="OO18"/>
      <c r="OS18"/>
      <c r="OW18"/>
      <c r="PA18"/>
      <c r="PE18"/>
      <c r="PI18"/>
      <c r="PM18"/>
      <c r="PQ18"/>
      <c r="PU18"/>
      <c r="PY18"/>
      <c r="QC18"/>
      <c r="QG18"/>
      <c r="QK18"/>
      <c r="QO18"/>
      <c r="QS18"/>
      <c r="QW18"/>
      <c r="RA18"/>
      <c r="RE18"/>
      <c r="RI18"/>
      <c r="RM18"/>
      <c r="RQ18"/>
      <c r="RU18"/>
      <c r="RY18"/>
      <c r="SC18"/>
      <c r="SG18"/>
      <c r="SK18"/>
      <c r="SO18"/>
      <c r="SS18"/>
      <c r="SW18"/>
      <c r="TA18"/>
      <c r="TE18"/>
      <c r="TI18"/>
      <c r="TM18"/>
      <c r="TQ18"/>
      <c r="TU18"/>
      <c r="TY18"/>
      <c r="UC18"/>
      <c r="UG18"/>
      <c r="UK18"/>
      <c r="UO18"/>
      <c r="US18"/>
      <c r="UW18"/>
      <c r="VA18"/>
      <c r="VE18"/>
      <c r="VI18"/>
      <c r="VM18"/>
      <c r="VQ18"/>
      <c r="VU18"/>
      <c r="VY18"/>
      <c r="WC18"/>
      <c r="WG18"/>
      <c r="WK18"/>
      <c r="WO18"/>
      <c r="WS18"/>
      <c r="WW18"/>
      <c r="XA18"/>
      <c r="XE18"/>
      <c r="XI18"/>
      <c r="XM18"/>
      <c r="XQ18"/>
      <c r="XU18"/>
      <c r="XY18"/>
      <c r="YC18"/>
      <c r="YG18"/>
      <c r="YK18"/>
      <c r="YO18"/>
      <c r="YS18"/>
      <c r="YW18"/>
      <c r="ZA18"/>
      <c r="ZE18"/>
      <c r="ZI18"/>
      <c r="ZM18"/>
      <c r="ZQ18"/>
      <c r="ZU18"/>
      <c r="ZY18"/>
      <c r="AAC18"/>
      <c r="AAG18"/>
      <c r="AAK18"/>
      <c r="AAO18"/>
      <c r="AAS18"/>
      <c r="AAW18"/>
      <c r="ABA18"/>
      <c r="ABE18"/>
      <c r="ABI18"/>
      <c r="ABM18"/>
      <c r="ABQ18"/>
      <c r="ABU18"/>
      <c r="ABY18"/>
      <c r="ACC18"/>
      <c r="ACG18"/>
      <c r="ACK18"/>
      <c r="ACO18"/>
      <c r="ACS18"/>
      <c r="ACW18"/>
      <c r="ADA18"/>
      <c r="ADE18"/>
      <c r="ADI18"/>
      <c r="ADM18"/>
      <c r="ADQ18"/>
      <c r="ADU18"/>
      <c r="ADY18"/>
      <c r="AEC18"/>
      <c r="AEG18"/>
      <c r="AEK18"/>
      <c r="AEO18"/>
      <c r="AES18"/>
      <c r="AEW18"/>
      <c r="AFA18"/>
      <c r="AFE18"/>
      <c r="AFI18"/>
      <c r="AFM18"/>
      <c r="AFQ18"/>
      <c r="AFU18"/>
      <c r="AFY18"/>
      <c r="AGC18"/>
      <c r="AGG18"/>
      <c r="AGK18"/>
      <c r="AGO18"/>
      <c r="AGS18"/>
      <c r="AGW18"/>
      <c r="AHA18"/>
      <c r="AHE18"/>
      <c r="AHI18"/>
      <c r="AHM18"/>
      <c r="AHQ18"/>
      <c r="AHU18"/>
      <c r="AHY18"/>
      <c r="AIC18"/>
      <c r="AIG18"/>
      <c r="AIK18"/>
      <c r="AIO18"/>
      <c r="AIS18"/>
      <c r="AIW18"/>
      <c r="AJA18"/>
      <c r="AJE18"/>
      <c r="AJI18"/>
      <c r="AJM18"/>
      <c r="AJQ18"/>
      <c r="AJU18"/>
      <c r="AJY18"/>
      <c r="AKC18"/>
      <c r="AKG18"/>
      <c r="AKK18"/>
      <c r="AKO18"/>
      <c r="AKS18"/>
      <c r="AKW18"/>
      <c r="ALA18"/>
      <c r="ALE18"/>
      <c r="ALI18"/>
      <c r="ALM18"/>
      <c r="ALQ18"/>
      <c r="ALU18"/>
      <c r="ALY18"/>
      <c r="AMC18"/>
      <c r="AMG18"/>
      <c r="AMK18"/>
      <c r="AMO18"/>
      <c r="AMS18"/>
      <c r="AMW18"/>
      <c r="ANA18"/>
      <c r="ANE18"/>
      <c r="ANI18"/>
      <c r="ANM18"/>
      <c r="ANQ18"/>
      <c r="ANU18"/>
      <c r="ANY18"/>
      <c r="AOC18"/>
      <c r="AOG18"/>
      <c r="AOK18"/>
      <c r="AOO18"/>
      <c r="AOS18"/>
      <c r="AOW18"/>
      <c r="APA18"/>
      <c r="APE18"/>
      <c r="API18"/>
      <c r="APM18"/>
      <c r="APQ18"/>
      <c r="APU18"/>
      <c r="APY18"/>
      <c r="AQC18"/>
      <c r="AQG18"/>
      <c r="AQK18"/>
      <c r="AQO18"/>
      <c r="AQS18"/>
      <c r="AQW18"/>
      <c r="ARA18"/>
      <c r="ARE18"/>
      <c r="ARI18"/>
      <c r="ARM18"/>
      <c r="ARQ18"/>
      <c r="ARU18"/>
      <c r="ARY18"/>
      <c r="ASC18"/>
      <c r="ASG18"/>
      <c r="ASK18"/>
      <c r="ASO18"/>
      <c r="ASS18"/>
      <c r="ASW18"/>
      <c r="ATA18"/>
      <c r="ATE18"/>
      <c r="ATI18"/>
      <c r="ATM18"/>
      <c r="ATQ18"/>
      <c r="ATU18"/>
      <c r="ATY18"/>
      <c r="AUC18"/>
      <c r="AUG18"/>
      <c r="AUK18"/>
      <c r="AUO18"/>
      <c r="AUS18"/>
      <c r="AUW18"/>
      <c r="AVA18"/>
      <c r="AVE18"/>
      <c r="AVI18"/>
      <c r="AVM18"/>
      <c r="AVQ18"/>
      <c r="AVU18"/>
      <c r="AVY18"/>
      <c r="AWC18"/>
      <c r="AWG18"/>
      <c r="AWK18"/>
      <c r="AWO18"/>
      <c r="AWS18"/>
      <c r="AWW18"/>
      <c r="AXA18"/>
      <c r="AXE18"/>
      <c r="AXI18"/>
      <c r="AXM18"/>
      <c r="AXQ18"/>
      <c r="AXU18"/>
      <c r="AXY18"/>
      <c r="AYC18"/>
      <c r="AYG18"/>
      <c r="AYK18"/>
      <c r="AYO18"/>
      <c r="AYS18"/>
      <c r="AYW18"/>
      <c r="AZA18"/>
      <c r="AZE18"/>
      <c r="AZI18"/>
      <c r="AZM18"/>
      <c r="AZQ18"/>
      <c r="AZU18"/>
      <c r="AZY18"/>
      <c r="BAC18"/>
      <c r="BAG18"/>
      <c r="BAK18"/>
      <c r="BAO18"/>
      <c r="BAS18"/>
      <c r="BAW18"/>
      <c r="BBA18"/>
      <c r="BBE18"/>
      <c r="BBI18"/>
      <c r="BBM18"/>
      <c r="BBQ18"/>
      <c r="BBU18"/>
      <c r="BBY18"/>
      <c r="BCC18"/>
      <c r="BCG18"/>
      <c r="BCK18"/>
      <c r="BCO18"/>
      <c r="BCS18"/>
      <c r="BCW18"/>
      <c r="BDA18"/>
      <c r="BDE18"/>
      <c r="BDI18"/>
      <c r="BDM18"/>
      <c r="BDQ18"/>
      <c r="BDU18"/>
      <c r="BDY18"/>
      <c r="BEC18"/>
      <c r="BEG18"/>
      <c r="BEK18"/>
      <c r="BEO18"/>
      <c r="BES18"/>
      <c r="BEW18"/>
      <c r="BFA18"/>
      <c r="BFE18"/>
      <c r="BFI18"/>
      <c r="BFM18"/>
      <c r="BFQ18"/>
      <c r="BFU18"/>
      <c r="BFY18"/>
      <c r="BGC18"/>
      <c r="BGG18"/>
      <c r="BGK18"/>
      <c r="BGO18"/>
      <c r="BGS18"/>
      <c r="BGW18"/>
      <c r="BHA18"/>
      <c r="BHE18"/>
      <c r="BHI18"/>
      <c r="BHM18"/>
      <c r="BHQ18"/>
      <c r="BHU18"/>
      <c r="BHY18"/>
      <c r="BIC18"/>
      <c r="BIG18"/>
      <c r="BIK18"/>
      <c r="BIO18"/>
      <c r="BIS18"/>
      <c r="BIW18"/>
      <c r="BJA18"/>
      <c r="BJE18"/>
      <c r="BJI18"/>
      <c r="BJM18"/>
      <c r="BJQ18"/>
      <c r="BJU18"/>
      <c r="BJY18"/>
      <c r="BKC18"/>
      <c r="BKG18"/>
      <c r="BKK18"/>
      <c r="BKO18"/>
      <c r="BKS18"/>
      <c r="BKW18"/>
      <c r="BLA18"/>
      <c r="BLE18"/>
      <c r="BLI18"/>
      <c r="BLM18"/>
      <c r="BLQ18"/>
      <c r="BLU18"/>
      <c r="BLY18"/>
      <c r="BMC18"/>
      <c r="BMG18"/>
      <c r="BMK18"/>
      <c r="BMO18"/>
      <c r="BMS18"/>
      <c r="BMW18"/>
      <c r="BNA18"/>
      <c r="BNE18"/>
      <c r="BNI18"/>
      <c r="BNM18"/>
      <c r="BNQ18"/>
      <c r="BNU18"/>
      <c r="BNY18"/>
      <c r="BOC18"/>
      <c r="BOG18"/>
      <c r="BOK18"/>
      <c r="BOO18"/>
      <c r="BOS18"/>
      <c r="BOW18"/>
      <c r="BPA18"/>
      <c r="BPE18"/>
      <c r="BPI18"/>
      <c r="BPM18"/>
      <c r="BPQ18"/>
      <c r="BPU18"/>
      <c r="BPY18"/>
      <c r="BQC18"/>
      <c r="BQG18"/>
      <c r="BQK18"/>
      <c r="BQO18"/>
      <c r="BQS18"/>
      <c r="BQW18"/>
      <c r="BRA18"/>
      <c r="BRE18"/>
      <c r="BRI18"/>
      <c r="BRM18"/>
      <c r="BRQ18"/>
      <c r="BRU18"/>
      <c r="BRY18"/>
      <c r="BSC18"/>
      <c r="BSG18"/>
      <c r="BSK18"/>
      <c r="BSO18"/>
      <c r="BSS18"/>
      <c r="BSW18"/>
      <c r="BTA18"/>
      <c r="BTE18"/>
      <c r="BTI18"/>
      <c r="BTM18"/>
      <c r="BTQ18"/>
      <c r="BTU18"/>
      <c r="BTY18"/>
      <c r="BUC18"/>
      <c r="BUG18"/>
      <c r="BUK18"/>
      <c r="BUO18"/>
      <c r="BUS18"/>
      <c r="BUW18"/>
      <c r="BVA18"/>
      <c r="BVE18"/>
      <c r="BVI18"/>
      <c r="BVM18"/>
      <c r="BVQ18"/>
      <c r="BVU18"/>
      <c r="BVY18"/>
      <c r="BWC18"/>
      <c r="BWG18"/>
      <c r="BWK18"/>
      <c r="BWO18"/>
      <c r="BWS18"/>
      <c r="BWW18"/>
      <c r="BXA18"/>
      <c r="BXE18"/>
      <c r="BXI18"/>
      <c r="BXM18"/>
      <c r="BXQ18"/>
      <c r="BXU18"/>
      <c r="BXY18"/>
      <c r="BYC18"/>
      <c r="BYG18"/>
      <c r="BYK18"/>
      <c r="BYO18"/>
      <c r="BYS18"/>
      <c r="BYW18"/>
      <c r="BZA18"/>
      <c r="BZE18"/>
      <c r="BZI18"/>
      <c r="BZM18"/>
      <c r="BZQ18"/>
      <c r="BZU18"/>
      <c r="BZY18"/>
      <c r="CAC18"/>
      <c r="CAG18"/>
      <c r="CAK18"/>
      <c r="CAO18"/>
      <c r="CAS18"/>
      <c r="CAW18"/>
      <c r="CBA18"/>
      <c r="CBE18"/>
      <c r="CBI18"/>
      <c r="CBM18"/>
      <c r="CBQ18"/>
      <c r="CBU18"/>
      <c r="CBY18"/>
      <c r="CCC18"/>
      <c r="CCG18"/>
      <c r="CCK18"/>
      <c r="CCO18"/>
      <c r="CCS18"/>
      <c r="CCW18"/>
      <c r="CDA18"/>
      <c r="CDE18"/>
      <c r="CDI18"/>
      <c r="CDM18"/>
      <c r="CDQ18"/>
      <c r="CDU18"/>
      <c r="CDY18"/>
      <c r="CEC18"/>
      <c r="CEG18"/>
      <c r="CEK18"/>
      <c r="CEO18"/>
      <c r="CES18"/>
      <c r="CEW18"/>
      <c r="CFA18"/>
      <c r="CFE18"/>
      <c r="CFI18"/>
      <c r="CFM18"/>
      <c r="CFQ18"/>
      <c r="CFU18"/>
      <c r="CFY18"/>
      <c r="CGC18"/>
      <c r="CGG18"/>
      <c r="CGK18"/>
      <c r="CGO18"/>
      <c r="CGS18"/>
      <c r="CGW18"/>
      <c r="CHA18"/>
      <c r="CHE18"/>
      <c r="CHI18"/>
      <c r="CHM18"/>
      <c r="CHQ18"/>
      <c r="CHU18"/>
      <c r="CHY18"/>
      <c r="CIC18"/>
      <c r="CIG18"/>
      <c r="CIK18"/>
      <c r="CIO18"/>
      <c r="CIS18"/>
      <c r="CIW18"/>
      <c r="CJA18"/>
      <c r="CJE18"/>
      <c r="CJI18"/>
      <c r="CJM18"/>
      <c r="CJQ18"/>
      <c r="CJU18"/>
      <c r="CJY18"/>
      <c r="CKC18"/>
      <c r="CKG18"/>
      <c r="CKK18"/>
      <c r="CKO18"/>
      <c r="CKS18"/>
      <c r="CKW18"/>
      <c r="CLA18"/>
      <c r="CLE18"/>
      <c r="CLI18"/>
      <c r="CLM18"/>
      <c r="CLQ18"/>
      <c r="CLU18"/>
      <c r="CLY18"/>
      <c r="CMC18"/>
      <c r="CMG18"/>
      <c r="CMK18"/>
      <c r="CMO18"/>
      <c r="CMS18"/>
      <c r="CMW18"/>
      <c r="CNA18"/>
      <c r="CNE18"/>
      <c r="CNI18"/>
      <c r="CNM18"/>
      <c r="CNQ18"/>
      <c r="CNU18"/>
      <c r="CNY18"/>
      <c r="COC18"/>
      <c r="COG18"/>
      <c r="COK18"/>
      <c r="COO18"/>
      <c r="COS18"/>
      <c r="COW18"/>
      <c r="CPA18"/>
      <c r="CPE18"/>
      <c r="CPI18"/>
      <c r="CPM18"/>
      <c r="CPQ18"/>
      <c r="CPU18"/>
      <c r="CPY18"/>
      <c r="CQC18"/>
      <c r="CQG18"/>
      <c r="CQK18"/>
      <c r="CQO18"/>
      <c r="CQS18"/>
      <c r="CQW18"/>
      <c r="CRA18"/>
      <c r="CRE18"/>
      <c r="CRI18"/>
      <c r="CRM18"/>
      <c r="CRQ18"/>
      <c r="CRU18"/>
      <c r="CRY18"/>
      <c r="CSC18"/>
      <c r="CSG18"/>
      <c r="CSK18"/>
      <c r="CSO18"/>
      <c r="CSS18"/>
      <c r="CSW18"/>
      <c r="CTA18"/>
      <c r="CTE18"/>
      <c r="CTI18"/>
      <c r="CTM18"/>
      <c r="CTQ18"/>
      <c r="CTU18"/>
      <c r="CTY18"/>
      <c r="CUC18"/>
      <c r="CUG18"/>
      <c r="CUK18"/>
      <c r="CUO18"/>
      <c r="CUS18"/>
      <c r="CUW18"/>
      <c r="CVA18"/>
      <c r="CVE18"/>
      <c r="CVI18"/>
      <c r="CVM18"/>
      <c r="CVQ18"/>
      <c r="CVU18"/>
      <c r="CVY18"/>
      <c r="CWC18"/>
      <c r="CWG18"/>
      <c r="CWK18"/>
      <c r="CWO18"/>
      <c r="CWS18"/>
      <c r="CWW18"/>
      <c r="CXA18"/>
      <c r="CXE18"/>
      <c r="CXI18"/>
      <c r="CXM18"/>
      <c r="CXQ18"/>
      <c r="CXU18"/>
      <c r="CXY18"/>
      <c r="CYC18"/>
      <c r="CYG18"/>
      <c r="CYK18"/>
      <c r="CYO18"/>
      <c r="CYS18"/>
      <c r="CYW18"/>
      <c r="CZA18"/>
      <c r="CZE18"/>
      <c r="CZI18"/>
      <c r="CZM18"/>
      <c r="CZQ18"/>
      <c r="CZU18"/>
      <c r="CZY18"/>
      <c r="DAC18"/>
      <c r="DAG18"/>
      <c r="DAK18"/>
      <c r="DAO18"/>
      <c r="DAS18"/>
      <c r="DAW18"/>
      <c r="DBA18"/>
      <c r="DBE18"/>
      <c r="DBI18"/>
      <c r="DBM18"/>
      <c r="DBQ18"/>
      <c r="DBU18"/>
      <c r="DBY18"/>
      <c r="DCC18"/>
      <c r="DCG18"/>
      <c r="DCK18"/>
      <c r="DCO18"/>
      <c r="DCS18"/>
      <c r="DCW18"/>
      <c r="DDA18"/>
      <c r="DDE18"/>
      <c r="DDI18"/>
      <c r="DDM18"/>
      <c r="DDQ18"/>
      <c r="DDU18"/>
      <c r="DDY18"/>
      <c r="DEC18"/>
      <c r="DEG18"/>
      <c r="DEK18"/>
      <c r="DEO18"/>
      <c r="DES18"/>
      <c r="DEW18"/>
      <c r="DFA18"/>
      <c r="DFE18"/>
      <c r="DFI18"/>
      <c r="DFM18"/>
      <c r="DFQ18"/>
      <c r="DFU18"/>
      <c r="DFY18"/>
      <c r="DGC18"/>
      <c r="DGG18"/>
      <c r="DGK18"/>
      <c r="DGO18"/>
      <c r="DGS18"/>
      <c r="DGW18"/>
      <c r="DHA18"/>
      <c r="DHE18"/>
      <c r="DHI18"/>
      <c r="DHM18"/>
      <c r="DHQ18"/>
      <c r="DHU18"/>
      <c r="DHY18"/>
      <c r="DIC18"/>
      <c r="DIG18"/>
      <c r="DIK18"/>
      <c r="DIO18"/>
      <c r="DIS18"/>
      <c r="DIW18"/>
      <c r="DJA18"/>
      <c r="DJE18"/>
      <c r="DJI18"/>
      <c r="DJM18"/>
      <c r="DJQ18"/>
      <c r="DJU18"/>
      <c r="DJY18"/>
      <c r="DKC18"/>
      <c r="DKG18"/>
      <c r="DKK18"/>
      <c r="DKO18"/>
      <c r="DKS18"/>
      <c r="DKW18"/>
      <c r="DLA18"/>
      <c r="DLE18"/>
      <c r="DLI18"/>
      <c r="DLM18"/>
      <c r="DLQ18"/>
      <c r="DLU18"/>
      <c r="DLY18"/>
      <c r="DMC18"/>
      <c r="DMG18"/>
      <c r="DMK18"/>
      <c r="DMO18"/>
      <c r="DMS18"/>
      <c r="DMW18"/>
      <c r="DNA18"/>
      <c r="DNE18"/>
      <c r="DNI18"/>
      <c r="DNM18"/>
      <c r="DNQ18"/>
      <c r="DNU18"/>
      <c r="DNY18"/>
      <c r="DOC18"/>
      <c r="DOG18"/>
      <c r="DOK18"/>
      <c r="DOO18"/>
      <c r="DOS18"/>
      <c r="DOW18"/>
      <c r="DPA18"/>
      <c r="DPE18"/>
      <c r="DPI18"/>
      <c r="DPM18"/>
      <c r="DPQ18"/>
      <c r="DPU18"/>
      <c r="DPY18"/>
      <c r="DQC18"/>
      <c r="DQG18"/>
      <c r="DQK18"/>
      <c r="DQO18"/>
      <c r="DQS18"/>
      <c r="DQW18"/>
      <c r="DRA18"/>
      <c r="DRE18"/>
      <c r="DRI18"/>
      <c r="DRM18"/>
      <c r="DRQ18"/>
      <c r="DRU18"/>
      <c r="DRY18"/>
      <c r="DSC18"/>
      <c r="DSG18"/>
      <c r="DSK18"/>
      <c r="DSO18"/>
      <c r="DSS18"/>
      <c r="DSW18"/>
      <c r="DTA18"/>
      <c r="DTE18"/>
      <c r="DTI18"/>
      <c r="DTM18"/>
      <c r="DTQ18"/>
      <c r="DTU18"/>
      <c r="DTY18"/>
      <c r="DUC18"/>
      <c r="DUG18"/>
      <c r="DUK18"/>
      <c r="DUO18"/>
      <c r="DUS18"/>
      <c r="DUW18"/>
      <c r="DVA18"/>
      <c r="DVE18"/>
      <c r="DVI18"/>
      <c r="DVM18"/>
      <c r="DVQ18"/>
      <c r="DVU18"/>
      <c r="DVY18"/>
      <c r="DWC18"/>
      <c r="DWG18"/>
      <c r="DWK18"/>
      <c r="DWO18"/>
      <c r="DWS18"/>
      <c r="DWW18"/>
      <c r="DXA18"/>
      <c r="DXE18"/>
      <c r="DXI18"/>
      <c r="DXM18"/>
      <c r="DXQ18"/>
      <c r="DXU18"/>
      <c r="DXY18"/>
      <c r="DYC18"/>
      <c r="DYG18"/>
      <c r="DYK18"/>
      <c r="DYO18"/>
      <c r="DYS18"/>
      <c r="DYW18"/>
      <c r="DZA18"/>
      <c r="DZE18"/>
      <c r="DZI18"/>
      <c r="DZM18"/>
      <c r="DZQ18"/>
      <c r="DZU18"/>
      <c r="DZY18"/>
      <c r="EAC18"/>
      <c r="EAG18"/>
      <c r="EAK18"/>
      <c r="EAO18"/>
      <c r="EAS18"/>
      <c r="EAW18"/>
      <c r="EBA18"/>
      <c r="EBE18"/>
      <c r="EBI18"/>
      <c r="EBM18"/>
      <c r="EBQ18"/>
      <c r="EBU18"/>
      <c r="EBY18"/>
      <c r="ECC18"/>
      <c r="ECG18"/>
      <c r="ECK18"/>
      <c r="ECO18"/>
      <c r="ECS18"/>
      <c r="ECW18"/>
      <c r="EDA18"/>
      <c r="EDE18"/>
      <c r="EDI18"/>
      <c r="EDM18"/>
      <c r="EDQ18"/>
      <c r="EDU18"/>
      <c r="EDY18"/>
      <c r="EEC18"/>
      <c r="EEG18"/>
      <c r="EEK18"/>
      <c r="EEO18"/>
      <c r="EES18"/>
      <c r="EEW18"/>
      <c r="EFA18"/>
      <c r="EFE18"/>
      <c r="EFI18"/>
      <c r="EFM18"/>
      <c r="EFQ18"/>
      <c r="EFU18"/>
      <c r="EFY18"/>
      <c r="EGC18"/>
      <c r="EGG18"/>
      <c r="EGK18"/>
      <c r="EGO18"/>
      <c r="EGS18"/>
      <c r="EGW18"/>
      <c r="EHA18"/>
      <c r="EHE18"/>
      <c r="EHI18"/>
      <c r="EHM18"/>
      <c r="EHQ18"/>
      <c r="EHU18"/>
      <c r="EHY18"/>
      <c r="EIC18"/>
      <c r="EIG18"/>
      <c r="EIK18"/>
      <c r="EIO18"/>
      <c r="EIS18"/>
      <c r="EIW18"/>
      <c r="EJA18"/>
      <c r="EJE18"/>
      <c r="EJI18"/>
      <c r="EJM18"/>
      <c r="EJQ18"/>
      <c r="EJU18"/>
      <c r="EJY18"/>
      <c r="EKC18"/>
      <c r="EKG18"/>
      <c r="EKK18"/>
      <c r="EKO18"/>
      <c r="EKS18"/>
      <c r="EKW18"/>
      <c r="ELA18"/>
      <c r="ELE18"/>
      <c r="ELI18"/>
      <c r="ELM18"/>
      <c r="ELQ18"/>
      <c r="ELU18"/>
      <c r="ELY18"/>
      <c r="EMC18"/>
      <c r="EMG18"/>
      <c r="EMK18"/>
      <c r="EMO18"/>
      <c r="EMS18"/>
      <c r="EMW18"/>
      <c r="ENA18"/>
      <c r="ENE18"/>
      <c r="ENI18"/>
      <c r="ENM18"/>
      <c r="ENQ18"/>
      <c r="ENU18"/>
      <c r="ENY18"/>
      <c r="EOC18"/>
      <c r="EOG18"/>
      <c r="EOK18"/>
      <c r="EOO18"/>
      <c r="EOS18"/>
      <c r="EOW18"/>
      <c r="EPA18"/>
      <c r="EPE18"/>
      <c r="EPI18"/>
      <c r="EPM18"/>
      <c r="EPQ18"/>
      <c r="EPU18"/>
      <c r="EPY18"/>
      <c r="EQC18"/>
      <c r="EQG18"/>
      <c r="EQK18"/>
      <c r="EQO18"/>
      <c r="EQS18"/>
      <c r="EQW18"/>
      <c r="ERA18"/>
      <c r="ERE18"/>
      <c r="ERI18"/>
      <c r="ERM18"/>
      <c r="ERQ18"/>
      <c r="ERU18"/>
      <c r="ERY18"/>
      <c r="ESC18"/>
      <c r="ESG18"/>
      <c r="ESK18"/>
      <c r="ESO18"/>
      <c r="ESS18"/>
      <c r="ESW18"/>
      <c r="ETA18"/>
      <c r="ETE18"/>
      <c r="ETI18"/>
      <c r="ETM18"/>
      <c r="ETQ18"/>
      <c r="ETU18"/>
      <c r="ETY18"/>
      <c r="EUC18"/>
      <c r="EUG18"/>
      <c r="EUK18"/>
      <c r="EUO18"/>
      <c r="EUS18"/>
      <c r="EUW18"/>
      <c r="EVA18"/>
      <c r="EVE18"/>
      <c r="EVI18"/>
      <c r="EVM18"/>
      <c r="EVQ18"/>
      <c r="EVU18"/>
      <c r="EVY18"/>
      <c r="EWC18"/>
      <c r="EWG18"/>
      <c r="EWK18"/>
      <c r="EWO18"/>
      <c r="EWS18"/>
      <c r="EWW18"/>
      <c r="EXA18"/>
      <c r="EXE18"/>
      <c r="EXI18"/>
      <c r="EXM18"/>
      <c r="EXQ18"/>
      <c r="EXU18"/>
      <c r="EXY18"/>
      <c r="EYC18"/>
      <c r="EYG18"/>
      <c r="EYK18"/>
      <c r="EYO18"/>
      <c r="EYS18"/>
      <c r="EYW18"/>
      <c r="EZA18"/>
      <c r="EZE18"/>
      <c r="EZI18"/>
      <c r="EZM18"/>
      <c r="EZQ18"/>
      <c r="EZU18"/>
      <c r="EZY18"/>
      <c r="FAC18"/>
      <c r="FAG18"/>
      <c r="FAK18"/>
      <c r="FAO18"/>
      <c r="FAS18"/>
      <c r="FAW18"/>
      <c r="FBA18"/>
      <c r="FBE18"/>
      <c r="FBI18"/>
      <c r="FBM18"/>
      <c r="FBQ18"/>
      <c r="FBU18"/>
      <c r="FBY18"/>
      <c r="FCC18"/>
      <c r="FCG18"/>
      <c r="FCK18"/>
      <c r="FCO18"/>
      <c r="FCS18"/>
      <c r="FCW18"/>
      <c r="FDA18"/>
      <c r="FDE18"/>
      <c r="FDI18"/>
      <c r="FDM18"/>
      <c r="FDQ18"/>
      <c r="FDU18"/>
      <c r="FDY18"/>
      <c r="FEC18"/>
      <c r="FEG18"/>
      <c r="FEK18"/>
      <c r="FEO18"/>
      <c r="FES18"/>
      <c r="FEW18"/>
      <c r="FFA18"/>
      <c r="FFE18"/>
      <c r="FFI18"/>
      <c r="FFM18"/>
      <c r="FFQ18"/>
      <c r="FFU18"/>
      <c r="FFY18"/>
      <c r="FGC18"/>
      <c r="FGG18"/>
      <c r="FGK18"/>
      <c r="FGO18"/>
      <c r="FGS18"/>
      <c r="FGW18"/>
      <c r="FHA18"/>
      <c r="FHE18"/>
      <c r="FHI18"/>
      <c r="FHM18"/>
      <c r="FHQ18"/>
      <c r="FHU18"/>
      <c r="FHY18"/>
      <c r="FIC18"/>
      <c r="FIG18"/>
      <c r="FIK18"/>
      <c r="FIO18"/>
      <c r="FIS18"/>
      <c r="FIW18"/>
      <c r="FJA18"/>
      <c r="FJE18"/>
      <c r="FJI18"/>
      <c r="FJM18"/>
      <c r="FJQ18"/>
      <c r="FJU18"/>
      <c r="FJY18"/>
      <c r="FKC18"/>
      <c r="FKG18"/>
      <c r="FKK18"/>
      <c r="FKO18"/>
      <c r="FKS18"/>
      <c r="FKW18"/>
      <c r="FLA18"/>
      <c r="FLE18"/>
      <c r="FLI18"/>
      <c r="FLM18"/>
      <c r="FLQ18"/>
      <c r="FLU18"/>
      <c r="FLY18"/>
      <c r="FMC18"/>
      <c r="FMG18"/>
      <c r="FMK18"/>
      <c r="FMO18"/>
      <c r="FMS18"/>
      <c r="FMW18"/>
      <c r="FNA18"/>
      <c r="FNE18"/>
      <c r="FNI18"/>
      <c r="FNM18"/>
      <c r="FNQ18"/>
      <c r="FNU18"/>
      <c r="FNY18"/>
      <c r="FOC18"/>
      <c r="FOG18"/>
      <c r="FOK18"/>
      <c r="FOO18"/>
      <c r="FOS18"/>
      <c r="FOW18"/>
      <c r="FPA18"/>
      <c r="FPE18"/>
      <c r="FPI18"/>
      <c r="FPM18"/>
      <c r="FPQ18"/>
      <c r="FPU18"/>
      <c r="FPY18"/>
      <c r="FQC18"/>
      <c r="FQG18"/>
      <c r="FQK18"/>
      <c r="FQO18"/>
      <c r="FQS18"/>
      <c r="FQW18"/>
      <c r="FRA18"/>
      <c r="FRE18"/>
      <c r="FRI18"/>
      <c r="FRM18"/>
      <c r="FRQ18"/>
      <c r="FRU18"/>
      <c r="FRY18"/>
      <c r="FSC18"/>
      <c r="FSG18"/>
      <c r="FSK18"/>
      <c r="FSO18"/>
      <c r="FSS18"/>
      <c r="FSW18"/>
      <c r="FTA18"/>
      <c r="FTE18"/>
      <c r="FTI18"/>
      <c r="FTM18"/>
      <c r="FTQ18"/>
      <c r="FTU18"/>
      <c r="FTY18"/>
      <c r="FUC18"/>
      <c r="FUG18"/>
      <c r="FUK18"/>
      <c r="FUO18"/>
      <c r="FUS18"/>
      <c r="FUW18"/>
      <c r="FVA18"/>
      <c r="FVE18"/>
      <c r="FVI18"/>
      <c r="FVM18"/>
      <c r="FVQ18"/>
      <c r="FVU18"/>
      <c r="FVY18"/>
      <c r="FWC18"/>
      <c r="FWG18"/>
      <c r="FWK18"/>
      <c r="FWO18"/>
      <c r="FWS18"/>
      <c r="FWW18"/>
      <c r="FXA18"/>
      <c r="FXE18"/>
      <c r="FXI18"/>
      <c r="FXM18"/>
      <c r="FXQ18"/>
      <c r="FXU18"/>
      <c r="FXY18"/>
      <c r="FYC18"/>
      <c r="FYG18"/>
      <c r="FYK18"/>
      <c r="FYO18"/>
      <c r="FYS18"/>
      <c r="FYW18"/>
      <c r="FZA18"/>
      <c r="FZE18"/>
      <c r="FZI18"/>
      <c r="FZM18"/>
      <c r="FZQ18"/>
      <c r="FZU18"/>
      <c r="FZY18"/>
      <c r="GAC18"/>
      <c r="GAG18"/>
      <c r="GAK18"/>
      <c r="GAO18"/>
      <c r="GAS18"/>
      <c r="GAW18"/>
      <c r="GBA18"/>
      <c r="GBE18"/>
      <c r="GBI18"/>
      <c r="GBM18"/>
      <c r="GBQ18"/>
      <c r="GBU18"/>
      <c r="GBY18"/>
      <c r="GCC18"/>
      <c r="GCG18"/>
      <c r="GCK18"/>
      <c r="GCO18"/>
      <c r="GCS18"/>
      <c r="GCW18"/>
      <c r="GDA18"/>
      <c r="GDE18"/>
      <c r="GDI18"/>
      <c r="GDM18"/>
      <c r="GDQ18"/>
      <c r="GDU18"/>
      <c r="GDY18"/>
      <c r="GEC18"/>
      <c r="GEG18"/>
      <c r="GEK18"/>
      <c r="GEO18"/>
      <c r="GES18"/>
      <c r="GEW18"/>
      <c r="GFA18"/>
      <c r="GFE18"/>
      <c r="GFI18"/>
      <c r="GFM18"/>
      <c r="GFQ18"/>
      <c r="GFU18"/>
      <c r="GFY18"/>
      <c r="GGC18"/>
      <c r="GGG18"/>
      <c r="GGK18"/>
      <c r="GGO18"/>
      <c r="GGS18"/>
      <c r="GGW18"/>
      <c r="GHA18"/>
      <c r="GHE18"/>
      <c r="GHI18"/>
      <c r="GHM18"/>
      <c r="GHQ18"/>
      <c r="GHU18"/>
      <c r="GHY18"/>
      <c r="GIC18"/>
      <c r="GIG18"/>
      <c r="GIK18"/>
      <c r="GIO18"/>
      <c r="GIS18"/>
      <c r="GIW18"/>
      <c r="GJA18"/>
      <c r="GJE18"/>
      <c r="GJI18"/>
      <c r="GJM18"/>
      <c r="GJQ18"/>
      <c r="GJU18"/>
      <c r="GJY18"/>
      <c r="GKC18"/>
      <c r="GKG18"/>
      <c r="GKK18"/>
      <c r="GKO18"/>
      <c r="GKS18"/>
      <c r="GKW18"/>
      <c r="GLA18"/>
      <c r="GLE18"/>
      <c r="GLI18"/>
      <c r="GLM18"/>
      <c r="GLQ18"/>
      <c r="GLU18"/>
      <c r="GLY18"/>
      <c r="GMC18"/>
      <c r="GMG18"/>
      <c r="GMK18"/>
      <c r="GMO18"/>
      <c r="GMS18"/>
      <c r="GMW18"/>
      <c r="GNA18"/>
      <c r="GNE18"/>
      <c r="GNI18"/>
      <c r="GNM18"/>
      <c r="GNQ18"/>
      <c r="GNU18"/>
      <c r="GNY18"/>
      <c r="GOC18"/>
      <c r="GOG18"/>
      <c r="GOK18"/>
      <c r="GOO18"/>
      <c r="GOS18"/>
      <c r="GOW18"/>
      <c r="GPA18"/>
      <c r="GPE18"/>
      <c r="GPI18"/>
      <c r="GPM18"/>
      <c r="GPQ18"/>
      <c r="GPU18"/>
      <c r="GPY18"/>
      <c r="GQC18"/>
      <c r="GQG18"/>
      <c r="GQK18"/>
      <c r="GQO18"/>
      <c r="GQS18"/>
      <c r="GQW18"/>
      <c r="GRA18"/>
      <c r="GRE18"/>
      <c r="GRI18"/>
      <c r="GRM18"/>
      <c r="GRQ18"/>
      <c r="GRU18"/>
      <c r="GRY18"/>
      <c r="GSC18"/>
      <c r="GSG18"/>
      <c r="GSK18"/>
      <c r="GSO18"/>
      <c r="GSS18"/>
      <c r="GSW18"/>
      <c r="GTA18"/>
      <c r="GTE18"/>
      <c r="GTI18"/>
      <c r="GTM18"/>
      <c r="GTQ18"/>
      <c r="GTU18"/>
      <c r="GTY18"/>
      <c r="GUC18"/>
      <c r="GUG18"/>
      <c r="GUK18"/>
      <c r="GUO18"/>
      <c r="GUS18"/>
      <c r="GUW18"/>
      <c r="GVA18"/>
      <c r="GVE18"/>
      <c r="GVI18"/>
      <c r="GVM18"/>
      <c r="GVQ18"/>
      <c r="GVU18"/>
      <c r="GVY18"/>
      <c r="GWC18"/>
      <c r="GWG18"/>
      <c r="GWK18"/>
      <c r="GWO18"/>
      <c r="GWS18"/>
      <c r="GWW18"/>
      <c r="GXA18"/>
      <c r="GXE18"/>
      <c r="GXI18"/>
      <c r="GXM18"/>
      <c r="GXQ18"/>
      <c r="GXU18"/>
      <c r="GXY18"/>
      <c r="GYC18"/>
      <c r="GYG18"/>
      <c r="GYK18"/>
      <c r="GYO18"/>
      <c r="GYS18"/>
      <c r="GYW18"/>
      <c r="GZA18"/>
      <c r="GZE18"/>
      <c r="GZI18"/>
      <c r="GZM18"/>
      <c r="GZQ18"/>
      <c r="GZU18"/>
      <c r="GZY18"/>
      <c r="HAC18"/>
      <c r="HAG18"/>
      <c r="HAK18"/>
      <c r="HAO18"/>
      <c r="HAS18"/>
      <c r="HAW18"/>
      <c r="HBA18"/>
      <c r="HBE18"/>
      <c r="HBI18"/>
      <c r="HBM18"/>
      <c r="HBQ18"/>
      <c r="HBU18"/>
      <c r="HBY18"/>
      <c r="HCC18"/>
      <c r="HCG18"/>
      <c r="HCK18"/>
      <c r="HCO18"/>
      <c r="HCS18"/>
      <c r="HCW18"/>
      <c r="HDA18"/>
      <c r="HDE18"/>
      <c r="HDI18"/>
      <c r="HDM18"/>
      <c r="HDQ18"/>
      <c r="HDU18"/>
      <c r="HDY18"/>
      <c r="HEC18"/>
      <c r="HEG18"/>
      <c r="HEK18"/>
      <c r="HEO18"/>
      <c r="HES18"/>
      <c r="HEW18"/>
      <c r="HFA18"/>
      <c r="HFE18"/>
      <c r="HFI18"/>
      <c r="HFM18"/>
      <c r="HFQ18"/>
      <c r="HFU18"/>
      <c r="HFY18"/>
      <c r="HGC18"/>
      <c r="HGG18"/>
      <c r="HGK18"/>
      <c r="HGO18"/>
      <c r="HGS18"/>
      <c r="HGW18"/>
      <c r="HHA18"/>
      <c r="HHE18"/>
      <c r="HHI18"/>
      <c r="HHM18"/>
      <c r="HHQ18"/>
      <c r="HHU18"/>
      <c r="HHY18"/>
      <c r="HIC18"/>
      <c r="HIG18"/>
      <c r="HIK18"/>
      <c r="HIO18"/>
      <c r="HIS18"/>
      <c r="HIW18"/>
      <c r="HJA18"/>
      <c r="HJE18"/>
      <c r="HJI18"/>
      <c r="HJM18"/>
      <c r="HJQ18"/>
      <c r="HJU18"/>
      <c r="HJY18"/>
      <c r="HKC18"/>
      <c r="HKG18"/>
      <c r="HKK18"/>
      <c r="HKO18"/>
      <c r="HKS18"/>
      <c r="HKW18"/>
      <c r="HLA18"/>
      <c r="HLE18"/>
      <c r="HLI18"/>
      <c r="HLM18"/>
      <c r="HLQ18"/>
      <c r="HLU18"/>
      <c r="HLY18"/>
      <c r="HMC18"/>
      <c r="HMG18"/>
      <c r="HMK18"/>
      <c r="HMO18"/>
      <c r="HMS18"/>
      <c r="HMW18"/>
      <c r="HNA18"/>
      <c r="HNE18"/>
      <c r="HNI18"/>
      <c r="HNM18"/>
      <c r="HNQ18"/>
      <c r="HNU18"/>
      <c r="HNY18"/>
      <c r="HOC18"/>
      <c r="HOG18"/>
      <c r="HOK18"/>
      <c r="HOO18"/>
      <c r="HOS18"/>
      <c r="HOW18"/>
      <c r="HPA18"/>
      <c r="HPE18"/>
      <c r="HPI18"/>
      <c r="HPM18"/>
      <c r="HPQ18"/>
      <c r="HPU18"/>
      <c r="HPY18"/>
      <c r="HQC18"/>
      <c r="HQG18"/>
      <c r="HQK18"/>
      <c r="HQO18"/>
      <c r="HQS18"/>
      <c r="HQW18"/>
      <c r="HRA18"/>
      <c r="HRE18"/>
      <c r="HRI18"/>
      <c r="HRM18"/>
      <c r="HRQ18"/>
      <c r="HRU18"/>
      <c r="HRY18"/>
      <c r="HSC18"/>
      <c r="HSG18"/>
      <c r="HSK18"/>
      <c r="HSO18"/>
      <c r="HSS18"/>
      <c r="HSW18"/>
      <c r="HTA18"/>
      <c r="HTE18"/>
      <c r="HTI18"/>
      <c r="HTM18"/>
      <c r="HTQ18"/>
      <c r="HTU18"/>
      <c r="HTY18"/>
      <c r="HUC18"/>
      <c r="HUG18"/>
      <c r="HUK18"/>
      <c r="HUO18"/>
      <c r="HUS18"/>
      <c r="HUW18"/>
      <c r="HVA18"/>
      <c r="HVE18"/>
      <c r="HVI18"/>
      <c r="HVM18"/>
      <c r="HVQ18"/>
      <c r="HVU18"/>
      <c r="HVY18"/>
      <c r="HWC18"/>
      <c r="HWG18"/>
      <c r="HWK18"/>
      <c r="HWO18"/>
      <c r="HWS18"/>
      <c r="HWW18"/>
      <c r="HXA18"/>
      <c r="HXE18"/>
      <c r="HXI18"/>
      <c r="HXM18"/>
      <c r="HXQ18"/>
      <c r="HXU18"/>
      <c r="HXY18"/>
      <c r="HYC18"/>
      <c r="HYG18"/>
      <c r="HYK18"/>
      <c r="HYO18"/>
      <c r="HYS18"/>
      <c r="HYW18"/>
      <c r="HZA18"/>
      <c r="HZE18"/>
      <c r="HZI18"/>
      <c r="HZM18"/>
      <c r="HZQ18"/>
      <c r="HZU18"/>
      <c r="HZY18"/>
      <c r="IAC18"/>
      <c r="IAG18"/>
      <c r="IAK18"/>
      <c r="IAO18"/>
      <c r="IAS18"/>
      <c r="IAW18"/>
      <c r="IBA18"/>
      <c r="IBE18"/>
      <c r="IBI18"/>
      <c r="IBM18"/>
      <c r="IBQ18"/>
      <c r="IBU18"/>
      <c r="IBY18"/>
      <c r="ICC18"/>
      <c r="ICG18"/>
      <c r="ICK18"/>
      <c r="ICO18"/>
      <c r="ICS18"/>
      <c r="ICW18"/>
      <c r="IDA18"/>
      <c r="IDE18"/>
      <c r="IDI18"/>
      <c r="IDM18"/>
      <c r="IDQ18"/>
      <c r="IDU18"/>
      <c r="IDY18"/>
      <c r="IEC18"/>
      <c r="IEG18"/>
      <c r="IEK18"/>
      <c r="IEO18"/>
      <c r="IES18"/>
      <c r="IEW18"/>
      <c r="IFA18"/>
      <c r="IFE18"/>
      <c r="IFI18"/>
      <c r="IFM18"/>
      <c r="IFQ18"/>
      <c r="IFU18"/>
      <c r="IFY18"/>
      <c r="IGC18"/>
      <c r="IGG18"/>
      <c r="IGK18"/>
      <c r="IGO18"/>
      <c r="IGS18"/>
      <c r="IGW18"/>
      <c r="IHA18"/>
      <c r="IHE18"/>
      <c r="IHI18"/>
      <c r="IHM18"/>
      <c r="IHQ18"/>
      <c r="IHU18"/>
      <c r="IHY18"/>
      <c r="IIC18"/>
      <c r="IIG18"/>
      <c r="IIK18"/>
      <c r="IIO18"/>
      <c r="IIS18"/>
      <c r="IIW18"/>
      <c r="IJA18"/>
      <c r="IJE18"/>
      <c r="IJI18"/>
      <c r="IJM18"/>
      <c r="IJQ18"/>
      <c r="IJU18"/>
      <c r="IJY18"/>
      <c r="IKC18"/>
      <c r="IKG18"/>
      <c r="IKK18"/>
      <c r="IKO18"/>
      <c r="IKS18"/>
      <c r="IKW18"/>
      <c r="ILA18"/>
      <c r="ILE18"/>
      <c r="ILI18"/>
      <c r="ILM18"/>
      <c r="ILQ18"/>
      <c r="ILU18"/>
      <c r="ILY18"/>
      <c r="IMC18"/>
      <c r="IMG18"/>
      <c r="IMK18"/>
      <c r="IMO18"/>
      <c r="IMS18"/>
      <c r="IMW18"/>
      <c r="INA18"/>
      <c r="INE18"/>
      <c r="INI18"/>
      <c r="INM18"/>
      <c r="INQ18"/>
      <c r="INU18"/>
      <c r="INY18"/>
      <c r="IOC18"/>
      <c r="IOG18"/>
      <c r="IOK18"/>
      <c r="IOO18"/>
      <c r="IOS18"/>
      <c r="IOW18"/>
      <c r="IPA18"/>
      <c r="IPE18"/>
      <c r="IPI18"/>
      <c r="IPM18"/>
      <c r="IPQ18"/>
      <c r="IPU18"/>
      <c r="IPY18"/>
      <c r="IQC18"/>
      <c r="IQG18"/>
      <c r="IQK18"/>
      <c r="IQO18"/>
      <c r="IQS18"/>
      <c r="IQW18"/>
      <c r="IRA18"/>
      <c r="IRE18"/>
      <c r="IRI18"/>
      <c r="IRM18"/>
      <c r="IRQ18"/>
      <c r="IRU18"/>
      <c r="IRY18"/>
      <c r="ISC18"/>
      <c r="ISG18"/>
      <c r="ISK18"/>
      <c r="ISO18"/>
      <c r="ISS18"/>
      <c r="ISW18"/>
      <c r="ITA18"/>
      <c r="ITE18"/>
      <c r="ITI18"/>
      <c r="ITM18"/>
      <c r="ITQ18"/>
      <c r="ITU18"/>
      <c r="ITY18"/>
      <c r="IUC18"/>
      <c r="IUG18"/>
      <c r="IUK18"/>
      <c r="IUO18"/>
      <c r="IUS18"/>
      <c r="IUW18"/>
      <c r="IVA18"/>
      <c r="IVE18"/>
      <c r="IVI18"/>
      <c r="IVM18"/>
      <c r="IVQ18"/>
      <c r="IVU18"/>
      <c r="IVY18"/>
      <c r="IWC18"/>
      <c r="IWG18"/>
      <c r="IWK18"/>
      <c r="IWO18"/>
      <c r="IWS18"/>
      <c r="IWW18"/>
      <c r="IXA18"/>
      <c r="IXE18"/>
      <c r="IXI18"/>
      <c r="IXM18"/>
      <c r="IXQ18"/>
      <c r="IXU18"/>
      <c r="IXY18"/>
      <c r="IYC18"/>
      <c r="IYG18"/>
      <c r="IYK18"/>
      <c r="IYO18"/>
      <c r="IYS18"/>
      <c r="IYW18"/>
      <c r="IZA18"/>
      <c r="IZE18"/>
      <c r="IZI18"/>
      <c r="IZM18"/>
      <c r="IZQ18"/>
      <c r="IZU18"/>
      <c r="IZY18"/>
      <c r="JAC18"/>
      <c r="JAG18"/>
      <c r="JAK18"/>
      <c r="JAO18"/>
      <c r="JAS18"/>
      <c r="JAW18"/>
      <c r="JBA18"/>
      <c r="JBE18"/>
      <c r="JBI18"/>
      <c r="JBM18"/>
      <c r="JBQ18"/>
      <c r="JBU18"/>
      <c r="JBY18"/>
      <c r="JCC18"/>
      <c r="JCG18"/>
      <c r="JCK18"/>
      <c r="JCO18"/>
      <c r="JCS18"/>
      <c r="JCW18"/>
      <c r="JDA18"/>
      <c r="JDE18"/>
      <c r="JDI18"/>
      <c r="JDM18"/>
      <c r="JDQ18"/>
      <c r="JDU18"/>
      <c r="JDY18"/>
      <c r="JEC18"/>
      <c r="JEG18"/>
      <c r="JEK18"/>
      <c r="JEO18"/>
      <c r="JES18"/>
      <c r="JEW18"/>
      <c r="JFA18"/>
      <c r="JFE18"/>
      <c r="JFI18"/>
      <c r="JFM18"/>
      <c r="JFQ18"/>
      <c r="JFU18"/>
      <c r="JFY18"/>
      <c r="JGC18"/>
      <c r="JGG18"/>
      <c r="JGK18"/>
      <c r="JGO18"/>
      <c r="JGS18"/>
      <c r="JGW18"/>
      <c r="JHA18"/>
      <c r="JHE18"/>
      <c r="JHI18"/>
      <c r="JHM18"/>
      <c r="JHQ18"/>
      <c r="JHU18"/>
      <c r="JHY18"/>
      <c r="JIC18"/>
      <c r="JIG18"/>
      <c r="JIK18"/>
      <c r="JIO18"/>
      <c r="JIS18"/>
      <c r="JIW18"/>
      <c r="JJA18"/>
      <c r="JJE18"/>
      <c r="JJI18"/>
      <c r="JJM18"/>
      <c r="JJQ18"/>
      <c r="JJU18"/>
      <c r="JJY18"/>
      <c r="JKC18"/>
      <c r="JKG18"/>
      <c r="JKK18"/>
      <c r="JKO18"/>
      <c r="JKS18"/>
      <c r="JKW18"/>
      <c r="JLA18"/>
      <c r="JLE18"/>
      <c r="JLI18"/>
      <c r="JLM18"/>
      <c r="JLQ18"/>
      <c r="JLU18"/>
      <c r="JLY18"/>
      <c r="JMC18"/>
      <c r="JMG18"/>
      <c r="JMK18"/>
      <c r="JMO18"/>
      <c r="JMS18"/>
      <c r="JMW18"/>
      <c r="JNA18"/>
      <c r="JNE18"/>
      <c r="JNI18"/>
      <c r="JNM18"/>
      <c r="JNQ18"/>
      <c r="JNU18"/>
      <c r="JNY18"/>
      <c r="JOC18"/>
      <c r="JOG18"/>
      <c r="JOK18"/>
      <c r="JOO18"/>
      <c r="JOS18"/>
      <c r="JOW18"/>
      <c r="JPA18"/>
      <c r="JPE18"/>
      <c r="JPI18"/>
      <c r="JPM18"/>
      <c r="JPQ18"/>
      <c r="JPU18"/>
      <c r="JPY18"/>
      <c r="JQC18"/>
      <c r="JQG18"/>
      <c r="JQK18"/>
      <c r="JQO18"/>
      <c r="JQS18"/>
      <c r="JQW18"/>
      <c r="JRA18"/>
      <c r="JRE18"/>
      <c r="JRI18"/>
      <c r="JRM18"/>
      <c r="JRQ18"/>
      <c r="JRU18"/>
      <c r="JRY18"/>
      <c r="JSC18"/>
      <c r="JSG18"/>
      <c r="JSK18"/>
      <c r="JSO18"/>
      <c r="JSS18"/>
      <c r="JSW18"/>
      <c r="JTA18"/>
      <c r="JTE18"/>
      <c r="JTI18"/>
      <c r="JTM18"/>
      <c r="JTQ18"/>
      <c r="JTU18"/>
      <c r="JTY18"/>
      <c r="JUC18"/>
      <c r="JUG18"/>
      <c r="JUK18"/>
      <c r="JUO18"/>
      <c r="JUS18"/>
      <c r="JUW18"/>
      <c r="JVA18"/>
      <c r="JVE18"/>
      <c r="JVI18"/>
      <c r="JVM18"/>
      <c r="JVQ18"/>
      <c r="JVU18"/>
      <c r="JVY18"/>
      <c r="JWC18"/>
      <c r="JWG18"/>
      <c r="JWK18"/>
      <c r="JWO18"/>
      <c r="JWS18"/>
      <c r="JWW18"/>
      <c r="JXA18"/>
      <c r="JXE18"/>
      <c r="JXI18"/>
      <c r="JXM18"/>
      <c r="JXQ18"/>
      <c r="JXU18"/>
      <c r="JXY18"/>
      <c r="JYC18"/>
      <c r="JYG18"/>
      <c r="JYK18"/>
      <c r="JYO18"/>
      <c r="JYS18"/>
      <c r="JYW18"/>
      <c r="JZA18"/>
      <c r="JZE18"/>
      <c r="JZI18"/>
      <c r="JZM18"/>
      <c r="JZQ18"/>
      <c r="JZU18"/>
      <c r="JZY18"/>
      <c r="KAC18"/>
      <c r="KAG18"/>
      <c r="KAK18"/>
      <c r="KAO18"/>
      <c r="KAS18"/>
      <c r="KAW18"/>
      <c r="KBA18"/>
      <c r="KBE18"/>
      <c r="KBI18"/>
      <c r="KBM18"/>
      <c r="KBQ18"/>
      <c r="KBU18"/>
      <c r="KBY18"/>
      <c r="KCC18"/>
      <c r="KCG18"/>
      <c r="KCK18"/>
      <c r="KCO18"/>
      <c r="KCS18"/>
      <c r="KCW18"/>
      <c r="KDA18"/>
      <c r="KDE18"/>
      <c r="KDI18"/>
      <c r="KDM18"/>
      <c r="KDQ18"/>
      <c r="KDU18"/>
      <c r="KDY18"/>
      <c r="KEC18"/>
      <c r="KEG18"/>
      <c r="KEK18"/>
      <c r="KEO18"/>
      <c r="KES18"/>
      <c r="KEW18"/>
      <c r="KFA18"/>
      <c r="KFE18"/>
      <c r="KFI18"/>
      <c r="KFM18"/>
      <c r="KFQ18"/>
      <c r="KFU18"/>
      <c r="KFY18"/>
      <c r="KGC18"/>
      <c r="KGG18"/>
      <c r="KGK18"/>
      <c r="KGO18"/>
      <c r="KGS18"/>
      <c r="KGW18"/>
      <c r="KHA18"/>
      <c r="KHE18"/>
      <c r="KHI18"/>
      <c r="KHM18"/>
      <c r="KHQ18"/>
      <c r="KHU18"/>
      <c r="KHY18"/>
      <c r="KIC18"/>
      <c r="KIG18"/>
      <c r="KIK18"/>
      <c r="KIO18"/>
      <c r="KIS18"/>
      <c r="KIW18"/>
      <c r="KJA18"/>
      <c r="KJE18"/>
      <c r="KJI18"/>
      <c r="KJM18"/>
      <c r="KJQ18"/>
      <c r="KJU18"/>
      <c r="KJY18"/>
      <c r="KKC18"/>
      <c r="KKG18"/>
      <c r="KKK18"/>
      <c r="KKO18"/>
      <c r="KKS18"/>
      <c r="KKW18"/>
      <c r="KLA18"/>
      <c r="KLE18"/>
      <c r="KLI18"/>
      <c r="KLM18"/>
      <c r="KLQ18"/>
      <c r="KLU18"/>
      <c r="KLY18"/>
      <c r="KMC18"/>
      <c r="KMG18"/>
      <c r="KMK18"/>
      <c r="KMO18"/>
      <c r="KMS18"/>
      <c r="KMW18"/>
      <c r="KNA18"/>
      <c r="KNE18"/>
      <c r="KNI18"/>
      <c r="KNM18"/>
      <c r="KNQ18"/>
      <c r="KNU18"/>
      <c r="KNY18"/>
      <c r="KOC18"/>
      <c r="KOG18"/>
      <c r="KOK18"/>
      <c r="KOO18"/>
      <c r="KOS18"/>
      <c r="KOW18"/>
      <c r="KPA18"/>
      <c r="KPE18"/>
      <c r="KPI18"/>
      <c r="KPM18"/>
      <c r="KPQ18"/>
      <c r="KPU18"/>
      <c r="KPY18"/>
      <c r="KQC18"/>
      <c r="KQG18"/>
      <c r="KQK18"/>
      <c r="KQO18"/>
      <c r="KQS18"/>
      <c r="KQW18"/>
      <c r="KRA18"/>
      <c r="KRE18"/>
      <c r="KRI18"/>
      <c r="KRM18"/>
      <c r="KRQ18"/>
      <c r="KRU18"/>
      <c r="KRY18"/>
      <c r="KSC18"/>
      <c r="KSG18"/>
      <c r="KSK18"/>
      <c r="KSO18"/>
      <c r="KSS18"/>
      <c r="KSW18"/>
      <c r="KTA18"/>
      <c r="KTE18"/>
      <c r="KTI18"/>
      <c r="KTM18"/>
      <c r="KTQ18"/>
      <c r="KTU18"/>
      <c r="KTY18"/>
      <c r="KUC18"/>
      <c r="KUG18"/>
      <c r="KUK18"/>
      <c r="KUO18"/>
      <c r="KUS18"/>
      <c r="KUW18"/>
      <c r="KVA18"/>
      <c r="KVE18"/>
      <c r="KVI18"/>
      <c r="KVM18"/>
      <c r="KVQ18"/>
      <c r="KVU18"/>
      <c r="KVY18"/>
      <c r="KWC18"/>
      <c r="KWG18"/>
      <c r="KWK18"/>
      <c r="KWO18"/>
      <c r="KWS18"/>
      <c r="KWW18"/>
      <c r="KXA18"/>
      <c r="KXE18"/>
      <c r="KXI18"/>
      <c r="KXM18"/>
      <c r="KXQ18"/>
      <c r="KXU18"/>
      <c r="KXY18"/>
      <c r="KYC18"/>
      <c r="KYG18"/>
      <c r="KYK18"/>
      <c r="KYO18"/>
      <c r="KYS18"/>
      <c r="KYW18"/>
      <c r="KZA18"/>
      <c r="KZE18"/>
      <c r="KZI18"/>
      <c r="KZM18"/>
      <c r="KZQ18"/>
      <c r="KZU18"/>
      <c r="KZY18"/>
      <c r="LAC18"/>
      <c r="LAG18"/>
      <c r="LAK18"/>
      <c r="LAO18"/>
      <c r="LAS18"/>
      <c r="LAW18"/>
      <c r="LBA18"/>
      <c r="LBE18"/>
      <c r="LBI18"/>
      <c r="LBM18"/>
      <c r="LBQ18"/>
      <c r="LBU18"/>
      <c r="LBY18"/>
      <c r="LCC18"/>
      <c r="LCG18"/>
      <c r="LCK18"/>
      <c r="LCO18"/>
      <c r="LCS18"/>
      <c r="LCW18"/>
      <c r="LDA18"/>
      <c r="LDE18"/>
      <c r="LDI18"/>
      <c r="LDM18"/>
      <c r="LDQ18"/>
      <c r="LDU18"/>
      <c r="LDY18"/>
      <c r="LEC18"/>
      <c r="LEG18"/>
      <c r="LEK18"/>
      <c r="LEO18"/>
      <c r="LES18"/>
      <c r="LEW18"/>
      <c r="LFA18"/>
      <c r="LFE18"/>
      <c r="LFI18"/>
      <c r="LFM18"/>
      <c r="LFQ18"/>
      <c r="LFU18"/>
      <c r="LFY18"/>
      <c r="LGC18"/>
      <c r="LGG18"/>
      <c r="LGK18"/>
      <c r="LGO18"/>
      <c r="LGS18"/>
      <c r="LGW18"/>
      <c r="LHA18"/>
      <c r="LHE18"/>
      <c r="LHI18"/>
      <c r="LHM18"/>
      <c r="LHQ18"/>
      <c r="LHU18"/>
      <c r="LHY18"/>
      <c r="LIC18"/>
      <c r="LIG18"/>
      <c r="LIK18"/>
      <c r="LIO18"/>
      <c r="LIS18"/>
      <c r="LIW18"/>
      <c r="LJA18"/>
      <c r="LJE18"/>
      <c r="LJI18"/>
      <c r="LJM18"/>
      <c r="LJQ18"/>
      <c r="LJU18"/>
      <c r="LJY18"/>
      <c r="LKC18"/>
      <c r="LKG18"/>
      <c r="LKK18"/>
      <c r="LKO18"/>
      <c r="LKS18"/>
      <c r="LKW18"/>
      <c r="LLA18"/>
      <c r="LLE18"/>
      <c r="LLI18"/>
      <c r="LLM18"/>
      <c r="LLQ18"/>
      <c r="LLU18"/>
      <c r="LLY18"/>
      <c r="LMC18"/>
      <c r="LMG18"/>
      <c r="LMK18"/>
      <c r="LMO18"/>
      <c r="LMS18"/>
      <c r="LMW18"/>
      <c r="LNA18"/>
      <c r="LNE18"/>
      <c r="LNI18"/>
      <c r="LNM18"/>
      <c r="LNQ18"/>
      <c r="LNU18"/>
      <c r="LNY18"/>
      <c r="LOC18"/>
      <c r="LOG18"/>
      <c r="LOK18"/>
      <c r="LOO18"/>
      <c r="LOS18"/>
      <c r="LOW18"/>
      <c r="LPA18"/>
      <c r="LPE18"/>
      <c r="LPI18"/>
      <c r="LPM18"/>
      <c r="LPQ18"/>
      <c r="LPU18"/>
      <c r="LPY18"/>
      <c r="LQC18"/>
      <c r="LQG18"/>
      <c r="LQK18"/>
      <c r="LQO18"/>
      <c r="LQS18"/>
      <c r="LQW18"/>
      <c r="LRA18"/>
      <c r="LRE18"/>
      <c r="LRI18"/>
      <c r="LRM18"/>
      <c r="LRQ18"/>
      <c r="LRU18"/>
      <c r="LRY18"/>
      <c r="LSC18"/>
      <c r="LSG18"/>
      <c r="LSK18"/>
      <c r="LSO18"/>
      <c r="LSS18"/>
      <c r="LSW18"/>
      <c r="LTA18"/>
      <c r="LTE18"/>
      <c r="LTI18"/>
      <c r="LTM18"/>
      <c r="LTQ18"/>
      <c r="LTU18"/>
      <c r="LTY18"/>
      <c r="LUC18"/>
      <c r="LUG18"/>
      <c r="LUK18"/>
      <c r="LUO18"/>
      <c r="LUS18"/>
      <c r="LUW18"/>
      <c r="LVA18"/>
      <c r="LVE18"/>
      <c r="LVI18"/>
      <c r="LVM18"/>
      <c r="LVQ18"/>
      <c r="LVU18"/>
      <c r="LVY18"/>
      <c r="LWC18"/>
      <c r="LWG18"/>
      <c r="LWK18"/>
      <c r="LWO18"/>
      <c r="LWS18"/>
      <c r="LWW18"/>
      <c r="LXA18"/>
      <c r="LXE18"/>
      <c r="LXI18"/>
      <c r="LXM18"/>
      <c r="LXQ18"/>
      <c r="LXU18"/>
      <c r="LXY18"/>
      <c r="LYC18"/>
      <c r="LYG18"/>
      <c r="LYK18"/>
      <c r="LYO18"/>
      <c r="LYS18"/>
      <c r="LYW18"/>
      <c r="LZA18"/>
      <c r="LZE18"/>
      <c r="LZI18"/>
      <c r="LZM18"/>
      <c r="LZQ18"/>
      <c r="LZU18"/>
      <c r="LZY18"/>
      <c r="MAC18"/>
      <c r="MAG18"/>
      <c r="MAK18"/>
      <c r="MAO18"/>
      <c r="MAS18"/>
      <c r="MAW18"/>
      <c r="MBA18"/>
      <c r="MBE18"/>
      <c r="MBI18"/>
      <c r="MBM18"/>
      <c r="MBQ18"/>
      <c r="MBU18"/>
      <c r="MBY18"/>
      <c r="MCC18"/>
      <c r="MCG18"/>
      <c r="MCK18"/>
      <c r="MCO18"/>
      <c r="MCS18"/>
      <c r="MCW18"/>
      <c r="MDA18"/>
      <c r="MDE18"/>
      <c r="MDI18"/>
      <c r="MDM18"/>
      <c r="MDQ18"/>
      <c r="MDU18"/>
      <c r="MDY18"/>
      <c r="MEC18"/>
      <c r="MEG18"/>
      <c r="MEK18"/>
      <c r="MEO18"/>
      <c r="MES18"/>
      <c r="MEW18"/>
      <c r="MFA18"/>
      <c r="MFE18"/>
      <c r="MFI18"/>
      <c r="MFM18"/>
      <c r="MFQ18"/>
      <c r="MFU18"/>
      <c r="MFY18"/>
      <c r="MGC18"/>
      <c r="MGG18"/>
      <c r="MGK18"/>
      <c r="MGO18"/>
      <c r="MGS18"/>
      <c r="MGW18"/>
      <c r="MHA18"/>
      <c r="MHE18"/>
      <c r="MHI18"/>
      <c r="MHM18"/>
      <c r="MHQ18"/>
      <c r="MHU18"/>
      <c r="MHY18"/>
      <c r="MIC18"/>
      <c r="MIG18"/>
      <c r="MIK18"/>
      <c r="MIO18"/>
      <c r="MIS18"/>
      <c r="MIW18"/>
      <c r="MJA18"/>
      <c r="MJE18"/>
      <c r="MJI18"/>
      <c r="MJM18"/>
      <c r="MJQ18"/>
      <c r="MJU18"/>
      <c r="MJY18"/>
      <c r="MKC18"/>
      <c r="MKG18"/>
      <c r="MKK18"/>
      <c r="MKO18"/>
      <c r="MKS18"/>
      <c r="MKW18"/>
      <c r="MLA18"/>
      <c r="MLE18"/>
      <c r="MLI18"/>
      <c r="MLM18"/>
      <c r="MLQ18"/>
      <c r="MLU18"/>
      <c r="MLY18"/>
      <c r="MMC18"/>
      <c r="MMG18"/>
      <c r="MMK18"/>
      <c r="MMO18"/>
      <c r="MMS18"/>
      <c r="MMW18"/>
      <c r="MNA18"/>
      <c r="MNE18"/>
      <c r="MNI18"/>
      <c r="MNM18"/>
      <c r="MNQ18"/>
      <c r="MNU18"/>
      <c r="MNY18"/>
      <c r="MOC18"/>
      <c r="MOG18"/>
      <c r="MOK18"/>
      <c r="MOO18"/>
      <c r="MOS18"/>
      <c r="MOW18"/>
      <c r="MPA18"/>
      <c r="MPE18"/>
      <c r="MPI18"/>
      <c r="MPM18"/>
      <c r="MPQ18"/>
      <c r="MPU18"/>
      <c r="MPY18"/>
      <c r="MQC18"/>
      <c r="MQG18"/>
      <c r="MQK18"/>
      <c r="MQO18"/>
      <c r="MQS18"/>
      <c r="MQW18"/>
      <c r="MRA18"/>
      <c r="MRE18"/>
      <c r="MRI18"/>
      <c r="MRM18"/>
      <c r="MRQ18"/>
      <c r="MRU18"/>
      <c r="MRY18"/>
      <c r="MSC18"/>
      <c r="MSG18"/>
      <c r="MSK18"/>
      <c r="MSO18"/>
      <c r="MSS18"/>
      <c r="MSW18"/>
      <c r="MTA18"/>
      <c r="MTE18"/>
      <c r="MTI18"/>
      <c r="MTM18"/>
      <c r="MTQ18"/>
      <c r="MTU18"/>
      <c r="MTY18"/>
      <c r="MUC18"/>
      <c r="MUG18"/>
      <c r="MUK18"/>
      <c r="MUO18"/>
      <c r="MUS18"/>
      <c r="MUW18"/>
      <c r="MVA18"/>
      <c r="MVE18"/>
      <c r="MVI18"/>
      <c r="MVM18"/>
      <c r="MVQ18"/>
      <c r="MVU18"/>
      <c r="MVY18"/>
      <c r="MWC18"/>
      <c r="MWG18"/>
      <c r="MWK18"/>
      <c r="MWO18"/>
      <c r="MWS18"/>
      <c r="MWW18"/>
      <c r="MXA18"/>
      <c r="MXE18"/>
      <c r="MXI18"/>
      <c r="MXM18"/>
      <c r="MXQ18"/>
      <c r="MXU18"/>
      <c r="MXY18"/>
      <c r="MYC18"/>
      <c r="MYG18"/>
      <c r="MYK18"/>
      <c r="MYO18"/>
      <c r="MYS18"/>
      <c r="MYW18"/>
      <c r="MZA18"/>
      <c r="MZE18"/>
      <c r="MZI18"/>
      <c r="MZM18"/>
      <c r="MZQ18"/>
      <c r="MZU18"/>
      <c r="MZY18"/>
      <c r="NAC18"/>
      <c r="NAG18"/>
      <c r="NAK18"/>
      <c r="NAO18"/>
      <c r="NAS18"/>
      <c r="NAW18"/>
      <c r="NBA18"/>
      <c r="NBE18"/>
      <c r="NBI18"/>
      <c r="NBM18"/>
      <c r="NBQ18"/>
      <c r="NBU18"/>
      <c r="NBY18"/>
      <c r="NCC18"/>
      <c r="NCG18"/>
      <c r="NCK18"/>
      <c r="NCO18"/>
      <c r="NCS18"/>
      <c r="NCW18"/>
      <c r="NDA18"/>
      <c r="NDE18"/>
      <c r="NDI18"/>
      <c r="NDM18"/>
      <c r="NDQ18"/>
      <c r="NDU18"/>
      <c r="NDY18"/>
      <c r="NEC18"/>
      <c r="NEG18"/>
      <c r="NEK18"/>
      <c r="NEO18"/>
      <c r="NES18"/>
      <c r="NEW18"/>
      <c r="NFA18"/>
      <c r="NFE18"/>
      <c r="NFI18"/>
      <c r="NFM18"/>
      <c r="NFQ18"/>
      <c r="NFU18"/>
      <c r="NFY18"/>
      <c r="NGC18"/>
      <c r="NGG18"/>
      <c r="NGK18"/>
      <c r="NGO18"/>
      <c r="NGS18"/>
      <c r="NGW18"/>
      <c r="NHA18"/>
      <c r="NHE18"/>
      <c r="NHI18"/>
      <c r="NHM18"/>
      <c r="NHQ18"/>
      <c r="NHU18"/>
      <c r="NHY18"/>
      <c r="NIC18"/>
      <c r="NIG18"/>
      <c r="NIK18"/>
      <c r="NIO18"/>
      <c r="NIS18"/>
      <c r="NIW18"/>
      <c r="NJA18"/>
      <c r="NJE18"/>
      <c r="NJI18"/>
      <c r="NJM18"/>
      <c r="NJQ18"/>
      <c r="NJU18"/>
      <c r="NJY18"/>
      <c r="NKC18"/>
      <c r="NKG18"/>
      <c r="NKK18"/>
      <c r="NKO18"/>
      <c r="NKS18"/>
      <c r="NKW18"/>
      <c r="NLA18"/>
      <c r="NLE18"/>
      <c r="NLI18"/>
      <c r="NLM18"/>
      <c r="NLQ18"/>
      <c r="NLU18"/>
      <c r="NLY18"/>
      <c r="NMC18"/>
      <c r="NMG18"/>
      <c r="NMK18"/>
      <c r="NMO18"/>
      <c r="NMS18"/>
      <c r="NMW18"/>
      <c r="NNA18"/>
      <c r="NNE18"/>
      <c r="NNI18"/>
      <c r="NNM18"/>
      <c r="NNQ18"/>
      <c r="NNU18"/>
      <c r="NNY18"/>
      <c r="NOC18"/>
      <c r="NOG18"/>
      <c r="NOK18"/>
      <c r="NOO18"/>
      <c r="NOS18"/>
      <c r="NOW18"/>
      <c r="NPA18"/>
      <c r="NPE18"/>
      <c r="NPI18"/>
      <c r="NPM18"/>
      <c r="NPQ18"/>
      <c r="NPU18"/>
      <c r="NPY18"/>
      <c r="NQC18"/>
      <c r="NQG18"/>
      <c r="NQK18"/>
      <c r="NQO18"/>
      <c r="NQS18"/>
      <c r="NQW18"/>
      <c r="NRA18"/>
      <c r="NRE18"/>
      <c r="NRI18"/>
      <c r="NRM18"/>
      <c r="NRQ18"/>
      <c r="NRU18"/>
      <c r="NRY18"/>
      <c r="NSC18"/>
      <c r="NSG18"/>
      <c r="NSK18"/>
      <c r="NSO18"/>
      <c r="NSS18"/>
      <c r="NSW18"/>
      <c r="NTA18"/>
      <c r="NTE18"/>
      <c r="NTI18"/>
      <c r="NTM18"/>
      <c r="NTQ18"/>
      <c r="NTU18"/>
      <c r="NTY18"/>
      <c r="NUC18"/>
      <c r="NUG18"/>
      <c r="NUK18"/>
      <c r="NUO18"/>
      <c r="NUS18"/>
      <c r="NUW18"/>
      <c r="NVA18"/>
      <c r="NVE18"/>
      <c r="NVI18"/>
      <c r="NVM18"/>
      <c r="NVQ18"/>
      <c r="NVU18"/>
      <c r="NVY18"/>
      <c r="NWC18"/>
      <c r="NWG18"/>
      <c r="NWK18"/>
      <c r="NWO18"/>
      <c r="NWS18"/>
      <c r="NWW18"/>
      <c r="NXA18"/>
      <c r="NXE18"/>
      <c r="NXI18"/>
      <c r="NXM18"/>
      <c r="NXQ18"/>
      <c r="NXU18"/>
      <c r="NXY18"/>
      <c r="NYC18"/>
      <c r="NYG18"/>
      <c r="NYK18"/>
      <c r="NYO18"/>
      <c r="NYS18"/>
      <c r="NYW18"/>
      <c r="NZA18"/>
      <c r="NZE18"/>
      <c r="NZI18"/>
      <c r="NZM18"/>
      <c r="NZQ18"/>
      <c r="NZU18"/>
      <c r="NZY18"/>
      <c r="OAC18"/>
      <c r="OAG18"/>
      <c r="OAK18"/>
      <c r="OAO18"/>
      <c r="OAS18"/>
      <c r="OAW18"/>
      <c r="OBA18"/>
      <c r="OBE18"/>
      <c r="OBI18"/>
      <c r="OBM18"/>
      <c r="OBQ18"/>
      <c r="OBU18"/>
      <c r="OBY18"/>
      <c r="OCC18"/>
      <c r="OCG18"/>
      <c r="OCK18"/>
      <c r="OCO18"/>
      <c r="OCS18"/>
      <c r="OCW18"/>
      <c r="ODA18"/>
      <c r="ODE18"/>
      <c r="ODI18"/>
      <c r="ODM18"/>
      <c r="ODQ18"/>
      <c r="ODU18"/>
      <c r="ODY18"/>
      <c r="OEC18"/>
      <c r="OEG18"/>
      <c r="OEK18"/>
      <c r="OEO18"/>
      <c r="OES18"/>
      <c r="OEW18"/>
      <c r="OFA18"/>
      <c r="OFE18"/>
      <c r="OFI18"/>
      <c r="OFM18"/>
      <c r="OFQ18"/>
      <c r="OFU18"/>
      <c r="OFY18"/>
      <c r="OGC18"/>
      <c r="OGG18"/>
      <c r="OGK18"/>
      <c r="OGO18"/>
      <c r="OGS18"/>
      <c r="OGW18"/>
      <c r="OHA18"/>
      <c r="OHE18"/>
      <c r="OHI18"/>
      <c r="OHM18"/>
      <c r="OHQ18"/>
      <c r="OHU18"/>
      <c r="OHY18"/>
      <c r="OIC18"/>
      <c r="OIG18"/>
      <c r="OIK18"/>
      <c r="OIO18"/>
      <c r="OIS18"/>
      <c r="OIW18"/>
      <c r="OJA18"/>
      <c r="OJE18"/>
      <c r="OJI18"/>
      <c r="OJM18"/>
      <c r="OJQ18"/>
      <c r="OJU18"/>
      <c r="OJY18"/>
      <c r="OKC18"/>
      <c r="OKG18"/>
      <c r="OKK18"/>
      <c r="OKO18"/>
      <c r="OKS18"/>
      <c r="OKW18"/>
      <c r="OLA18"/>
      <c r="OLE18"/>
      <c r="OLI18"/>
      <c r="OLM18"/>
      <c r="OLQ18"/>
      <c r="OLU18"/>
      <c r="OLY18"/>
      <c r="OMC18"/>
      <c r="OMG18"/>
      <c r="OMK18"/>
      <c r="OMO18"/>
      <c r="OMS18"/>
      <c r="OMW18"/>
      <c r="ONA18"/>
      <c r="ONE18"/>
      <c r="ONI18"/>
      <c r="ONM18"/>
      <c r="ONQ18"/>
      <c r="ONU18"/>
      <c r="ONY18"/>
      <c r="OOC18"/>
      <c r="OOG18"/>
      <c r="OOK18"/>
      <c r="OOO18"/>
      <c r="OOS18"/>
      <c r="OOW18"/>
      <c r="OPA18"/>
      <c r="OPE18"/>
      <c r="OPI18"/>
      <c r="OPM18"/>
      <c r="OPQ18"/>
      <c r="OPU18"/>
      <c r="OPY18"/>
      <c r="OQC18"/>
      <c r="OQG18"/>
      <c r="OQK18"/>
      <c r="OQO18"/>
      <c r="OQS18"/>
      <c r="OQW18"/>
      <c r="ORA18"/>
      <c r="ORE18"/>
      <c r="ORI18"/>
      <c r="ORM18"/>
      <c r="ORQ18"/>
      <c r="ORU18"/>
      <c r="ORY18"/>
      <c r="OSC18"/>
      <c r="OSG18"/>
      <c r="OSK18"/>
      <c r="OSO18"/>
      <c r="OSS18"/>
      <c r="OSW18"/>
      <c r="OTA18"/>
      <c r="OTE18"/>
      <c r="OTI18"/>
      <c r="OTM18"/>
      <c r="OTQ18"/>
      <c r="OTU18"/>
      <c r="OTY18"/>
      <c r="OUC18"/>
      <c r="OUG18"/>
      <c r="OUK18"/>
      <c r="OUO18"/>
      <c r="OUS18"/>
      <c r="OUW18"/>
      <c r="OVA18"/>
      <c r="OVE18"/>
      <c r="OVI18"/>
      <c r="OVM18"/>
      <c r="OVQ18"/>
      <c r="OVU18"/>
      <c r="OVY18"/>
      <c r="OWC18"/>
      <c r="OWG18"/>
      <c r="OWK18"/>
      <c r="OWO18"/>
      <c r="OWS18"/>
      <c r="OWW18"/>
      <c r="OXA18"/>
      <c r="OXE18"/>
      <c r="OXI18"/>
      <c r="OXM18"/>
      <c r="OXQ18"/>
      <c r="OXU18"/>
      <c r="OXY18"/>
      <c r="OYC18"/>
      <c r="OYG18"/>
      <c r="OYK18"/>
      <c r="OYO18"/>
      <c r="OYS18"/>
      <c r="OYW18"/>
      <c r="OZA18"/>
      <c r="OZE18"/>
      <c r="OZI18"/>
      <c r="OZM18"/>
      <c r="OZQ18"/>
      <c r="OZU18"/>
      <c r="OZY18"/>
      <c r="PAC18"/>
      <c r="PAG18"/>
      <c r="PAK18"/>
      <c r="PAO18"/>
      <c r="PAS18"/>
      <c r="PAW18"/>
      <c r="PBA18"/>
      <c r="PBE18"/>
      <c r="PBI18"/>
      <c r="PBM18"/>
      <c r="PBQ18"/>
      <c r="PBU18"/>
      <c r="PBY18"/>
      <c r="PCC18"/>
      <c r="PCG18"/>
      <c r="PCK18"/>
      <c r="PCO18"/>
      <c r="PCS18"/>
      <c r="PCW18"/>
      <c r="PDA18"/>
      <c r="PDE18"/>
      <c r="PDI18"/>
      <c r="PDM18"/>
      <c r="PDQ18"/>
      <c r="PDU18"/>
      <c r="PDY18"/>
      <c r="PEC18"/>
      <c r="PEG18"/>
      <c r="PEK18"/>
      <c r="PEO18"/>
      <c r="PES18"/>
      <c r="PEW18"/>
      <c r="PFA18"/>
      <c r="PFE18"/>
      <c r="PFI18"/>
      <c r="PFM18"/>
      <c r="PFQ18"/>
      <c r="PFU18"/>
      <c r="PFY18"/>
      <c r="PGC18"/>
      <c r="PGG18"/>
      <c r="PGK18"/>
      <c r="PGO18"/>
      <c r="PGS18"/>
      <c r="PGW18"/>
      <c r="PHA18"/>
      <c r="PHE18"/>
      <c r="PHI18"/>
      <c r="PHM18"/>
      <c r="PHQ18"/>
      <c r="PHU18"/>
      <c r="PHY18"/>
      <c r="PIC18"/>
      <c r="PIG18"/>
      <c r="PIK18"/>
      <c r="PIO18"/>
      <c r="PIS18"/>
      <c r="PIW18"/>
      <c r="PJA18"/>
      <c r="PJE18"/>
      <c r="PJI18"/>
      <c r="PJM18"/>
      <c r="PJQ18"/>
      <c r="PJU18"/>
      <c r="PJY18"/>
      <c r="PKC18"/>
      <c r="PKG18"/>
      <c r="PKK18"/>
      <c r="PKO18"/>
      <c r="PKS18"/>
      <c r="PKW18"/>
      <c r="PLA18"/>
      <c r="PLE18"/>
      <c r="PLI18"/>
      <c r="PLM18"/>
      <c r="PLQ18"/>
      <c r="PLU18"/>
      <c r="PLY18"/>
      <c r="PMC18"/>
      <c r="PMG18"/>
      <c r="PMK18"/>
      <c r="PMO18"/>
      <c r="PMS18"/>
      <c r="PMW18"/>
      <c r="PNA18"/>
      <c r="PNE18"/>
      <c r="PNI18"/>
      <c r="PNM18"/>
      <c r="PNQ18"/>
      <c r="PNU18"/>
      <c r="PNY18"/>
      <c r="POC18"/>
      <c r="POG18"/>
      <c r="POK18"/>
      <c r="POO18"/>
      <c r="POS18"/>
      <c r="POW18"/>
      <c r="PPA18"/>
      <c r="PPE18"/>
      <c r="PPI18"/>
      <c r="PPM18"/>
      <c r="PPQ18"/>
      <c r="PPU18"/>
      <c r="PPY18"/>
      <c r="PQC18"/>
      <c r="PQG18"/>
      <c r="PQK18"/>
      <c r="PQO18"/>
      <c r="PQS18"/>
      <c r="PQW18"/>
      <c r="PRA18"/>
      <c r="PRE18"/>
      <c r="PRI18"/>
      <c r="PRM18"/>
      <c r="PRQ18"/>
      <c r="PRU18"/>
      <c r="PRY18"/>
      <c r="PSC18"/>
      <c r="PSG18"/>
      <c r="PSK18"/>
      <c r="PSO18"/>
      <c r="PSS18"/>
      <c r="PSW18"/>
      <c r="PTA18"/>
      <c r="PTE18"/>
      <c r="PTI18"/>
      <c r="PTM18"/>
      <c r="PTQ18"/>
      <c r="PTU18"/>
      <c r="PTY18"/>
      <c r="PUC18"/>
      <c r="PUG18"/>
      <c r="PUK18"/>
      <c r="PUO18"/>
      <c r="PUS18"/>
      <c r="PUW18"/>
      <c r="PVA18"/>
      <c r="PVE18"/>
      <c r="PVI18"/>
      <c r="PVM18"/>
      <c r="PVQ18"/>
      <c r="PVU18"/>
      <c r="PVY18"/>
      <c r="PWC18"/>
      <c r="PWG18"/>
      <c r="PWK18"/>
      <c r="PWO18"/>
      <c r="PWS18"/>
      <c r="PWW18"/>
      <c r="PXA18"/>
      <c r="PXE18"/>
      <c r="PXI18"/>
      <c r="PXM18"/>
      <c r="PXQ18"/>
      <c r="PXU18"/>
      <c r="PXY18"/>
      <c r="PYC18"/>
      <c r="PYG18"/>
      <c r="PYK18"/>
      <c r="PYO18"/>
      <c r="PYS18"/>
      <c r="PYW18"/>
      <c r="PZA18"/>
      <c r="PZE18"/>
      <c r="PZI18"/>
      <c r="PZM18"/>
      <c r="PZQ18"/>
      <c r="PZU18"/>
      <c r="PZY18"/>
      <c r="QAC18"/>
      <c r="QAG18"/>
      <c r="QAK18"/>
      <c r="QAO18"/>
      <c r="QAS18"/>
      <c r="QAW18"/>
      <c r="QBA18"/>
      <c r="QBE18"/>
      <c r="QBI18"/>
      <c r="QBM18"/>
      <c r="QBQ18"/>
      <c r="QBU18"/>
      <c r="QBY18"/>
      <c r="QCC18"/>
      <c r="QCG18"/>
      <c r="QCK18"/>
      <c r="QCO18"/>
      <c r="QCS18"/>
      <c r="QCW18"/>
      <c r="QDA18"/>
      <c r="QDE18"/>
      <c r="QDI18"/>
      <c r="QDM18"/>
      <c r="QDQ18"/>
      <c r="QDU18"/>
      <c r="QDY18"/>
      <c r="QEC18"/>
      <c r="QEG18"/>
      <c r="QEK18"/>
      <c r="QEO18"/>
      <c r="QES18"/>
      <c r="QEW18"/>
      <c r="QFA18"/>
      <c r="QFE18"/>
      <c r="QFI18"/>
      <c r="QFM18"/>
      <c r="QFQ18"/>
      <c r="QFU18"/>
      <c r="QFY18"/>
      <c r="QGC18"/>
      <c r="QGG18"/>
      <c r="QGK18"/>
      <c r="QGO18"/>
      <c r="QGS18"/>
      <c r="QGW18"/>
      <c r="QHA18"/>
      <c r="QHE18"/>
      <c r="QHI18"/>
      <c r="QHM18"/>
      <c r="QHQ18"/>
      <c r="QHU18"/>
      <c r="QHY18"/>
      <c r="QIC18"/>
      <c r="QIG18"/>
      <c r="QIK18"/>
      <c r="QIO18"/>
      <c r="QIS18"/>
      <c r="QIW18"/>
      <c r="QJA18"/>
      <c r="QJE18"/>
      <c r="QJI18"/>
      <c r="QJM18"/>
      <c r="QJQ18"/>
      <c r="QJU18"/>
      <c r="QJY18"/>
      <c r="QKC18"/>
      <c r="QKG18"/>
      <c r="QKK18"/>
      <c r="QKO18"/>
      <c r="QKS18"/>
      <c r="QKW18"/>
      <c r="QLA18"/>
      <c r="QLE18"/>
      <c r="QLI18"/>
      <c r="QLM18"/>
      <c r="QLQ18"/>
      <c r="QLU18"/>
      <c r="QLY18"/>
      <c r="QMC18"/>
      <c r="QMG18"/>
      <c r="QMK18"/>
      <c r="QMO18"/>
      <c r="QMS18"/>
      <c r="QMW18"/>
      <c r="QNA18"/>
      <c r="QNE18"/>
      <c r="QNI18"/>
      <c r="QNM18"/>
      <c r="QNQ18"/>
      <c r="QNU18"/>
      <c r="QNY18"/>
      <c r="QOC18"/>
      <c r="QOG18"/>
      <c r="QOK18"/>
      <c r="QOO18"/>
      <c r="QOS18"/>
      <c r="QOW18"/>
      <c r="QPA18"/>
      <c r="QPE18"/>
      <c r="QPI18"/>
      <c r="QPM18"/>
      <c r="QPQ18"/>
      <c r="QPU18"/>
      <c r="QPY18"/>
      <c r="QQC18"/>
      <c r="QQG18"/>
      <c r="QQK18"/>
      <c r="QQO18"/>
      <c r="QQS18"/>
      <c r="QQW18"/>
      <c r="QRA18"/>
      <c r="QRE18"/>
      <c r="QRI18"/>
      <c r="QRM18"/>
      <c r="QRQ18"/>
      <c r="QRU18"/>
      <c r="QRY18"/>
      <c r="QSC18"/>
      <c r="QSG18"/>
      <c r="QSK18"/>
      <c r="QSO18"/>
      <c r="QSS18"/>
      <c r="QSW18"/>
      <c r="QTA18"/>
      <c r="QTE18"/>
      <c r="QTI18"/>
      <c r="QTM18"/>
      <c r="QTQ18"/>
      <c r="QTU18"/>
      <c r="QTY18"/>
      <c r="QUC18"/>
      <c r="QUG18"/>
      <c r="QUK18"/>
      <c r="QUO18"/>
      <c r="QUS18"/>
      <c r="QUW18"/>
      <c r="QVA18"/>
      <c r="QVE18"/>
      <c r="QVI18"/>
      <c r="QVM18"/>
      <c r="QVQ18"/>
      <c r="QVU18"/>
      <c r="QVY18"/>
      <c r="QWC18"/>
      <c r="QWG18"/>
      <c r="QWK18"/>
      <c r="QWO18"/>
      <c r="QWS18"/>
      <c r="QWW18"/>
      <c r="QXA18"/>
      <c r="QXE18"/>
      <c r="QXI18"/>
      <c r="QXM18"/>
      <c r="QXQ18"/>
      <c r="QXU18"/>
      <c r="QXY18"/>
      <c r="QYC18"/>
      <c r="QYG18"/>
      <c r="QYK18"/>
      <c r="QYO18"/>
      <c r="QYS18"/>
      <c r="QYW18"/>
      <c r="QZA18"/>
      <c r="QZE18"/>
      <c r="QZI18"/>
      <c r="QZM18"/>
      <c r="QZQ18"/>
      <c r="QZU18"/>
      <c r="QZY18"/>
      <c r="RAC18"/>
      <c r="RAG18"/>
      <c r="RAK18"/>
      <c r="RAO18"/>
      <c r="RAS18"/>
      <c r="RAW18"/>
      <c r="RBA18"/>
      <c r="RBE18"/>
      <c r="RBI18"/>
      <c r="RBM18"/>
      <c r="RBQ18"/>
      <c r="RBU18"/>
      <c r="RBY18"/>
      <c r="RCC18"/>
      <c r="RCG18"/>
      <c r="RCK18"/>
      <c r="RCO18"/>
      <c r="RCS18"/>
      <c r="RCW18"/>
      <c r="RDA18"/>
      <c r="RDE18"/>
      <c r="RDI18"/>
      <c r="RDM18"/>
      <c r="RDQ18"/>
      <c r="RDU18"/>
      <c r="RDY18"/>
      <c r="REC18"/>
      <c r="REG18"/>
      <c r="REK18"/>
      <c r="REO18"/>
      <c r="RES18"/>
      <c r="REW18"/>
      <c r="RFA18"/>
      <c r="RFE18"/>
      <c r="RFI18"/>
      <c r="RFM18"/>
      <c r="RFQ18"/>
      <c r="RFU18"/>
      <c r="RFY18"/>
      <c r="RGC18"/>
      <c r="RGG18"/>
      <c r="RGK18"/>
      <c r="RGO18"/>
      <c r="RGS18"/>
      <c r="RGW18"/>
      <c r="RHA18"/>
      <c r="RHE18"/>
      <c r="RHI18"/>
      <c r="RHM18"/>
      <c r="RHQ18"/>
      <c r="RHU18"/>
      <c r="RHY18"/>
      <c r="RIC18"/>
      <c r="RIG18"/>
      <c r="RIK18"/>
      <c r="RIO18"/>
      <c r="RIS18"/>
      <c r="RIW18"/>
      <c r="RJA18"/>
      <c r="RJE18"/>
      <c r="RJI18"/>
      <c r="RJM18"/>
      <c r="RJQ18"/>
      <c r="RJU18"/>
      <c r="RJY18"/>
      <c r="RKC18"/>
      <c r="RKG18"/>
      <c r="RKK18"/>
      <c r="RKO18"/>
      <c r="RKS18"/>
      <c r="RKW18"/>
      <c r="RLA18"/>
      <c r="RLE18"/>
      <c r="RLI18"/>
      <c r="RLM18"/>
      <c r="RLQ18"/>
      <c r="RLU18"/>
      <c r="RLY18"/>
      <c r="RMC18"/>
      <c r="RMG18"/>
      <c r="RMK18"/>
      <c r="RMO18"/>
      <c r="RMS18"/>
      <c r="RMW18"/>
      <c r="RNA18"/>
      <c r="RNE18"/>
      <c r="RNI18"/>
      <c r="RNM18"/>
      <c r="RNQ18"/>
      <c r="RNU18"/>
      <c r="RNY18"/>
      <c r="ROC18"/>
      <c r="ROG18"/>
      <c r="ROK18"/>
      <c r="ROO18"/>
      <c r="ROS18"/>
      <c r="ROW18"/>
      <c r="RPA18"/>
      <c r="RPE18"/>
      <c r="RPI18"/>
      <c r="RPM18"/>
      <c r="RPQ18"/>
      <c r="RPU18"/>
      <c r="RPY18"/>
      <c r="RQC18"/>
      <c r="RQG18"/>
      <c r="RQK18"/>
      <c r="RQO18"/>
      <c r="RQS18"/>
      <c r="RQW18"/>
      <c r="RRA18"/>
      <c r="RRE18"/>
      <c r="RRI18"/>
      <c r="RRM18"/>
      <c r="RRQ18"/>
      <c r="RRU18"/>
      <c r="RRY18"/>
      <c r="RSC18"/>
      <c r="RSG18"/>
      <c r="RSK18"/>
      <c r="RSO18"/>
      <c r="RSS18"/>
      <c r="RSW18"/>
      <c r="RTA18"/>
      <c r="RTE18"/>
      <c r="RTI18"/>
      <c r="RTM18"/>
      <c r="RTQ18"/>
      <c r="RTU18"/>
      <c r="RTY18"/>
      <c r="RUC18"/>
      <c r="RUG18"/>
      <c r="RUK18"/>
      <c r="RUO18"/>
      <c r="RUS18"/>
      <c r="RUW18"/>
      <c r="RVA18"/>
      <c r="RVE18"/>
      <c r="RVI18"/>
      <c r="RVM18"/>
      <c r="RVQ18"/>
      <c r="RVU18"/>
      <c r="RVY18"/>
      <c r="RWC18"/>
      <c r="RWG18"/>
      <c r="RWK18"/>
      <c r="RWO18"/>
      <c r="RWS18"/>
      <c r="RWW18"/>
      <c r="RXA18"/>
      <c r="RXE18"/>
      <c r="RXI18"/>
      <c r="RXM18"/>
      <c r="RXQ18"/>
      <c r="RXU18"/>
      <c r="RXY18"/>
      <c r="RYC18"/>
      <c r="RYG18"/>
      <c r="RYK18"/>
      <c r="RYO18"/>
      <c r="RYS18"/>
      <c r="RYW18"/>
      <c r="RZA18"/>
      <c r="RZE18"/>
      <c r="RZI18"/>
      <c r="RZM18"/>
      <c r="RZQ18"/>
      <c r="RZU18"/>
      <c r="RZY18"/>
      <c r="SAC18"/>
      <c r="SAG18"/>
      <c r="SAK18"/>
      <c r="SAO18"/>
      <c r="SAS18"/>
      <c r="SAW18"/>
      <c r="SBA18"/>
      <c r="SBE18"/>
      <c r="SBI18"/>
      <c r="SBM18"/>
      <c r="SBQ18"/>
      <c r="SBU18"/>
      <c r="SBY18"/>
      <c r="SCC18"/>
      <c r="SCG18"/>
      <c r="SCK18"/>
      <c r="SCO18"/>
      <c r="SCS18"/>
      <c r="SCW18"/>
      <c r="SDA18"/>
      <c r="SDE18"/>
      <c r="SDI18"/>
      <c r="SDM18"/>
      <c r="SDQ18"/>
      <c r="SDU18"/>
      <c r="SDY18"/>
      <c r="SEC18"/>
      <c r="SEG18"/>
      <c r="SEK18"/>
      <c r="SEO18"/>
      <c r="SES18"/>
      <c r="SEW18"/>
      <c r="SFA18"/>
      <c r="SFE18"/>
      <c r="SFI18"/>
      <c r="SFM18"/>
      <c r="SFQ18"/>
      <c r="SFU18"/>
      <c r="SFY18"/>
      <c r="SGC18"/>
      <c r="SGG18"/>
      <c r="SGK18"/>
      <c r="SGO18"/>
      <c r="SGS18"/>
      <c r="SGW18"/>
      <c r="SHA18"/>
      <c r="SHE18"/>
      <c r="SHI18"/>
      <c r="SHM18"/>
      <c r="SHQ18"/>
      <c r="SHU18"/>
      <c r="SHY18"/>
      <c r="SIC18"/>
      <c r="SIG18"/>
      <c r="SIK18"/>
      <c r="SIO18"/>
      <c r="SIS18"/>
      <c r="SIW18"/>
      <c r="SJA18"/>
      <c r="SJE18"/>
      <c r="SJI18"/>
      <c r="SJM18"/>
      <c r="SJQ18"/>
      <c r="SJU18"/>
      <c r="SJY18"/>
      <c r="SKC18"/>
      <c r="SKG18"/>
      <c r="SKK18"/>
      <c r="SKO18"/>
      <c r="SKS18"/>
      <c r="SKW18"/>
      <c r="SLA18"/>
      <c r="SLE18"/>
      <c r="SLI18"/>
      <c r="SLM18"/>
      <c r="SLQ18"/>
      <c r="SLU18"/>
      <c r="SLY18"/>
      <c r="SMC18"/>
      <c r="SMG18"/>
      <c r="SMK18"/>
      <c r="SMO18"/>
      <c r="SMS18"/>
      <c r="SMW18"/>
      <c r="SNA18"/>
      <c r="SNE18"/>
      <c r="SNI18"/>
      <c r="SNM18"/>
      <c r="SNQ18"/>
      <c r="SNU18"/>
      <c r="SNY18"/>
      <c r="SOC18"/>
      <c r="SOG18"/>
      <c r="SOK18"/>
      <c r="SOO18"/>
      <c r="SOS18"/>
      <c r="SOW18"/>
      <c r="SPA18"/>
      <c r="SPE18"/>
      <c r="SPI18"/>
      <c r="SPM18"/>
      <c r="SPQ18"/>
      <c r="SPU18"/>
      <c r="SPY18"/>
      <c r="SQC18"/>
      <c r="SQG18"/>
      <c r="SQK18"/>
      <c r="SQO18"/>
      <c r="SQS18"/>
      <c r="SQW18"/>
      <c r="SRA18"/>
      <c r="SRE18"/>
      <c r="SRI18"/>
      <c r="SRM18"/>
      <c r="SRQ18"/>
      <c r="SRU18"/>
      <c r="SRY18"/>
      <c r="SSC18"/>
      <c r="SSG18"/>
      <c r="SSK18"/>
      <c r="SSO18"/>
      <c r="SSS18"/>
      <c r="SSW18"/>
      <c r="STA18"/>
      <c r="STE18"/>
      <c r="STI18"/>
      <c r="STM18"/>
      <c r="STQ18"/>
      <c r="STU18"/>
      <c r="STY18"/>
      <c r="SUC18"/>
      <c r="SUG18"/>
      <c r="SUK18"/>
      <c r="SUO18"/>
      <c r="SUS18"/>
      <c r="SUW18"/>
      <c r="SVA18"/>
      <c r="SVE18"/>
      <c r="SVI18"/>
      <c r="SVM18"/>
      <c r="SVQ18"/>
      <c r="SVU18"/>
      <c r="SVY18"/>
      <c r="SWC18"/>
      <c r="SWG18"/>
      <c r="SWK18"/>
      <c r="SWO18"/>
      <c r="SWS18"/>
      <c r="SWW18"/>
      <c r="SXA18"/>
      <c r="SXE18"/>
      <c r="SXI18"/>
      <c r="SXM18"/>
      <c r="SXQ18"/>
      <c r="SXU18"/>
      <c r="SXY18"/>
      <c r="SYC18"/>
      <c r="SYG18"/>
      <c r="SYK18"/>
      <c r="SYO18"/>
      <c r="SYS18"/>
      <c r="SYW18"/>
      <c r="SZA18"/>
      <c r="SZE18"/>
      <c r="SZI18"/>
      <c r="SZM18"/>
      <c r="SZQ18"/>
      <c r="SZU18"/>
      <c r="SZY18"/>
      <c r="TAC18"/>
      <c r="TAG18"/>
      <c r="TAK18"/>
      <c r="TAO18"/>
      <c r="TAS18"/>
      <c r="TAW18"/>
      <c r="TBA18"/>
      <c r="TBE18"/>
      <c r="TBI18"/>
      <c r="TBM18"/>
      <c r="TBQ18"/>
      <c r="TBU18"/>
      <c r="TBY18"/>
      <c r="TCC18"/>
      <c r="TCG18"/>
      <c r="TCK18"/>
      <c r="TCO18"/>
      <c r="TCS18"/>
      <c r="TCW18"/>
      <c r="TDA18"/>
      <c r="TDE18"/>
      <c r="TDI18"/>
      <c r="TDM18"/>
      <c r="TDQ18"/>
      <c r="TDU18"/>
      <c r="TDY18"/>
      <c r="TEC18"/>
      <c r="TEG18"/>
      <c r="TEK18"/>
      <c r="TEO18"/>
      <c r="TES18"/>
      <c r="TEW18"/>
      <c r="TFA18"/>
      <c r="TFE18"/>
      <c r="TFI18"/>
      <c r="TFM18"/>
      <c r="TFQ18"/>
      <c r="TFU18"/>
      <c r="TFY18"/>
      <c r="TGC18"/>
      <c r="TGG18"/>
      <c r="TGK18"/>
      <c r="TGO18"/>
      <c r="TGS18"/>
      <c r="TGW18"/>
      <c r="THA18"/>
      <c r="THE18"/>
      <c r="THI18"/>
      <c r="THM18"/>
      <c r="THQ18"/>
      <c r="THU18"/>
      <c r="THY18"/>
      <c r="TIC18"/>
      <c r="TIG18"/>
      <c r="TIK18"/>
      <c r="TIO18"/>
      <c r="TIS18"/>
      <c r="TIW18"/>
      <c r="TJA18"/>
      <c r="TJE18"/>
      <c r="TJI18"/>
      <c r="TJM18"/>
      <c r="TJQ18"/>
      <c r="TJU18"/>
      <c r="TJY18"/>
      <c r="TKC18"/>
      <c r="TKG18"/>
      <c r="TKK18"/>
      <c r="TKO18"/>
      <c r="TKS18"/>
      <c r="TKW18"/>
      <c r="TLA18"/>
      <c r="TLE18"/>
      <c r="TLI18"/>
      <c r="TLM18"/>
      <c r="TLQ18"/>
      <c r="TLU18"/>
      <c r="TLY18"/>
      <c r="TMC18"/>
      <c r="TMG18"/>
      <c r="TMK18"/>
      <c r="TMO18"/>
      <c r="TMS18"/>
      <c r="TMW18"/>
      <c r="TNA18"/>
      <c r="TNE18"/>
      <c r="TNI18"/>
      <c r="TNM18"/>
      <c r="TNQ18"/>
      <c r="TNU18"/>
      <c r="TNY18"/>
      <c r="TOC18"/>
      <c r="TOG18"/>
      <c r="TOK18"/>
      <c r="TOO18"/>
      <c r="TOS18"/>
      <c r="TOW18"/>
      <c r="TPA18"/>
      <c r="TPE18"/>
      <c r="TPI18"/>
      <c r="TPM18"/>
      <c r="TPQ18"/>
      <c r="TPU18"/>
      <c r="TPY18"/>
      <c r="TQC18"/>
      <c r="TQG18"/>
      <c r="TQK18"/>
      <c r="TQO18"/>
      <c r="TQS18"/>
      <c r="TQW18"/>
      <c r="TRA18"/>
      <c r="TRE18"/>
      <c r="TRI18"/>
      <c r="TRM18"/>
      <c r="TRQ18"/>
      <c r="TRU18"/>
      <c r="TRY18"/>
      <c r="TSC18"/>
      <c r="TSG18"/>
      <c r="TSK18"/>
      <c r="TSO18"/>
      <c r="TSS18"/>
      <c r="TSW18"/>
      <c r="TTA18"/>
      <c r="TTE18"/>
      <c r="TTI18"/>
      <c r="TTM18"/>
      <c r="TTQ18"/>
      <c r="TTU18"/>
      <c r="TTY18"/>
      <c r="TUC18"/>
      <c r="TUG18"/>
      <c r="TUK18"/>
      <c r="TUO18"/>
      <c r="TUS18"/>
      <c r="TUW18"/>
      <c r="TVA18"/>
      <c r="TVE18"/>
      <c r="TVI18"/>
      <c r="TVM18"/>
      <c r="TVQ18"/>
      <c r="TVU18"/>
      <c r="TVY18"/>
      <c r="TWC18"/>
      <c r="TWG18"/>
      <c r="TWK18"/>
      <c r="TWO18"/>
      <c r="TWS18"/>
      <c r="TWW18"/>
      <c r="TXA18"/>
      <c r="TXE18"/>
      <c r="TXI18"/>
      <c r="TXM18"/>
      <c r="TXQ18"/>
      <c r="TXU18"/>
      <c r="TXY18"/>
      <c r="TYC18"/>
      <c r="TYG18"/>
      <c r="TYK18"/>
      <c r="TYO18"/>
      <c r="TYS18"/>
      <c r="TYW18"/>
      <c r="TZA18"/>
      <c r="TZE18"/>
      <c r="TZI18"/>
      <c r="TZM18"/>
      <c r="TZQ18"/>
      <c r="TZU18"/>
      <c r="TZY18"/>
      <c r="UAC18"/>
      <c r="UAG18"/>
      <c r="UAK18"/>
      <c r="UAO18"/>
      <c r="UAS18"/>
      <c r="UAW18"/>
      <c r="UBA18"/>
      <c r="UBE18"/>
      <c r="UBI18"/>
      <c r="UBM18"/>
      <c r="UBQ18"/>
      <c r="UBU18"/>
      <c r="UBY18"/>
      <c r="UCC18"/>
      <c r="UCG18"/>
      <c r="UCK18"/>
      <c r="UCO18"/>
      <c r="UCS18"/>
      <c r="UCW18"/>
      <c r="UDA18"/>
      <c r="UDE18"/>
      <c r="UDI18"/>
      <c r="UDM18"/>
      <c r="UDQ18"/>
      <c r="UDU18"/>
      <c r="UDY18"/>
      <c r="UEC18"/>
      <c r="UEG18"/>
      <c r="UEK18"/>
      <c r="UEO18"/>
      <c r="UES18"/>
      <c r="UEW18"/>
      <c r="UFA18"/>
      <c r="UFE18"/>
      <c r="UFI18"/>
      <c r="UFM18"/>
      <c r="UFQ18"/>
      <c r="UFU18"/>
      <c r="UFY18"/>
      <c r="UGC18"/>
      <c r="UGG18"/>
      <c r="UGK18"/>
      <c r="UGO18"/>
      <c r="UGS18"/>
      <c r="UGW18"/>
      <c r="UHA18"/>
      <c r="UHE18"/>
      <c r="UHI18"/>
      <c r="UHM18"/>
      <c r="UHQ18"/>
      <c r="UHU18"/>
      <c r="UHY18"/>
      <c r="UIC18"/>
      <c r="UIG18"/>
      <c r="UIK18"/>
      <c r="UIO18"/>
      <c r="UIS18"/>
      <c r="UIW18"/>
      <c r="UJA18"/>
      <c r="UJE18"/>
      <c r="UJI18"/>
      <c r="UJM18"/>
      <c r="UJQ18"/>
      <c r="UJU18"/>
      <c r="UJY18"/>
      <c r="UKC18"/>
      <c r="UKG18"/>
      <c r="UKK18"/>
      <c r="UKO18"/>
      <c r="UKS18"/>
      <c r="UKW18"/>
      <c r="ULA18"/>
      <c r="ULE18"/>
      <c r="ULI18"/>
      <c r="ULM18"/>
      <c r="ULQ18"/>
      <c r="ULU18"/>
      <c r="ULY18"/>
      <c r="UMC18"/>
      <c r="UMG18"/>
      <c r="UMK18"/>
      <c r="UMO18"/>
      <c r="UMS18"/>
      <c r="UMW18"/>
      <c r="UNA18"/>
      <c r="UNE18"/>
      <c r="UNI18"/>
      <c r="UNM18"/>
      <c r="UNQ18"/>
      <c r="UNU18"/>
      <c r="UNY18"/>
      <c r="UOC18"/>
      <c r="UOG18"/>
      <c r="UOK18"/>
      <c r="UOO18"/>
      <c r="UOS18"/>
      <c r="UOW18"/>
      <c r="UPA18"/>
      <c r="UPE18"/>
      <c r="UPI18"/>
      <c r="UPM18"/>
      <c r="UPQ18"/>
      <c r="UPU18"/>
      <c r="UPY18"/>
      <c r="UQC18"/>
      <c r="UQG18"/>
      <c r="UQK18"/>
      <c r="UQO18"/>
      <c r="UQS18"/>
      <c r="UQW18"/>
      <c r="URA18"/>
      <c r="URE18"/>
      <c r="URI18"/>
      <c r="URM18"/>
      <c r="URQ18"/>
      <c r="URU18"/>
      <c r="URY18"/>
      <c r="USC18"/>
      <c r="USG18"/>
      <c r="USK18"/>
      <c r="USO18"/>
      <c r="USS18"/>
      <c r="USW18"/>
      <c r="UTA18"/>
      <c r="UTE18"/>
      <c r="UTI18"/>
      <c r="UTM18"/>
      <c r="UTQ18"/>
      <c r="UTU18"/>
      <c r="UTY18"/>
      <c r="UUC18"/>
      <c r="UUG18"/>
      <c r="UUK18"/>
      <c r="UUO18"/>
      <c r="UUS18"/>
      <c r="UUW18"/>
      <c r="UVA18"/>
      <c r="UVE18"/>
      <c r="UVI18"/>
      <c r="UVM18"/>
      <c r="UVQ18"/>
      <c r="UVU18"/>
      <c r="UVY18"/>
      <c r="UWC18"/>
      <c r="UWG18"/>
      <c r="UWK18"/>
      <c r="UWO18"/>
      <c r="UWS18"/>
      <c r="UWW18"/>
      <c r="UXA18"/>
      <c r="UXE18"/>
      <c r="UXI18"/>
      <c r="UXM18"/>
      <c r="UXQ18"/>
      <c r="UXU18"/>
      <c r="UXY18"/>
      <c r="UYC18"/>
      <c r="UYG18"/>
      <c r="UYK18"/>
      <c r="UYO18"/>
      <c r="UYS18"/>
      <c r="UYW18"/>
      <c r="UZA18"/>
      <c r="UZE18"/>
      <c r="UZI18"/>
      <c r="UZM18"/>
      <c r="UZQ18"/>
      <c r="UZU18"/>
      <c r="UZY18"/>
      <c r="VAC18"/>
      <c r="VAG18"/>
      <c r="VAK18"/>
      <c r="VAO18"/>
      <c r="VAS18"/>
      <c r="VAW18"/>
      <c r="VBA18"/>
      <c r="VBE18"/>
      <c r="VBI18"/>
      <c r="VBM18"/>
      <c r="VBQ18"/>
      <c r="VBU18"/>
      <c r="VBY18"/>
      <c r="VCC18"/>
      <c r="VCG18"/>
      <c r="VCK18"/>
      <c r="VCO18"/>
      <c r="VCS18"/>
      <c r="VCW18"/>
      <c r="VDA18"/>
      <c r="VDE18"/>
      <c r="VDI18"/>
      <c r="VDM18"/>
      <c r="VDQ18"/>
      <c r="VDU18"/>
      <c r="VDY18"/>
      <c r="VEC18"/>
      <c r="VEG18"/>
      <c r="VEK18"/>
      <c r="VEO18"/>
      <c r="VES18"/>
      <c r="VEW18"/>
      <c r="VFA18"/>
      <c r="VFE18"/>
      <c r="VFI18"/>
      <c r="VFM18"/>
      <c r="VFQ18"/>
      <c r="VFU18"/>
      <c r="VFY18"/>
      <c r="VGC18"/>
      <c r="VGG18"/>
      <c r="VGK18"/>
      <c r="VGO18"/>
      <c r="VGS18"/>
      <c r="VGW18"/>
      <c r="VHA18"/>
      <c r="VHE18"/>
      <c r="VHI18"/>
      <c r="VHM18"/>
      <c r="VHQ18"/>
      <c r="VHU18"/>
      <c r="VHY18"/>
      <c r="VIC18"/>
      <c r="VIG18"/>
      <c r="VIK18"/>
      <c r="VIO18"/>
      <c r="VIS18"/>
      <c r="VIW18"/>
      <c r="VJA18"/>
      <c r="VJE18"/>
      <c r="VJI18"/>
      <c r="VJM18"/>
      <c r="VJQ18"/>
      <c r="VJU18"/>
      <c r="VJY18"/>
      <c r="VKC18"/>
      <c r="VKG18"/>
      <c r="VKK18"/>
      <c r="VKO18"/>
      <c r="VKS18"/>
      <c r="VKW18"/>
      <c r="VLA18"/>
      <c r="VLE18"/>
      <c r="VLI18"/>
      <c r="VLM18"/>
      <c r="VLQ18"/>
      <c r="VLU18"/>
      <c r="VLY18"/>
      <c r="VMC18"/>
      <c r="VMG18"/>
      <c r="VMK18"/>
      <c r="VMO18"/>
      <c r="VMS18"/>
      <c r="VMW18"/>
      <c r="VNA18"/>
      <c r="VNE18"/>
      <c r="VNI18"/>
      <c r="VNM18"/>
      <c r="VNQ18"/>
      <c r="VNU18"/>
      <c r="VNY18"/>
      <c r="VOC18"/>
      <c r="VOG18"/>
      <c r="VOK18"/>
      <c r="VOO18"/>
      <c r="VOS18"/>
      <c r="VOW18"/>
      <c r="VPA18"/>
      <c r="VPE18"/>
      <c r="VPI18"/>
      <c r="VPM18"/>
      <c r="VPQ18"/>
      <c r="VPU18"/>
      <c r="VPY18"/>
      <c r="VQC18"/>
      <c r="VQG18"/>
      <c r="VQK18"/>
      <c r="VQO18"/>
      <c r="VQS18"/>
      <c r="VQW18"/>
      <c r="VRA18"/>
      <c r="VRE18"/>
      <c r="VRI18"/>
      <c r="VRM18"/>
      <c r="VRQ18"/>
      <c r="VRU18"/>
      <c r="VRY18"/>
      <c r="VSC18"/>
      <c r="VSG18"/>
      <c r="VSK18"/>
      <c r="VSO18"/>
      <c r="VSS18"/>
      <c r="VSW18"/>
      <c r="VTA18"/>
      <c r="VTE18"/>
      <c r="VTI18"/>
      <c r="VTM18"/>
      <c r="VTQ18"/>
      <c r="VTU18"/>
      <c r="VTY18"/>
      <c r="VUC18"/>
      <c r="VUG18"/>
      <c r="VUK18"/>
      <c r="VUO18"/>
      <c r="VUS18"/>
      <c r="VUW18"/>
      <c r="VVA18"/>
      <c r="VVE18"/>
      <c r="VVI18"/>
      <c r="VVM18"/>
      <c r="VVQ18"/>
      <c r="VVU18"/>
      <c r="VVY18"/>
      <c r="VWC18"/>
      <c r="VWG18"/>
      <c r="VWK18"/>
      <c r="VWO18"/>
      <c r="VWS18"/>
      <c r="VWW18"/>
      <c r="VXA18"/>
      <c r="VXE18"/>
      <c r="VXI18"/>
      <c r="VXM18"/>
      <c r="VXQ18"/>
      <c r="VXU18"/>
      <c r="VXY18"/>
      <c r="VYC18"/>
      <c r="VYG18"/>
      <c r="VYK18"/>
      <c r="VYO18"/>
      <c r="VYS18"/>
      <c r="VYW18"/>
      <c r="VZA18"/>
      <c r="VZE18"/>
      <c r="VZI18"/>
      <c r="VZM18"/>
      <c r="VZQ18"/>
      <c r="VZU18"/>
      <c r="VZY18"/>
      <c r="WAC18"/>
      <c r="WAG18"/>
      <c r="WAK18"/>
      <c r="WAO18"/>
      <c r="WAS18"/>
      <c r="WAW18"/>
      <c r="WBA18"/>
      <c r="WBE18"/>
      <c r="WBI18"/>
      <c r="WBM18"/>
      <c r="WBQ18"/>
      <c r="WBU18"/>
      <c r="WBY18"/>
      <c r="WCC18"/>
      <c r="WCG18"/>
      <c r="WCK18"/>
      <c r="WCO18"/>
      <c r="WCS18"/>
      <c r="WCW18"/>
      <c r="WDA18"/>
      <c r="WDE18"/>
      <c r="WDI18"/>
      <c r="WDM18"/>
      <c r="WDQ18"/>
      <c r="WDU18"/>
      <c r="WDY18"/>
      <c r="WEC18"/>
      <c r="WEG18"/>
      <c r="WEK18"/>
      <c r="WEO18"/>
      <c r="WES18"/>
      <c r="WEW18"/>
      <c r="WFA18"/>
      <c r="WFE18"/>
      <c r="WFI18"/>
      <c r="WFM18"/>
      <c r="WFQ18"/>
      <c r="WFU18"/>
      <c r="WFY18"/>
      <c r="WGC18"/>
      <c r="WGG18"/>
      <c r="WGK18"/>
      <c r="WGO18"/>
      <c r="WGS18"/>
      <c r="WGW18"/>
      <c r="WHA18"/>
      <c r="WHE18"/>
      <c r="WHI18"/>
      <c r="WHM18"/>
      <c r="WHQ18"/>
      <c r="WHU18"/>
      <c r="WHY18"/>
      <c r="WIC18"/>
      <c r="WIG18"/>
      <c r="WIK18"/>
      <c r="WIO18"/>
      <c r="WIS18"/>
      <c r="WIW18"/>
      <c r="WJA18"/>
      <c r="WJE18"/>
      <c r="WJI18"/>
      <c r="WJM18"/>
      <c r="WJQ18"/>
      <c r="WJU18"/>
      <c r="WJY18"/>
      <c r="WKC18"/>
      <c r="WKG18"/>
      <c r="WKK18"/>
      <c r="WKO18"/>
      <c r="WKS18"/>
      <c r="WKW18"/>
      <c r="WLA18"/>
      <c r="WLE18"/>
      <c r="WLI18"/>
      <c r="WLM18"/>
      <c r="WLQ18"/>
      <c r="WLU18"/>
      <c r="WLY18"/>
      <c r="WMC18"/>
      <c r="WMG18"/>
      <c r="WMK18"/>
      <c r="WMO18"/>
      <c r="WMS18"/>
      <c r="WMW18"/>
      <c r="WNA18"/>
      <c r="WNE18"/>
      <c r="WNI18"/>
      <c r="WNM18"/>
      <c r="WNQ18"/>
      <c r="WNU18"/>
      <c r="WNY18"/>
      <c r="WOC18"/>
      <c r="WOG18"/>
      <c r="WOK18"/>
      <c r="WOO18"/>
      <c r="WOS18"/>
      <c r="WOW18"/>
      <c r="WPA18"/>
      <c r="WPE18"/>
      <c r="WPI18"/>
      <c r="WPM18"/>
      <c r="WPQ18"/>
      <c r="WPU18"/>
      <c r="WPY18"/>
      <c r="WQC18"/>
      <c r="WQG18"/>
      <c r="WQK18"/>
      <c r="WQO18"/>
      <c r="WQS18"/>
      <c r="WQW18"/>
      <c r="WRA18"/>
      <c r="WRE18"/>
      <c r="WRI18"/>
      <c r="WRM18"/>
      <c r="WRQ18"/>
      <c r="WRU18"/>
      <c r="WRY18"/>
      <c r="WSC18"/>
      <c r="WSG18"/>
      <c r="WSK18"/>
      <c r="WSO18"/>
      <c r="WSS18"/>
      <c r="WSW18"/>
      <c r="WTA18"/>
      <c r="WTE18"/>
      <c r="WTI18"/>
      <c r="WTM18"/>
      <c r="WTQ18"/>
      <c r="WTU18"/>
      <c r="WTY18"/>
      <c r="WUC18"/>
      <c r="WUG18"/>
      <c r="WUK18"/>
      <c r="WUO18"/>
      <c r="WUS18"/>
      <c r="WUW18"/>
      <c r="WVA18"/>
      <c r="WVE18"/>
      <c r="WVI18"/>
      <c r="WVM18"/>
      <c r="WVQ18"/>
      <c r="WVU18"/>
      <c r="WVY18"/>
      <c r="WWC18"/>
      <c r="WWG18"/>
      <c r="WWK18"/>
      <c r="WWO18"/>
      <c r="WWS18"/>
      <c r="WWW18"/>
      <c r="WXA18"/>
      <c r="WXE18"/>
      <c r="WXI18"/>
      <c r="WXM18"/>
      <c r="WXQ18"/>
      <c r="WXU18"/>
      <c r="WXY18"/>
      <c r="WYC18"/>
      <c r="WYG18"/>
      <c r="WYK18"/>
      <c r="WYO18"/>
      <c r="WYS18"/>
      <c r="WYW18"/>
      <c r="WZA18"/>
      <c r="WZE18"/>
      <c r="WZI18"/>
      <c r="WZM18"/>
      <c r="WZQ18"/>
      <c r="WZU18"/>
      <c r="WZY18"/>
      <c r="XAC18"/>
      <c r="XAG18"/>
      <c r="XAK18"/>
      <c r="XAO18"/>
      <c r="XAS18"/>
      <c r="XAW18"/>
      <c r="XBA18"/>
      <c r="XBE18"/>
      <c r="XBI18"/>
      <c r="XBM18"/>
      <c r="XBQ18"/>
      <c r="XBU18"/>
      <c r="XBY18"/>
      <c r="XCC18"/>
      <c r="XCG18"/>
      <c r="XCK18"/>
      <c r="XCO18"/>
      <c r="XCS18"/>
      <c r="XCW18"/>
      <c r="XDA18"/>
      <c r="XDE18"/>
      <c r="XDI18"/>
      <c r="XDM18"/>
      <c r="XDQ18"/>
      <c r="XDU18"/>
      <c r="XDY18"/>
      <c r="XEC18"/>
      <c r="XEG18"/>
      <c r="XEK18"/>
      <c r="XEO18"/>
      <c r="XES18"/>
      <c r="XEW18"/>
      <c r="XFA18"/>
    </row>
    <row r="19" spans="1:1021 1025:2045 2049:3069 3073:4093 4097:5117 5121:6141 6145:7165 7169:8189 8193:9213 9217:10237 10241:11261 11265:12285 12289:13309 13313:14333 14337:15357 15361:16381" s="1" customFormat="1" x14ac:dyDescent="0.35">
      <c r="A19" s="21">
        <v>1</v>
      </c>
      <c r="B19" s="21">
        <v>15</v>
      </c>
      <c r="C19" s="1" t="str">
        <f xml:space="preserve"> IF('Master Player List'!L17=1,'Master Player List'!C17,"")</f>
        <v/>
      </c>
      <c r="D19" s="1" t="str">
        <f xml:space="preserve"> IF('Master Player List'!L17=1,'Master Player List'!F17,"")</f>
        <v/>
      </c>
      <c r="E19" s="21" t="str">
        <f xml:space="preserve"> IF('Master Player List'!L17=1,'Master Player List'!I17,"")</f>
        <v/>
      </c>
      <c r="F19" s="22"/>
      <c r="I19" s="21"/>
      <c r="J19" s="22"/>
      <c r="M19"/>
      <c r="N19"/>
      <c r="Q19"/>
      <c r="U19"/>
      <c r="Y19"/>
      <c r="AC19"/>
      <c r="AG19"/>
      <c r="AK19"/>
      <c r="AO19"/>
      <c r="AS19"/>
      <c r="AW19"/>
      <c r="BA19"/>
      <c r="BE19"/>
      <c r="BI19"/>
      <c r="BM19"/>
      <c r="BQ19"/>
      <c r="BU19"/>
      <c r="BY19"/>
      <c r="CC19"/>
      <c r="CG19"/>
      <c r="CK19"/>
      <c r="CO19"/>
      <c r="CS19"/>
      <c r="CW19"/>
      <c r="DA19"/>
      <c r="DE19"/>
      <c r="DI19"/>
      <c r="DM19"/>
      <c r="DQ19"/>
      <c r="DU19"/>
      <c r="DY19"/>
      <c r="EC19"/>
      <c r="EG19"/>
      <c r="EK19"/>
      <c r="EO19"/>
      <c r="ES19"/>
      <c r="EW19"/>
      <c r="FA19"/>
      <c r="FE19"/>
      <c r="FI19"/>
      <c r="FM19"/>
      <c r="FQ19"/>
      <c r="FU19"/>
      <c r="FY19"/>
      <c r="GC19"/>
      <c r="GG19"/>
      <c r="GK19"/>
      <c r="GO19"/>
      <c r="GS19"/>
      <c r="GW19"/>
      <c r="HA19"/>
      <c r="HE19"/>
      <c r="HI19"/>
      <c r="HM19"/>
      <c r="HQ19"/>
      <c r="HU19"/>
      <c r="HY19"/>
      <c r="IC19"/>
      <c r="IG19"/>
      <c r="IK19"/>
      <c r="IO19"/>
      <c r="IS19"/>
      <c r="IW19"/>
      <c r="JA19"/>
      <c r="JE19"/>
      <c r="JI19"/>
      <c r="JM19"/>
      <c r="JQ19"/>
      <c r="JU19"/>
      <c r="JY19"/>
      <c r="KC19"/>
      <c r="KG19"/>
      <c r="KK19"/>
      <c r="KO19"/>
      <c r="KS19"/>
      <c r="KW19"/>
      <c r="LA19"/>
      <c r="LE19"/>
      <c r="LI19"/>
      <c r="LM19"/>
      <c r="LQ19"/>
      <c r="LU19"/>
      <c r="LY19"/>
      <c r="MC19"/>
      <c r="MG19"/>
      <c r="MK19"/>
      <c r="MO19"/>
      <c r="MS19"/>
      <c r="MW19"/>
      <c r="NA19"/>
      <c r="NE19"/>
      <c r="NI19"/>
      <c r="NM19"/>
      <c r="NQ19"/>
      <c r="NU19"/>
      <c r="NY19"/>
      <c r="OC19"/>
      <c r="OG19"/>
      <c r="OK19"/>
      <c r="OO19"/>
      <c r="OS19"/>
      <c r="OW19"/>
      <c r="PA19"/>
      <c r="PE19"/>
      <c r="PI19"/>
      <c r="PM19"/>
      <c r="PQ19"/>
      <c r="PU19"/>
      <c r="PY19"/>
      <c r="QC19"/>
      <c r="QG19"/>
      <c r="QK19"/>
      <c r="QO19"/>
      <c r="QS19"/>
      <c r="QW19"/>
      <c r="RA19"/>
      <c r="RE19"/>
      <c r="RI19"/>
      <c r="RM19"/>
      <c r="RQ19"/>
      <c r="RU19"/>
      <c r="RY19"/>
      <c r="SC19"/>
      <c r="SG19"/>
      <c r="SK19"/>
      <c r="SO19"/>
      <c r="SS19"/>
      <c r="SW19"/>
      <c r="TA19"/>
      <c r="TE19"/>
      <c r="TI19"/>
      <c r="TM19"/>
      <c r="TQ19"/>
      <c r="TU19"/>
      <c r="TY19"/>
      <c r="UC19"/>
      <c r="UG19"/>
      <c r="UK19"/>
      <c r="UO19"/>
      <c r="US19"/>
      <c r="UW19"/>
      <c r="VA19"/>
      <c r="VE19"/>
      <c r="VI19"/>
      <c r="VM19"/>
      <c r="VQ19"/>
      <c r="VU19"/>
      <c r="VY19"/>
      <c r="WC19"/>
      <c r="WG19"/>
      <c r="WK19"/>
      <c r="WO19"/>
      <c r="WS19"/>
      <c r="WW19"/>
      <c r="XA19"/>
      <c r="XE19"/>
      <c r="XI19"/>
      <c r="XM19"/>
      <c r="XQ19"/>
      <c r="XU19"/>
      <c r="XY19"/>
      <c r="YC19"/>
      <c r="YG19"/>
      <c r="YK19"/>
      <c r="YO19"/>
      <c r="YS19"/>
      <c r="YW19"/>
      <c r="ZA19"/>
      <c r="ZE19"/>
      <c r="ZI19"/>
      <c r="ZM19"/>
      <c r="ZQ19"/>
      <c r="ZU19"/>
      <c r="ZY19"/>
      <c r="AAC19"/>
      <c r="AAG19"/>
      <c r="AAK19"/>
      <c r="AAO19"/>
      <c r="AAS19"/>
      <c r="AAW19"/>
      <c r="ABA19"/>
      <c r="ABE19"/>
      <c r="ABI19"/>
      <c r="ABM19"/>
      <c r="ABQ19"/>
      <c r="ABU19"/>
      <c r="ABY19"/>
      <c r="ACC19"/>
      <c r="ACG19"/>
      <c r="ACK19"/>
      <c r="ACO19"/>
      <c r="ACS19"/>
      <c r="ACW19"/>
      <c r="ADA19"/>
      <c r="ADE19"/>
      <c r="ADI19"/>
      <c r="ADM19"/>
      <c r="ADQ19"/>
      <c r="ADU19"/>
      <c r="ADY19"/>
      <c r="AEC19"/>
      <c r="AEG19"/>
      <c r="AEK19"/>
      <c r="AEO19"/>
      <c r="AES19"/>
      <c r="AEW19"/>
      <c r="AFA19"/>
      <c r="AFE19"/>
      <c r="AFI19"/>
      <c r="AFM19"/>
      <c r="AFQ19"/>
      <c r="AFU19"/>
      <c r="AFY19"/>
      <c r="AGC19"/>
      <c r="AGG19"/>
      <c r="AGK19"/>
      <c r="AGO19"/>
      <c r="AGS19"/>
      <c r="AGW19"/>
      <c r="AHA19"/>
      <c r="AHE19"/>
      <c r="AHI19"/>
      <c r="AHM19"/>
      <c r="AHQ19"/>
      <c r="AHU19"/>
      <c r="AHY19"/>
      <c r="AIC19"/>
      <c r="AIG19"/>
      <c r="AIK19"/>
      <c r="AIO19"/>
      <c r="AIS19"/>
      <c r="AIW19"/>
      <c r="AJA19"/>
      <c r="AJE19"/>
      <c r="AJI19"/>
      <c r="AJM19"/>
      <c r="AJQ19"/>
      <c r="AJU19"/>
      <c r="AJY19"/>
      <c r="AKC19"/>
      <c r="AKG19"/>
      <c r="AKK19"/>
      <c r="AKO19"/>
      <c r="AKS19"/>
      <c r="AKW19"/>
      <c r="ALA19"/>
      <c r="ALE19"/>
      <c r="ALI19"/>
      <c r="ALM19"/>
      <c r="ALQ19"/>
      <c r="ALU19"/>
      <c r="ALY19"/>
      <c r="AMC19"/>
      <c r="AMG19"/>
      <c r="AMK19"/>
      <c r="AMO19"/>
      <c r="AMS19"/>
      <c r="AMW19"/>
      <c r="ANA19"/>
      <c r="ANE19"/>
      <c r="ANI19"/>
      <c r="ANM19"/>
      <c r="ANQ19"/>
      <c r="ANU19"/>
      <c r="ANY19"/>
      <c r="AOC19"/>
      <c r="AOG19"/>
      <c r="AOK19"/>
      <c r="AOO19"/>
      <c r="AOS19"/>
      <c r="AOW19"/>
      <c r="APA19"/>
      <c r="APE19"/>
      <c r="API19"/>
      <c r="APM19"/>
      <c r="APQ19"/>
      <c r="APU19"/>
      <c r="APY19"/>
      <c r="AQC19"/>
      <c r="AQG19"/>
      <c r="AQK19"/>
      <c r="AQO19"/>
      <c r="AQS19"/>
      <c r="AQW19"/>
      <c r="ARA19"/>
      <c r="ARE19"/>
      <c r="ARI19"/>
      <c r="ARM19"/>
      <c r="ARQ19"/>
      <c r="ARU19"/>
      <c r="ARY19"/>
      <c r="ASC19"/>
      <c r="ASG19"/>
      <c r="ASK19"/>
      <c r="ASO19"/>
      <c r="ASS19"/>
      <c r="ASW19"/>
      <c r="ATA19"/>
      <c r="ATE19"/>
      <c r="ATI19"/>
      <c r="ATM19"/>
      <c r="ATQ19"/>
      <c r="ATU19"/>
      <c r="ATY19"/>
      <c r="AUC19"/>
      <c r="AUG19"/>
      <c r="AUK19"/>
      <c r="AUO19"/>
      <c r="AUS19"/>
      <c r="AUW19"/>
      <c r="AVA19"/>
      <c r="AVE19"/>
      <c r="AVI19"/>
      <c r="AVM19"/>
      <c r="AVQ19"/>
      <c r="AVU19"/>
      <c r="AVY19"/>
      <c r="AWC19"/>
      <c r="AWG19"/>
      <c r="AWK19"/>
      <c r="AWO19"/>
      <c r="AWS19"/>
      <c r="AWW19"/>
      <c r="AXA19"/>
      <c r="AXE19"/>
      <c r="AXI19"/>
      <c r="AXM19"/>
      <c r="AXQ19"/>
      <c r="AXU19"/>
      <c r="AXY19"/>
      <c r="AYC19"/>
      <c r="AYG19"/>
      <c r="AYK19"/>
      <c r="AYO19"/>
      <c r="AYS19"/>
      <c r="AYW19"/>
      <c r="AZA19"/>
      <c r="AZE19"/>
      <c r="AZI19"/>
      <c r="AZM19"/>
      <c r="AZQ19"/>
      <c r="AZU19"/>
      <c r="AZY19"/>
      <c r="BAC19"/>
      <c r="BAG19"/>
      <c r="BAK19"/>
      <c r="BAO19"/>
      <c r="BAS19"/>
      <c r="BAW19"/>
      <c r="BBA19"/>
      <c r="BBE19"/>
      <c r="BBI19"/>
      <c r="BBM19"/>
      <c r="BBQ19"/>
      <c r="BBU19"/>
      <c r="BBY19"/>
      <c r="BCC19"/>
      <c r="BCG19"/>
      <c r="BCK19"/>
      <c r="BCO19"/>
      <c r="BCS19"/>
      <c r="BCW19"/>
      <c r="BDA19"/>
      <c r="BDE19"/>
      <c r="BDI19"/>
      <c r="BDM19"/>
      <c r="BDQ19"/>
      <c r="BDU19"/>
      <c r="BDY19"/>
      <c r="BEC19"/>
      <c r="BEG19"/>
      <c r="BEK19"/>
      <c r="BEO19"/>
      <c r="BES19"/>
      <c r="BEW19"/>
      <c r="BFA19"/>
      <c r="BFE19"/>
      <c r="BFI19"/>
      <c r="BFM19"/>
      <c r="BFQ19"/>
      <c r="BFU19"/>
      <c r="BFY19"/>
      <c r="BGC19"/>
      <c r="BGG19"/>
      <c r="BGK19"/>
      <c r="BGO19"/>
      <c r="BGS19"/>
      <c r="BGW19"/>
      <c r="BHA19"/>
      <c r="BHE19"/>
      <c r="BHI19"/>
      <c r="BHM19"/>
      <c r="BHQ19"/>
      <c r="BHU19"/>
      <c r="BHY19"/>
      <c r="BIC19"/>
      <c r="BIG19"/>
      <c r="BIK19"/>
      <c r="BIO19"/>
      <c r="BIS19"/>
      <c r="BIW19"/>
      <c r="BJA19"/>
      <c r="BJE19"/>
      <c r="BJI19"/>
      <c r="BJM19"/>
      <c r="BJQ19"/>
      <c r="BJU19"/>
      <c r="BJY19"/>
      <c r="BKC19"/>
      <c r="BKG19"/>
      <c r="BKK19"/>
      <c r="BKO19"/>
      <c r="BKS19"/>
      <c r="BKW19"/>
      <c r="BLA19"/>
      <c r="BLE19"/>
      <c r="BLI19"/>
      <c r="BLM19"/>
      <c r="BLQ19"/>
      <c r="BLU19"/>
      <c r="BLY19"/>
      <c r="BMC19"/>
      <c r="BMG19"/>
      <c r="BMK19"/>
      <c r="BMO19"/>
      <c r="BMS19"/>
      <c r="BMW19"/>
      <c r="BNA19"/>
      <c r="BNE19"/>
      <c r="BNI19"/>
      <c r="BNM19"/>
      <c r="BNQ19"/>
      <c r="BNU19"/>
      <c r="BNY19"/>
      <c r="BOC19"/>
      <c r="BOG19"/>
      <c r="BOK19"/>
      <c r="BOO19"/>
      <c r="BOS19"/>
      <c r="BOW19"/>
      <c r="BPA19"/>
      <c r="BPE19"/>
      <c r="BPI19"/>
      <c r="BPM19"/>
      <c r="BPQ19"/>
      <c r="BPU19"/>
      <c r="BPY19"/>
      <c r="BQC19"/>
      <c r="BQG19"/>
      <c r="BQK19"/>
      <c r="BQO19"/>
      <c r="BQS19"/>
      <c r="BQW19"/>
      <c r="BRA19"/>
      <c r="BRE19"/>
      <c r="BRI19"/>
      <c r="BRM19"/>
      <c r="BRQ19"/>
      <c r="BRU19"/>
      <c r="BRY19"/>
      <c r="BSC19"/>
      <c r="BSG19"/>
      <c r="BSK19"/>
      <c r="BSO19"/>
      <c r="BSS19"/>
      <c r="BSW19"/>
      <c r="BTA19"/>
      <c r="BTE19"/>
      <c r="BTI19"/>
      <c r="BTM19"/>
      <c r="BTQ19"/>
      <c r="BTU19"/>
      <c r="BTY19"/>
      <c r="BUC19"/>
      <c r="BUG19"/>
      <c r="BUK19"/>
      <c r="BUO19"/>
      <c r="BUS19"/>
      <c r="BUW19"/>
      <c r="BVA19"/>
      <c r="BVE19"/>
      <c r="BVI19"/>
      <c r="BVM19"/>
      <c r="BVQ19"/>
      <c r="BVU19"/>
      <c r="BVY19"/>
      <c r="BWC19"/>
      <c r="BWG19"/>
      <c r="BWK19"/>
      <c r="BWO19"/>
      <c r="BWS19"/>
      <c r="BWW19"/>
      <c r="BXA19"/>
      <c r="BXE19"/>
      <c r="BXI19"/>
      <c r="BXM19"/>
      <c r="BXQ19"/>
      <c r="BXU19"/>
      <c r="BXY19"/>
      <c r="BYC19"/>
      <c r="BYG19"/>
      <c r="BYK19"/>
      <c r="BYO19"/>
      <c r="BYS19"/>
      <c r="BYW19"/>
      <c r="BZA19"/>
      <c r="BZE19"/>
      <c r="BZI19"/>
      <c r="BZM19"/>
      <c r="BZQ19"/>
      <c r="BZU19"/>
      <c r="BZY19"/>
      <c r="CAC19"/>
      <c r="CAG19"/>
      <c r="CAK19"/>
      <c r="CAO19"/>
      <c r="CAS19"/>
      <c r="CAW19"/>
      <c r="CBA19"/>
      <c r="CBE19"/>
      <c r="CBI19"/>
      <c r="CBM19"/>
      <c r="CBQ19"/>
      <c r="CBU19"/>
      <c r="CBY19"/>
      <c r="CCC19"/>
      <c r="CCG19"/>
      <c r="CCK19"/>
      <c r="CCO19"/>
      <c r="CCS19"/>
      <c r="CCW19"/>
      <c r="CDA19"/>
      <c r="CDE19"/>
      <c r="CDI19"/>
      <c r="CDM19"/>
      <c r="CDQ19"/>
      <c r="CDU19"/>
      <c r="CDY19"/>
      <c r="CEC19"/>
      <c r="CEG19"/>
      <c r="CEK19"/>
      <c r="CEO19"/>
      <c r="CES19"/>
      <c r="CEW19"/>
      <c r="CFA19"/>
      <c r="CFE19"/>
      <c r="CFI19"/>
      <c r="CFM19"/>
      <c r="CFQ19"/>
      <c r="CFU19"/>
      <c r="CFY19"/>
      <c r="CGC19"/>
      <c r="CGG19"/>
      <c r="CGK19"/>
      <c r="CGO19"/>
      <c r="CGS19"/>
      <c r="CGW19"/>
      <c r="CHA19"/>
      <c r="CHE19"/>
      <c r="CHI19"/>
      <c r="CHM19"/>
      <c r="CHQ19"/>
      <c r="CHU19"/>
      <c r="CHY19"/>
      <c r="CIC19"/>
      <c r="CIG19"/>
      <c r="CIK19"/>
      <c r="CIO19"/>
      <c r="CIS19"/>
      <c r="CIW19"/>
      <c r="CJA19"/>
      <c r="CJE19"/>
      <c r="CJI19"/>
      <c r="CJM19"/>
      <c r="CJQ19"/>
      <c r="CJU19"/>
      <c r="CJY19"/>
      <c r="CKC19"/>
      <c r="CKG19"/>
      <c r="CKK19"/>
      <c r="CKO19"/>
      <c r="CKS19"/>
      <c r="CKW19"/>
      <c r="CLA19"/>
      <c r="CLE19"/>
      <c r="CLI19"/>
      <c r="CLM19"/>
      <c r="CLQ19"/>
      <c r="CLU19"/>
      <c r="CLY19"/>
      <c r="CMC19"/>
      <c r="CMG19"/>
      <c r="CMK19"/>
      <c r="CMO19"/>
      <c r="CMS19"/>
      <c r="CMW19"/>
      <c r="CNA19"/>
      <c r="CNE19"/>
      <c r="CNI19"/>
      <c r="CNM19"/>
      <c r="CNQ19"/>
      <c r="CNU19"/>
      <c r="CNY19"/>
      <c r="COC19"/>
      <c r="COG19"/>
      <c r="COK19"/>
      <c r="COO19"/>
      <c r="COS19"/>
      <c r="COW19"/>
      <c r="CPA19"/>
      <c r="CPE19"/>
      <c r="CPI19"/>
      <c r="CPM19"/>
      <c r="CPQ19"/>
      <c r="CPU19"/>
      <c r="CPY19"/>
      <c r="CQC19"/>
      <c r="CQG19"/>
      <c r="CQK19"/>
      <c r="CQO19"/>
      <c r="CQS19"/>
      <c r="CQW19"/>
      <c r="CRA19"/>
      <c r="CRE19"/>
      <c r="CRI19"/>
      <c r="CRM19"/>
      <c r="CRQ19"/>
      <c r="CRU19"/>
      <c r="CRY19"/>
      <c r="CSC19"/>
      <c r="CSG19"/>
      <c r="CSK19"/>
      <c r="CSO19"/>
      <c r="CSS19"/>
      <c r="CSW19"/>
      <c r="CTA19"/>
      <c r="CTE19"/>
      <c r="CTI19"/>
      <c r="CTM19"/>
      <c r="CTQ19"/>
      <c r="CTU19"/>
      <c r="CTY19"/>
      <c r="CUC19"/>
      <c r="CUG19"/>
      <c r="CUK19"/>
      <c r="CUO19"/>
      <c r="CUS19"/>
      <c r="CUW19"/>
      <c r="CVA19"/>
      <c r="CVE19"/>
      <c r="CVI19"/>
      <c r="CVM19"/>
      <c r="CVQ19"/>
      <c r="CVU19"/>
      <c r="CVY19"/>
      <c r="CWC19"/>
      <c r="CWG19"/>
      <c r="CWK19"/>
      <c r="CWO19"/>
      <c r="CWS19"/>
      <c r="CWW19"/>
      <c r="CXA19"/>
      <c r="CXE19"/>
      <c r="CXI19"/>
      <c r="CXM19"/>
      <c r="CXQ19"/>
      <c r="CXU19"/>
      <c r="CXY19"/>
      <c r="CYC19"/>
      <c r="CYG19"/>
      <c r="CYK19"/>
      <c r="CYO19"/>
      <c r="CYS19"/>
      <c r="CYW19"/>
      <c r="CZA19"/>
      <c r="CZE19"/>
      <c r="CZI19"/>
      <c r="CZM19"/>
      <c r="CZQ19"/>
      <c r="CZU19"/>
      <c r="CZY19"/>
      <c r="DAC19"/>
      <c r="DAG19"/>
      <c r="DAK19"/>
      <c r="DAO19"/>
      <c r="DAS19"/>
      <c r="DAW19"/>
      <c r="DBA19"/>
      <c r="DBE19"/>
      <c r="DBI19"/>
      <c r="DBM19"/>
      <c r="DBQ19"/>
      <c r="DBU19"/>
      <c r="DBY19"/>
      <c r="DCC19"/>
      <c r="DCG19"/>
      <c r="DCK19"/>
      <c r="DCO19"/>
      <c r="DCS19"/>
      <c r="DCW19"/>
      <c r="DDA19"/>
      <c r="DDE19"/>
      <c r="DDI19"/>
      <c r="DDM19"/>
      <c r="DDQ19"/>
      <c r="DDU19"/>
      <c r="DDY19"/>
      <c r="DEC19"/>
      <c r="DEG19"/>
      <c r="DEK19"/>
      <c r="DEO19"/>
      <c r="DES19"/>
      <c r="DEW19"/>
      <c r="DFA19"/>
      <c r="DFE19"/>
      <c r="DFI19"/>
      <c r="DFM19"/>
      <c r="DFQ19"/>
      <c r="DFU19"/>
      <c r="DFY19"/>
      <c r="DGC19"/>
      <c r="DGG19"/>
      <c r="DGK19"/>
      <c r="DGO19"/>
      <c r="DGS19"/>
      <c r="DGW19"/>
      <c r="DHA19"/>
      <c r="DHE19"/>
      <c r="DHI19"/>
      <c r="DHM19"/>
      <c r="DHQ19"/>
      <c r="DHU19"/>
      <c r="DHY19"/>
      <c r="DIC19"/>
      <c r="DIG19"/>
      <c r="DIK19"/>
      <c r="DIO19"/>
      <c r="DIS19"/>
      <c r="DIW19"/>
      <c r="DJA19"/>
      <c r="DJE19"/>
      <c r="DJI19"/>
      <c r="DJM19"/>
      <c r="DJQ19"/>
      <c r="DJU19"/>
      <c r="DJY19"/>
      <c r="DKC19"/>
      <c r="DKG19"/>
      <c r="DKK19"/>
      <c r="DKO19"/>
      <c r="DKS19"/>
      <c r="DKW19"/>
      <c r="DLA19"/>
      <c r="DLE19"/>
      <c r="DLI19"/>
      <c r="DLM19"/>
      <c r="DLQ19"/>
      <c r="DLU19"/>
      <c r="DLY19"/>
      <c r="DMC19"/>
      <c r="DMG19"/>
      <c r="DMK19"/>
      <c r="DMO19"/>
      <c r="DMS19"/>
      <c r="DMW19"/>
      <c r="DNA19"/>
      <c r="DNE19"/>
      <c r="DNI19"/>
      <c r="DNM19"/>
      <c r="DNQ19"/>
      <c r="DNU19"/>
      <c r="DNY19"/>
      <c r="DOC19"/>
      <c r="DOG19"/>
      <c r="DOK19"/>
      <c r="DOO19"/>
      <c r="DOS19"/>
      <c r="DOW19"/>
      <c r="DPA19"/>
      <c r="DPE19"/>
      <c r="DPI19"/>
      <c r="DPM19"/>
      <c r="DPQ19"/>
      <c r="DPU19"/>
      <c r="DPY19"/>
      <c r="DQC19"/>
      <c r="DQG19"/>
      <c r="DQK19"/>
      <c r="DQO19"/>
      <c r="DQS19"/>
      <c r="DQW19"/>
      <c r="DRA19"/>
      <c r="DRE19"/>
      <c r="DRI19"/>
      <c r="DRM19"/>
      <c r="DRQ19"/>
      <c r="DRU19"/>
      <c r="DRY19"/>
      <c r="DSC19"/>
      <c r="DSG19"/>
      <c r="DSK19"/>
      <c r="DSO19"/>
      <c r="DSS19"/>
      <c r="DSW19"/>
      <c r="DTA19"/>
      <c r="DTE19"/>
      <c r="DTI19"/>
      <c r="DTM19"/>
      <c r="DTQ19"/>
      <c r="DTU19"/>
      <c r="DTY19"/>
      <c r="DUC19"/>
      <c r="DUG19"/>
      <c r="DUK19"/>
      <c r="DUO19"/>
      <c r="DUS19"/>
      <c r="DUW19"/>
      <c r="DVA19"/>
      <c r="DVE19"/>
      <c r="DVI19"/>
      <c r="DVM19"/>
      <c r="DVQ19"/>
      <c r="DVU19"/>
      <c r="DVY19"/>
      <c r="DWC19"/>
      <c r="DWG19"/>
      <c r="DWK19"/>
      <c r="DWO19"/>
      <c r="DWS19"/>
      <c r="DWW19"/>
      <c r="DXA19"/>
      <c r="DXE19"/>
      <c r="DXI19"/>
      <c r="DXM19"/>
      <c r="DXQ19"/>
      <c r="DXU19"/>
      <c r="DXY19"/>
      <c r="DYC19"/>
      <c r="DYG19"/>
      <c r="DYK19"/>
      <c r="DYO19"/>
      <c r="DYS19"/>
      <c r="DYW19"/>
      <c r="DZA19"/>
      <c r="DZE19"/>
      <c r="DZI19"/>
      <c r="DZM19"/>
      <c r="DZQ19"/>
      <c r="DZU19"/>
      <c r="DZY19"/>
      <c r="EAC19"/>
      <c r="EAG19"/>
      <c r="EAK19"/>
      <c r="EAO19"/>
      <c r="EAS19"/>
      <c r="EAW19"/>
      <c r="EBA19"/>
      <c r="EBE19"/>
      <c r="EBI19"/>
      <c r="EBM19"/>
      <c r="EBQ19"/>
      <c r="EBU19"/>
      <c r="EBY19"/>
      <c r="ECC19"/>
      <c r="ECG19"/>
      <c r="ECK19"/>
      <c r="ECO19"/>
      <c r="ECS19"/>
      <c r="ECW19"/>
      <c r="EDA19"/>
      <c r="EDE19"/>
      <c r="EDI19"/>
      <c r="EDM19"/>
      <c r="EDQ19"/>
      <c r="EDU19"/>
      <c r="EDY19"/>
      <c r="EEC19"/>
      <c r="EEG19"/>
      <c r="EEK19"/>
      <c r="EEO19"/>
      <c r="EES19"/>
      <c r="EEW19"/>
      <c r="EFA19"/>
      <c r="EFE19"/>
      <c r="EFI19"/>
      <c r="EFM19"/>
      <c r="EFQ19"/>
      <c r="EFU19"/>
      <c r="EFY19"/>
      <c r="EGC19"/>
      <c r="EGG19"/>
      <c r="EGK19"/>
      <c r="EGO19"/>
      <c r="EGS19"/>
      <c r="EGW19"/>
      <c r="EHA19"/>
      <c r="EHE19"/>
      <c r="EHI19"/>
      <c r="EHM19"/>
      <c r="EHQ19"/>
      <c r="EHU19"/>
      <c r="EHY19"/>
      <c r="EIC19"/>
      <c r="EIG19"/>
      <c r="EIK19"/>
      <c r="EIO19"/>
      <c r="EIS19"/>
      <c r="EIW19"/>
      <c r="EJA19"/>
      <c r="EJE19"/>
      <c r="EJI19"/>
      <c r="EJM19"/>
      <c r="EJQ19"/>
      <c r="EJU19"/>
      <c r="EJY19"/>
      <c r="EKC19"/>
      <c r="EKG19"/>
      <c r="EKK19"/>
      <c r="EKO19"/>
      <c r="EKS19"/>
      <c r="EKW19"/>
      <c r="ELA19"/>
      <c r="ELE19"/>
      <c r="ELI19"/>
      <c r="ELM19"/>
      <c r="ELQ19"/>
      <c r="ELU19"/>
      <c r="ELY19"/>
      <c r="EMC19"/>
      <c r="EMG19"/>
      <c r="EMK19"/>
      <c r="EMO19"/>
      <c r="EMS19"/>
      <c r="EMW19"/>
      <c r="ENA19"/>
      <c r="ENE19"/>
      <c r="ENI19"/>
      <c r="ENM19"/>
      <c r="ENQ19"/>
      <c r="ENU19"/>
      <c r="ENY19"/>
      <c r="EOC19"/>
      <c r="EOG19"/>
      <c r="EOK19"/>
      <c r="EOO19"/>
      <c r="EOS19"/>
      <c r="EOW19"/>
      <c r="EPA19"/>
      <c r="EPE19"/>
      <c r="EPI19"/>
      <c r="EPM19"/>
      <c r="EPQ19"/>
      <c r="EPU19"/>
      <c r="EPY19"/>
      <c r="EQC19"/>
      <c r="EQG19"/>
      <c r="EQK19"/>
      <c r="EQO19"/>
      <c r="EQS19"/>
      <c r="EQW19"/>
      <c r="ERA19"/>
      <c r="ERE19"/>
      <c r="ERI19"/>
      <c r="ERM19"/>
      <c r="ERQ19"/>
      <c r="ERU19"/>
      <c r="ERY19"/>
      <c r="ESC19"/>
      <c r="ESG19"/>
      <c r="ESK19"/>
      <c r="ESO19"/>
      <c r="ESS19"/>
      <c r="ESW19"/>
      <c r="ETA19"/>
      <c r="ETE19"/>
      <c r="ETI19"/>
      <c r="ETM19"/>
      <c r="ETQ19"/>
      <c r="ETU19"/>
      <c r="ETY19"/>
      <c r="EUC19"/>
      <c r="EUG19"/>
      <c r="EUK19"/>
      <c r="EUO19"/>
      <c r="EUS19"/>
      <c r="EUW19"/>
      <c r="EVA19"/>
      <c r="EVE19"/>
      <c r="EVI19"/>
      <c r="EVM19"/>
      <c r="EVQ19"/>
      <c r="EVU19"/>
      <c r="EVY19"/>
      <c r="EWC19"/>
      <c r="EWG19"/>
      <c r="EWK19"/>
      <c r="EWO19"/>
      <c r="EWS19"/>
      <c r="EWW19"/>
      <c r="EXA19"/>
      <c r="EXE19"/>
      <c r="EXI19"/>
      <c r="EXM19"/>
      <c r="EXQ19"/>
      <c r="EXU19"/>
      <c r="EXY19"/>
      <c r="EYC19"/>
      <c r="EYG19"/>
      <c r="EYK19"/>
      <c r="EYO19"/>
      <c r="EYS19"/>
      <c r="EYW19"/>
      <c r="EZA19"/>
      <c r="EZE19"/>
      <c r="EZI19"/>
      <c r="EZM19"/>
      <c r="EZQ19"/>
      <c r="EZU19"/>
      <c r="EZY19"/>
      <c r="FAC19"/>
      <c r="FAG19"/>
      <c r="FAK19"/>
      <c r="FAO19"/>
      <c r="FAS19"/>
      <c r="FAW19"/>
      <c r="FBA19"/>
      <c r="FBE19"/>
      <c r="FBI19"/>
      <c r="FBM19"/>
      <c r="FBQ19"/>
      <c r="FBU19"/>
      <c r="FBY19"/>
      <c r="FCC19"/>
      <c r="FCG19"/>
      <c r="FCK19"/>
      <c r="FCO19"/>
      <c r="FCS19"/>
      <c r="FCW19"/>
      <c r="FDA19"/>
      <c r="FDE19"/>
      <c r="FDI19"/>
      <c r="FDM19"/>
      <c r="FDQ19"/>
      <c r="FDU19"/>
      <c r="FDY19"/>
      <c r="FEC19"/>
      <c r="FEG19"/>
      <c r="FEK19"/>
      <c r="FEO19"/>
      <c r="FES19"/>
      <c r="FEW19"/>
      <c r="FFA19"/>
      <c r="FFE19"/>
      <c r="FFI19"/>
      <c r="FFM19"/>
      <c r="FFQ19"/>
      <c r="FFU19"/>
      <c r="FFY19"/>
      <c r="FGC19"/>
      <c r="FGG19"/>
      <c r="FGK19"/>
      <c r="FGO19"/>
      <c r="FGS19"/>
      <c r="FGW19"/>
      <c r="FHA19"/>
      <c r="FHE19"/>
      <c r="FHI19"/>
      <c r="FHM19"/>
      <c r="FHQ19"/>
      <c r="FHU19"/>
      <c r="FHY19"/>
      <c r="FIC19"/>
      <c r="FIG19"/>
      <c r="FIK19"/>
      <c r="FIO19"/>
      <c r="FIS19"/>
      <c r="FIW19"/>
      <c r="FJA19"/>
      <c r="FJE19"/>
      <c r="FJI19"/>
      <c r="FJM19"/>
      <c r="FJQ19"/>
      <c r="FJU19"/>
      <c r="FJY19"/>
      <c r="FKC19"/>
      <c r="FKG19"/>
      <c r="FKK19"/>
      <c r="FKO19"/>
      <c r="FKS19"/>
      <c r="FKW19"/>
      <c r="FLA19"/>
      <c r="FLE19"/>
      <c r="FLI19"/>
      <c r="FLM19"/>
      <c r="FLQ19"/>
      <c r="FLU19"/>
      <c r="FLY19"/>
      <c r="FMC19"/>
      <c r="FMG19"/>
      <c r="FMK19"/>
      <c r="FMO19"/>
      <c r="FMS19"/>
      <c r="FMW19"/>
      <c r="FNA19"/>
      <c r="FNE19"/>
      <c r="FNI19"/>
      <c r="FNM19"/>
      <c r="FNQ19"/>
      <c r="FNU19"/>
      <c r="FNY19"/>
      <c r="FOC19"/>
      <c r="FOG19"/>
      <c r="FOK19"/>
      <c r="FOO19"/>
      <c r="FOS19"/>
      <c r="FOW19"/>
      <c r="FPA19"/>
      <c r="FPE19"/>
      <c r="FPI19"/>
      <c r="FPM19"/>
      <c r="FPQ19"/>
      <c r="FPU19"/>
      <c r="FPY19"/>
      <c r="FQC19"/>
      <c r="FQG19"/>
      <c r="FQK19"/>
      <c r="FQO19"/>
      <c r="FQS19"/>
      <c r="FQW19"/>
      <c r="FRA19"/>
      <c r="FRE19"/>
      <c r="FRI19"/>
      <c r="FRM19"/>
      <c r="FRQ19"/>
      <c r="FRU19"/>
      <c r="FRY19"/>
      <c r="FSC19"/>
      <c r="FSG19"/>
      <c r="FSK19"/>
      <c r="FSO19"/>
      <c r="FSS19"/>
      <c r="FSW19"/>
      <c r="FTA19"/>
      <c r="FTE19"/>
      <c r="FTI19"/>
      <c r="FTM19"/>
      <c r="FTQ19"/>
      <c r="FTU19"/>
      <c r="FTY19"/>
      <c r="FUC19"/>
      <c r="FUG19"/>
      <c r="FUK19"/>
      <c r="FUO19"/>
      <c r="FUS19"/>
      <c r="FUW19"/>
      <c r="FVA19"/>
      <c r="FVE19"/>
      <c r="FVI19"/>
      <c r="FVM19"/>
      <c r="FVQ19"/>
      <c r="FVU19"/>
      <c r="FVY19"/>
      <c r="FWC19"/>
      <c r="FWG19"/>
      <c r="FWK19"/>
      <c r="FWO19"/>
      <c r="FWS19"/>
      <c r="FWW19"/>
      <c r="FXA19"/>
      <c r="FXE19"/>
      <c r="FXI19"/>
      <c r="FXM19"/>
      <c r="FXQ19"/>
      <c r="FXU19"/>
      <c r="FXY19"/>
      <c r="FYC19"/>
      <c r="FYG19"/>
      <c r="FYK19"/>
      <c r="FYO19"/>
      <c r="FYS19"/>
      <c r="FYW19"/>
      <c r="FZA19"/>
      <c r="FZE19"/>
      <c r="FZI19"/>
      <c r="FZM19"/>
      <c r="FZQ19"/>
      <c r="FZU19"/>
      <c r="FZY19"/>
      <c r="GAC19"/>
      <c r="GAG19"/>
      <c r="GAK19"/>
      <c r="GAO19"/>
      <c r="GAS19"/>
      <c r="GAW19"/>
      <c r="GBA19"/>
      <c r="GBE19"/>
      <c r="GBI19"/>
      <c r="GBM19"/>
      <c r="GBQ19"/>
      <c r="GBU19"/>
      <c r="GBY19"/>
      <c r="GCC19"/>
      <c r="GCG19"/>
      <c r="GCK19"/>
      <c r="GCO19"/>
      <c r="GCS19"/>
      <c r="GCW19"/>
      <c r="GDA19"/>
      <c r="GDE19"/>
      <c r="GDI19"/>
      <c r="GDM19"/>
      <c r="GDQ19"/>
      <c r="GDU19"/>
      <c r="GDY19"/>
      <c r="GEC19"/>
      <c r="GEG19"/>
      <c r="GEK19"/>
      <c r="GEO19"/>
      <c r="GES19"/>
      <c r="GEW19"/>
      <c r="GFA19"/>
      <c r="GFE19"/>
      <c r="GFI19"/>
      <c r="GFM19"/>
      <c r="GFQ19"/>
      <c r="GFU19"/>
      <c r="GFY19"/>
      <c r="GGC19"/>
      <c r="GGG19"/>
      <c r="GGK19"/>
      <c r="GGO19"/>
      <c r="GGS19"/>
      <c r="GGW19"/>
      <c r="GHA19"/>
      <c r="GHE19"/>
      <c r="GHI19"/>
      <c r="GHM19"/>
      <c r="GHQ19"/>
      <c r="GHU19"/>
      <c r="GHY19"/>
      <c r="GIC19"/>
      <c r="GIG19"/>
      <c r="GIK19"/>
      <c r="GIO19"/>
      <c r="GIS19"/>
      <c r="GIW19"/>
      <c r="GJA19"/>
      <c r="GJE19"/>
      <c r="GJI19"/>
      <c r="GJM19"/>
      <c r="GJQ19"/>
      <c r="GJU19"/>
      <c r="GJY19"/>
      <c r="GKC19"/>
      <c r="GKG19"/>
      <c r="GKK19"/>
      <c r="GKO19"/>
      <c r="GKS19"/>
      <c r="GKW19"/>
      <c r="GLA19"/>
      <c r="GLE19"/>
      <c r="GLI19"/>
      <c r="GLM19"/>
      <c r="GLQ19"/>
      <c r="GLU19"/>
      <c r="GLY19"/>
      <c r="GMC19"/>
      <c r="GMG19"/>
      <c r="GMK19"/>
      <c r="GMO19"/>
      <c r="GMS19"/>
      <c r="GMW19"/>
      <c r="GNA19"/>
      <c r="GNE19"/>
      <c r="GNI19"/>
      <c r="GNM19"/>
      <c r="GNQ19"/>
      <c r="GNU19"/>
      <c r="GNY19"/>
      <c r="GOC19"/>
      <c r="GOG19"/>
      <c r="GOK19"/>
      <c r="GOO19"/>
      <c r="GOS19"/>
      <c r="GOW19"/>
      <c r="GPA19"/>
      <c r="GPE19"/>
      <c r="GPI19"/>
      <c r="GPM19"/>
      <c r="GPQ19"/>
      <c r="GPU19"/>
      <c r="GPY19"/>
      <c r="GQC19"/>
      <c r="GQG19"/>
      <c r="GQK19"/>
      <c r="GQO19"/>
      <c r="GQS19"/>
      <c r="GQW19"/>
      <c r="GRA19"/>
      <c r="GRE19"/>
      <c r="GRI19"/>
      <c r="GRM19"/>
      <c r="GRQ19"/>
      <c r="GRU19"/>
      <c r="GRY19"/>
      <c r="GSC19"/>
      <c r="GSG19"/>
      <c r="GSK19"/>
      <c r="GSO19"/>
      <c r="GSS19"/>
      <c r="GSW19"/>
      <c r="GTA19"/>
      <c r="GTE19"/>
      <c r="GTI19"/>
      <c r="GTM19"/>
      <c r="GTQ19"/>
      <c r="GTU19"/>
      <c r="GTY19"/>
      <c r="GUC19"/>
      <c r="GUG19"/>
      <c r="GUK19"/>
      <c r="GUO19"/>
      <c r="GUS19"/>
      <c r="GUW19"/>
      <c r="GVA19"/>
      <c r="GVE19"/>
      <c r="GVI19"/>
      <c r="GVM19"/>
      <c r="GVQ19"/>
      <c r="GVU19"/>
      <c r="GVY19"/>
      <c r="GWC19"/>
      <c r="GWG19"/>
      <c r="GWK19"/>
      <c r="GWO19"/>
      <c r="GWS19"/>
      <c r="GWW19"/>
      <c r="GXA19"/>
      <c r="GXE19"/>
      <c r="GXI19"/>
      <c r="GXM19"/>
      <c r="GXQ19"/>
      <c r="GXU19"/>
      <c r="GXY19"/>
      <c r="GYC19"/>
      <c r="GYG19"/>
      <c r="GYK19"/>
      <c r="GYO19"/>
      <c r="GYS19"/>
      <c r="GYW19"/>
      <c r="GZA19"/>
      <c r="GZE19"/>
      <c r="GZI19"/>
      <c r="GZM19"/>
      <c r="GZQ19"/>
      <c r="GZU19"/>
      <c r="GZY19"/>
      <c r="HAC19"/>
      <c r="HAG19"/>
      <c r="HAK19"/>
      <c r="HAO19"/>
      <c r="HAS19"/>
      <c r="HAW19"/>
      <c r="HBA19"/>
      <c r="HBE19"/>
      <c r="HBI19"/>
      <c r="HBM19"/>
      <c r="HBQ19"/>
      <c r="HBU19"/>
      <c r="HBY19"/>
      <c r="HCC19"/>
      <c r="HCG19"/>
      <c r="HCK19"/>
      <c r="HCO19"/>
      <c r="HCS19"/>
      <c r="HCW19"/>
      <c r="HDA19"/>
      <c r="HDE19"/>
      <c r="HDI19"/>
      <c r="HDM19"/>
      <c r="HDQ19"/>
      <c r="HDU19"/>
      <c r="HDY19"/>
      <c r="HEC19"/>
      <c r="HEG19"/>
      <c r="HEK19"/>
      <c r="HEO19"/>
      <c r="HES19"/>
      <c r="HEW19"/>
      <c r="HFA19"/>
      <c r="HFE19"/>
      <c r="HFI19"/>
      <c r="HFM19"/>
      <c r="HFQ19"/>
      <c r="HFU19"/>
      <c r="HFY19"/>
      <c r="HGC19"/>
      <c r="HGG19"/>
      <c r="HGK19"/>
      <c r="HGO19"/>
      <c r="HGS19"/>
      <c r="HGW19"/>
      <c r="HHA19"/>
      <c r="HHE19"/>
      <c r="HHI19"/>
      <c r="HHM19"/>
      <c r="HHQ19"/>
      <c r="HHU19"/>
      <c r="HHY19"/>
      <c r="HIC19"/>
      <c r="HIG19"/>
      <c r="HIK19"/>
      <c r="HIO19"/>
      <c r="HIS19"/>
      <c r="HIW19"/>
      <c r="HJA19"/>
      <c r="HJE19"/>
      <c r="HJI19"/>
      <c r="HJM19"/>
      <c r="HJQ19"/>
      <c r="HJU19"/>
      <c r="HJY19"/>
      <c r="HKC19"/>
      <c r="HKG19"/>
      <c r="HKK19"/>
      <c r="HKO19"/>
      <c r="HKS19"/>
      <c r="HKW19"/>
      <c r="HLA19"/>
      <c r="HLE19"/>
      <c r="HLI19"/>
      <c r="HLM19"/>
      <c r="HLQ19"/>
      <c r="HLU19"/>
      <c r="HLY19"/>
      <c r="HMC19"/>
      <c r="HMG19"/>
      <c r="HMK19"/>
      <c r="HMO19"/>
      <c r="HMS19"/>
      <c r="HMW19"/>
      <c r="HNA19"/>
      <c r="HNE19"/>
      <c r="HNI19"/>
      <c r="HNM19"/>
      <c r="HNQ19"/>
      <c r="HNU19"/>
      <c r="HNY19"/>
      <c r="HOC19"/>
      <c r="HOG19"/>
      <c r="HOK19"/>
      <c r="HOO19"/>
      <c r="HOS19"/>
      <c r="HOW19"/>
      <c r="HPA19"/>
      <c r="HPE19"/>
      <c r="HPI19"/>
      <c r="HPM19"/>
      <c r="HPQ19"/>
      <c r="HPU19"/>
      <c r="HPY19"/>
      <c r="HQC19"/>
      <c r="HQG19"/>
      <c r="HQK19"/>
      <c r="HQO19"/>
      <c r="HQS19"/>
      <c r="HQW19"/>
      <c r="HRA19"/>
      <c r="HRE19"/>
      <c r="HRI19"/>
      <c r="HRM19"/>
      <c r="HRQ19"/>
      <c r="HRU19"/>
      <c r="HRY19"/>
      <c r="HSC19"/>
      <c r="HSG19"/>
      <c r="HSK19"/>
      <c r="HSO19"/>
      <c r="HSS19"/>
      <c r="HSW19"/>
      <c r="HTA19"/>
      <c r="HTE19"/>
      <c r="HTI19"/>
      <c r="HTM19"/>
      <c r="HTQ19"/>
      <c r="HTU19"/>
      <c r="HTY19"/>
      <c r="HUC19"/>
      <c r="HUG19"/>
      <c r="HUK19"/>
      <c r="HUO19"/>
      <c r="HUS19"/>
      <c r="HUW19"/>
      <c r="HVA19"/>
      <c r="HVE19"/>
      <c r="HVI19"/>
      <c r="HVM19"/>
      <c r="HVQ19"/>
      <c r="HVU19"/>
      <c r="HVY19"/>
      <c r="HWC19"/>
      <c r="HWG19"/>
      <c r="HWK19"/>
      <c r="HWO19"/>
      <c r="HWS19"/>
      <c r="HWW19"/>
      <c r="HXA19"/>
      <c r="HXE19"/>
      <c r="HXI19"/>
      <c r="HXM19"/>
      <c r="HXQ19"/>
      <c r="HXU19"/>
      <c r="HXY19"/>
      <c r="HYC19"/>
      <c r="HYG19"/>
      <c r="HYK19"/>
      <c r="HYO19"/>
      <c r="HYS19"/>
      <c r="HYW19"/>
      <c r="HZA19"/>
      <c r="HZE19"/>
      <c r="HZI19"/>
      <c r="HZM19"/>
      <c r="HZQ19"/>
      <c r="HZU19"/>
      <c r="HZY19"/>
      <c r="IAC19"/>
      <c r="IAG19"/>
      <c r="IAK19"/>
      <c r="IAO19"/>
      <c r="IAS19"/>
      <c r="IAW19"/>
      <c r="IBA19"/>
      <c r="IBE19"/>
      <c r="IBI19"/>
      <c r="IBM19"/>
      <c r="IBQ19"/>
      <c r="IBU19"/>
      <c r="IBY19"/>
      <c r="ICC19"/>
      <c r="ICG19"/>
      <c r="ICK19"/>
      <c r="ICO19"/>
      <c r="ICS19"/>
      <c r="ICW19"/>
      <c r="IDA19"/>
      <c r="IDE19"/>
      <c r="IDI19"/>
      <c r="IDM19"/>
      <c r="IDQ19"/>
      <c r="IDU19"/>
      <c r="IDY19"/>
      <c r="IEC19"/>
      <c r="IEG19"/>
      <c r="IEK19"/>
      <c r="IEO19"/>
      <c r="IES19"/>
      <c r="IEW19"/>
      <c r="IFA19"/>
      <c r="IFE19"/>
      <c r="IFI19"/>
      <c r="IFM19"/>
      <c r="IFQ19"/>
      <c r="IFU19"/>
      <c r="IFY19"/>
      <c r="IGC19"/>
      <c r="IGG19"/>
      <c r="IGK19"/>
      <c r="IGO19"/>
      <c r="IGS19"/>
      <c r="IGW19"/>
      <c r="IHA19"/>
      <c r="IHE19"/>
      <c r="IHI19"/>
      <c r="IHM19"/>
      <c r="IHQ19"/>
      <c r="IHU19"/>
      <c r="IHY19"/>
      <c r="IIC19"/>
      <c r="IIG19"/>
      <c r="IIK19"/>
      <c r="IIO19"/>
      <c r="IIS19"/>
      <c r="IIW19"/>
      <c r="IJA19"/>
      <c r="IJE19"/>
      <c r="IJI19"/>
      <c r="IJM19"/>
      <c r="IJQ19"/>
      <c r="IJU19"/>
      <c r="IJY19"/>
      <c r="IKC19"/>
      <c r="IKG19"/>
      <c r="IKK19"/>
      <c r="IKO19"/>
      <c r="IKS19"/>
      <c r="IKW19"/>
      <c r="ILA19"/>
      <c r="ILE19"/>
      <c r="ILI19"/>
      <c r="ILM19"/>
      <c r="ILQ19"/>
      <c r="ILU19"/>
      <c r="ILY19"/>
      <c r="IMC19"/>
      <c r="IMG19"/>
      <c r="IMK19"/>
      <c r="IMO19"/>
      <c r="IMS19"/>
      <c r="IMW19"/>
      <c r="INA19"/>
      <c r="INE19"/>
      <c r="INI19"/>
      <c r="INM19"/>
      <c r="INQ19"/>
      <c r="INU19"/>
      <c r="INY19"/>
      <c r="IOC19"/>
      <c r="IOG19"/>
      <c r="IOK19"/>
      <c r="IOO19"/>
      <c r="IOS19"/>
      <c r="IOW19"/>
      <c r="IPA19"/>
      <c r="IPE19"/>
      <c r="IPI19"/>
      <c r="IPM19"/>
      <c r="IPQ19"/>
      <c r="IPU19"/>
      <c r="IPY19"/>
      <c r="IQC19"/>
      <c r="IQG19"/>
      <c r="IQK19"/>
      <c r="IQO19"/>
      <c r="IQS19"/>
      <c r="IQW19"/>
      <c r="IRA19"/>
      <c r="IRE19"/>
      <c r="IRI19"/>
      <c r="IRM19"/>
      <c r="IRQ19"/>
      <c r="IRU19"/>
      <c r="IRY19"/>
      <c r="ISC19"/>
      <c r="ISG19"/>
      <c r="ISK19"/>
      <c r="ISO19"/>
      <c r="ISS19"/>
      <c r="ISW19"/>
      <c r="ITA19"/>
      <c r="ITE19"/>
      <c r="ITI19"/>
      <c r="ITM19"/>
      <c r="ITQ19"/>
      <c r="ITU19"/>
      <c r="ITY19"/>
      <c r="IUC19"/>
      <c r="IUG19"/>
      <c r="IUK19"/>
      <c r="IUO19"/>
      <c r="IUS19"/>
      <c r="IUW19"/>
      <c r="IVA19"/>
      <c r="IVE19"/>
      <c r="IVI19"/>
      <c r="IVM19"/>
      <c r="IVQ19"/>
      <c r="IVU19"/>
      <c r="IVY19"/>
      <c r="IWC19"/>
      <c r="IWG19"/>
      <c r="IWK19"/>
      <c r="IWO19"/>
      <c r="IWS19"/>
      <c r="IWW19"/>
      <c r="IXA19"/>
      <c r="IXE19"/>
      <c r="IXI19"/>
      <c r="IXM19"/>
      <c r="IXQ19"/>
      <c r="IXU19"/>
      <c r="IXY19"/>
      <c r="IYC19"/>
      <c r="IYG19"/>
      <c r="IYK19"/>
      <c r="IYO19"/>
      <c r="IYS19"/>
      <c r="IYW19"/>
      <c r="IZA19"/>
      <c r="IZE19"/>
      <c r="IZI19"/>
      <c r="IZM19"/>
      <c r="IZQ19"/>
      <c r="IZU19"/>
      <c r="IZY19"/>
      <c r="JAC19"/>
      <c r="JAG19"/>
      <c r="JAK19"/>
      <c r="JAO19"/>
      <c r="JAS19"/>
      <c r="JAW19"/>
      <c r="JBA19"/>
      <c r="JBE19"/>
      <c r="JBI19"/>
      <c r="JBM19"/>
      <c r="JBQ19"/>
      <c r="JBU19"/>
      <c r="JBY19"/>
      <c r="JCC19"/>
      <c r="JCG19"/>
      <c r="JCK19"/>
      <c r="JCO19"/>
      <c r="JCS19"/>
      <c r="JCW19"/>
      <c r="JDA19"/>
      <c r="JDE19"/>
      <c r="JDI19"/>
      <c r="JDM19"/>
      <c r="JDQ19"/>
      <c r="JDU19"/>
      <c r="JDY19"/>
      <c r="JEC19"/>
      <c r="JEG19"/>
      <c r="JEK19"/>
      <c r="JEO19"/>
      <c r="JES19"/>
      <c r="JEW19"/>
      <c r="JFA19"/>
      <c r="JFE19"/>
      <c r="JFI19"/>
      <c r="JFM19"/>
      <c r="JFQ19"/>
      <c r="JFU19"/>
      <c r="JFY19"/>
      <c r="JGC19"/>
      <c r="JGG19"/>
      <c r="JGK19"/>
      <c r="JGO19"/>
      <c r="JGS19"/>
      <c r="JGW19"/>
      <c r="JHA19"/>
      <c r="JHE19"/>
      <c r="JHI19"/>
      <c r="JHM19"/>
      <c r="JHQ19"/>
      <c r="JHU19"/>
      <c r="JHY19"/>
      <c r="JIC19"/>
      <c r="JIG19"/>
      <c r="JIK19"/>
      <c r="JIO19"/>
      <c r="JIS19"/>
      <c r="JIW19"/>
      <c r="JJA19"/>
      <c r="JJE19"/>
      <c r="JJI19"/>
      <c r="JJM19"/>
      <c r="JJQ19"/>
      <c r="JJU19"/>
      <c r="JJY19"/>
      <c r="JKC19"/>
      <c r="JKG19"/>
      <c r="JKK19"/>
      <c r="JKO19"/>
      <c r="JKS19"/>
      <c r="JKW19"/>
      <c r="JLA19"/>
      <c r="JLE19"/>
      <c r="JLI19"/>
      <c r="JLM19"/>
      <c r="JLQ19"/>
      <c r="JLU19"/>
      <c r="JLY19"/>
      <c r="JMC19"/>
      <c r="JMG19"/>
      <c r="JMK19"/>
      <c r="JMO19"/>
      <c r="JMS19"/>
      <c r="JMW19"/>
      <c r="JNA19"/>
      <c r="JNE19"/>
      <c r="JNI19"/>
      <c r="JNM19"/>
      <c r="JNQ19"/>
      <c r="JNU19"/>
      <c r="JNY19"/>
      <c r="JOC19"/>
      <c r="JOG19"/>
      <c r="JOK19"/>
      <c r="JOO19"/>
      <c r="JOS19"/>
      <c r="JOW19"/>
      <c r="JPA19"/>
      <c r="JPE19"/>
      <c r="JPI19"/>
      <c r="JPM19"/>
      <c r="JPQ19"/>
      <c r="JPU19"/>
      <c r="JPY19"/>
      <c r="JQC19"/>
      <c r="JQG19"/>
      <c r="JQK19"/>
      <c r="JQO19"/>
      <c r="JQS19"/>
      <c r="JQW19"/>
      <c r="JRA19"/>
      <c r="JRE19"/>
      <c r="JRI19"/>
      <c r="JRM19"/>
      <c r="JRQ19"/>
      <c r="JRU19"/>
      <c r="JRY19"/>
      <c r="JSC19"/>
      <c r="JSG19"/>
      <c r="JSK19"/>
      <c r="JSO19"/>
      <c r="JSS19"/>
      <c r="JSW19"/>
      <c r="JTA19"/>
      <c r="JTE19"/>
      <c r="JTI19"/>
      <c r="JTM19"/>
      <c r="JTQ19"/>
      <c r="JTU19"/>
      <c r="JTY19"/>
      <c r="JUC19"/>
      <c r="JUG19"/>
      <c r="JUK19"/>
      <c r="JUO19"/>
      <c r="JUS19"/>
      <c r="JUW19"/>
      <c r="JVA19"/>
      <c r="JVE19"/>
      <c r="JVI19"/>
      <c r="JVM19"/>
      <c r="JVQ19"/>
      <c r="JVU19"/>
      <c r="JVY19"/>
      <c r="JWC19"/>
      <c r="JWG19"/>
      <c r="JWK19"/>
      <c r="JWO19"/>
      <c r="JWS19"/>
      <c r="JWW19"/>
      <c r="JXA19"/>
      <c r="JXE19"/>
      <c r="JXI19"/>
      <c r="JXM19"/>
      <c r="JXQ19"/>
      <c r="JXU19"/>
      <c r="JXY19"/>
      <c r="JYC19"/>
      <c r="JYG19"/>
      <c r="JYK19"/>
      <c r="JYO19"/>
      <c r="JYS19"/>
      <c r="JYW19"/>
      <c r="JZA19"/>
      <c r="JZE19"/>
      <c r="JZI19"/>
      <c r="JZM19"/>
      <c r="JZQ19"/>
      <c r="JZU19"/>
      <c r="JZY19"/>
      <c r="KAC19"/>
      <c r="KAG19"/>
      <c r="KAK19"/>
      <c r="KAO19"/>
      <c r="KAS19"/>
      <c r="KAW19"/>
      <c r="KBA19"/>
      <c r="KBE19"/>
      <c r="KBI19"/>
      <c r="KBM19"/>
      <c r="KBQ19"/>
      <c r="KBU19"/>
      <c r="KBY19"/>
      <c r="KCC19"/>
      <c r="KCG19"/>
      <c r="KCK19"/>
      <c r="KCO19"/>
      <c r="KCS19"/>
      <c r="KCW19"/>
      <c r="KDA19"/>
      <c r="KDE19"/>
      <c r="KDI19"/>
      <c r="KDM19"/>
      <c r="KDQ19"/>
      <c r="KDU19"/>
      <c r="KDY19"/>
      <c r="KEC19"/>
      <c r="KEG19"/>
      <c r="KEK19"/>
      <c r="KEO19"/>
      <c r="KES19"/>
      <c r="KEW19"/>
      <c r="KFA19"/>
      <c r="KFE19"/>
      <c r="KFI19"/>
      <c r="KFM19"/>
      <c r="KFQ19"/>
      <c r="KFU19"/>
      <c r="KFY19"/>
      <c r="KGC19"/>
      <c r="KGG19"/>
      <c r="KGK19"/>
      <c r="KGO19"/>
      <c r="KGS19"/>
      <c r="KGW19"/>
      <c r="KHA19"/>
      <c r="KHE19"/>
      <c r="KHI19"/>
      <c r="KHM19"/>
      <c r="KHQ19"/>
      <c r="KHU19"/>
      <c r="KHY19"/>
      <c r="KIC19"/>
      <c r="KIG19"/>
      <c r="KIK19"/>
      <c r="KIO19"/>
      <c r="KIS19"/>
      <c r="KIW19"/>
      <c r="KJA19"/>
      <c r="KJE19"/>
      <c r="KJI19"/>
      <c r="KJM19"/>
      <c r="KJQ19"/>
      <c r="KJU19"/>
      <c r="KJY19"/>
      <c r="KKC19"/>
      <c r="KKG19"/>
      <c r="KKK19"/>
      <c r="KKO19"/>
      <c r="KKS19"/>
      <c r="KKW19"/>
      <c r="KLA19"/>
      <c r="KLE19"/>
      <c r="KLI19"/>
      <c r="KLM19"/>
      <c r="KLQ19"/>
      <c r="KLU19"/>
      <c r="KLY19"/>
      <c r="KMC19"/>
      <c r="KMG19"/>
      <c r="KMK19"/>
      <c r="KMO19"/>
      <c r="KMS19"/>
      <c r="KMW19"/>
      <c r="KNA19"/>
      <c r="KNE19"/>
      <c r="KNI19"/>
      <c r="KNM19"/>
      <c r="KNQ19"/>
      <c r="KNU19"/>
      <c r="KNY19"/>
      <c r="KOC19"/>
      <c r="KOG19"/>
      <c r="KOK19"/>
      <c r="KOO19"/>
      <c r="KOS19"/>
      <c r="KOW19"/>
      <c r="KPA19"/>
      <c r="KPE19"/>
      <c r="KPI19"/>
      <c r="KPM19"/>
      <c r="KPQ19"/>
      <c r="KPU19"/>
      <c r="KPY19"/>
      <c r="KQC19"/>
      <c r="KQG19"/>
      <c r="KQK19"/>
      <c r="KQO19"/>
      <c r="KQS19"/>
      <c r="KQW19"/>
      <c r="KRA19"/>
      <c r="KRE19"/>
      <c r="KRI19"/>
      <c r="KRM19"/>
      <c r="KRQ19"/>
      <c r="KRU19"/>
      <c r="KRY19"/>
      <c r="KSC19"/>
      <c r="KSG19"/>
      <c r="KSK19"/>
      <c r="KSO19"/>
      <c r="KSS19"/>
      <c r="KSW19"/>
      <c r="KTA19"/>
      <c r="KTE19"/>
      <c r="KTI19"/>
      <c r="KTM19"/>
      <c r="KTQ19"/>
      <c r="KTU19"/>
      <c r="KTY19"/>
      <c r="KUC19"/>
      <c r="KUG19"/>
      <c r="KUK19"/>
      <c r="KUO19"/>
      <c r="KUS19"/>
      <c r="KUW19"/>
      <c r="KVA19"/>
      <c r="KVE19"/>
      <c r="KVI19"/>
      <c r="KVM19"/>
      <c r="KVQ19"/>
      <c r="KVU19"/>
      <c r="KVY19"/>
      <c r="KWC19"/>
      <c r="KWG19"/>
      <c r="KWK19"/>
      <c r="KWO19"/>
      <c r="KWS19"/>
      <c r="KWW19"/>
      <c r="KXA19"/>
      <c r="KXE19"/>
      <c r="KXI19"/>
      <c r="KXM19"/>
      <c r="KXQ19"/>
      <c r="KXU19"/>
      <c r="KXY19"/>
      <c r="KYC19"/>
      <c r="KYG19"/>
      <c r="KYK19"/>
      <c r="KYO19"/>
      <c r="KYS19"/>
      <c r="KYW19"/>
      <c r="KZA19"/>
      <c r="KZE19"/>
      <c r="KZI19"/>
      <c r="KZM19"/>
      <c r="KZQ19"/>
      <c r="KZU19"/>
      <c r="KZY19"/>
      <c r="LAC19"/>
      <c r="LAG19"/>
      <c r="LAK19"/>
      <c r="LAO19"/>
      <c r="LAS19"/>
      <c r="LAW19"/>
      <c r="LBA19"/>
      <c r="LBE19"/>
      <c r="LBI19"/>
      <c r="LBM19"/>
      <c r="LBQ19"/>
      <c r="LBU19"/>
      <c r="LBY19"/>
      <c r="LCC19"/>
      <c r="LCG19"/>
      <c r="LCK19"/>
      <c r="LCO19"/>
      <c r="LCS19"/>
      <c r="LCW19"/>
      <c r="LDA19"/>
      <c r="LDE19"/>
      <c r="LDI19"/>
      <c r="LDM19"/>
      <c r="LDQ19"/>
      <c r="LDU19"/>
      <c r="LDY19"/>
      <c r="LEC19"/>
      <c r="LEG19"/>
      <c r="LEK19"/>
      <c r="LEO19"/>
      <c r="LES19"/>
      <c r="LEW19"/>
      <c r="LFA19"/>
      <c r="LFE19"/>
      <c r="LFI19"/>
      <c r="LFM19"/>
      <c r="LFQ19"/>
      <c r="LFU19"/>
      <c r="LFY19"/>
      <c r="LGC19"/>
      <c r="LGG19"/>
      <c r="LGK19"/>
      <c r="LGO19"/>
      <c r="LGS19"/>
      <c r="LGW19"/>
      <c r="LHA19"/>
      <c r="LHE19"/>
      <c r="LHI19"/>
      <c r="LHM19"/>
      <c r="LHQ19"/>
      <c r="LHU19"/>
      <c r="LHY19"/>
      <c r="LIC19"/>
      <c r="LIG19"/>
      <c r="LIK19"/>
      <c r="LIO19"/>
      <c r="LIS19"/>
      <c r="LIW19"/>
      <c r="LJA19"/>
      <c r="LJE19"/>
      <c r="LJI19"/>
      <c r="LJM19"/>
      <c r="LJQ19"/>
      <c r="LJU19"/>
      <c r="LJY19"/>
      <c r="LKC19"/>
      <c r="LKG19"/>
      <c r="LKK19"/>
      <c r="LKO19"/>
      <c r="LKS19"/>
      <c r="LKW19"/>
      <c r="LLA19"/>
      <c r="LLE19"/>
      <c r="LLI19"/>
      <c r="LLM19"/>
      <c r="LLQ19"/>
      <c r="LLU19"/>
      <c r="LLY19"/>
      <c r="LMC19"/>
      <c r="LMG19"/>
      <c r="LMK19"/>
      <c r="LMO19"/>
      <c r="LMS19"/>
      <c r="LMW19"/>
      <c r="LNA19"/>
      <c r="LNE19"/>
      <c r="LNI19"/>
      <c r="LNM19"/>
      <c r="LNQ19"/>
      <c r="LNU19"/>
      <c r="LNY19"/>
      <c r="LOC19"/>
      <c r="LOG19"/>
      <c r="LOK19"/>
      <c r="LOO19"/>
      <c r="LOS19"/>
      <c r="LOW19"/>
      <c r="LPA19"/>
      <c r="LPE19"/>
      <c r="LPI19"/>
      <c r="LPM19"/>
      <c r="LPQ19"/>
      <c r="LPU19"/>
      <c r="LPY19"/>
      <c r="LQC19"/>
      <c r="LQG19"/>
      <c r="LQK19"/>
      <c r="LQO19"/>
      <c r="LQS19"/>
      <c r="LQW19"/>
      <c r="LRA19"/>
      <c r="LRE19"/>
      <c r="LRI19"/>
      <c r="LRM19"/>
      <c r="LRQ19"/>
      <c r="LRU19"/>
      <c r="LRY19"/>
      <c r="LSC19"/>
      <c r="LSG19"/>
      <c r="LSK19"/>
      <c r="LSO19"/>
      <c r="LSS19"/>
      <c r="LSW19"/>
      <c r="LTA19"/>
      <c r="LTE19"/>
      <c r="LTI19"/>
      <c r="LTM19"/>
      <c r="LTQ19"/>
      <c r="LTU19"/>
      <c r="LTY19"/>
      <c r="LUC19"/>
      <c r="LUG19"/>
      <c r="LUK19"/>
      <c r="LUO19"/>
      <c r="LUS19"/>
      <c r="LUW19"/>
      <c r="LVA19"/>
      <c r="LVE19"/>
      <c r="LVI19"/>
      <c r="LVM19"/>
      <c r="LVQ19"/>
      <c r="LVU19"/>
      <c r="LVY19"/>
      <c r="LWC19"/>
      <c r="LWG19"/>
      <c r="LWK19"/>
      <c r="LWO19"/>
      <c r="LWS19"/>
      <c r="LWW19"/>
      <c r="LXA19"/>
      <c r="LXE19"/>
      <c r="LXI19"/>
      <c r="LXM19"/>
      <c r="LXQ19"/>
      <c r="LXU19"/>
      <c r="LXY19"/>
      <c r="LYC19"/>
      <c r="LYG19"/>
      <c r="LYK19"/>
      <c r="LYO19"/>
      <c r="LYS19"/>
      <c r="LYW19"/>
      <c r="LZA19"/>
      <c r="LZE19"/>
      <c r="LZI19"/>
      <c r="LZM19"/>
      <c r="LZQ19"/>
      <c r="LZU19"/>
      <c r="LZY19"/>
      <c r="MAC19"/>
      <c r="MAG19"/>
      <c r="MAK19"/>
      <c r="MAO19"/>
      <c r="MAS19"/>
      <c r="MAW19"/>
      <c r="MBA19"/>
      <c r="MBE19"/>
      <c r="MBI19"/>
      <c r="MBM19"/>
      <c r="MBQ19"/>
      <c r="MBU19"/>
      <c r="MBY19"/>
      <c r="MCC19"/>
      <c r="MCG19"/>
      <c r="MCK19"/>
      <c r="MCO19"/>
      <c r="MCS19"/>
      <c r="MCW19"/>
      <c r="MDA19"/>
      <c r="MDE19"/>
      <c r="MDI19"/>
      <c r="MDM19"/>
      <c r="MDQ19"/>
      <c r="MDU19"/>
      <c r="MDY19"/>
      <c r="MEC19"/>
      <c r="MEG19"/>
      <c r="MEK19"/>
      <c r="MEO19"/>
      <c r="MES19"/>
      <c r="MEW19"/>
      <c r="MFA19"/>
      <c r="MFE19"/>
      <c r="MFI19"/>
      <c r="MFM19"/>
      <c r="MFQ19"/>
      <c r="MFU19"/>
      <c r="MFY19"/>
      <c r="MGC19"/>
      <c r="MGG19"/>
      <c r="MGK19"/>
      <c r="MGO19"/>
      <c r="MGS19"/>
      <c r="MGW19"/>
      <c r="MHA19"/>
      <c r="MHE19"/>
      <c r="MHI19"/>
      <c r="MHM19"/>
      <c r="MHQ19"/>
      <c r="MHU19"/>
      <c r="MHY19"/>
      <c r="MIC19"/>
      <c r="MIG19"/>
      <c r="MIK19"/>
      <c r="MIO19"/>
      <c r="MIS19"/>
      <c r="MIW19"/>
      <c r="MJA19"/>
      <c r="MJE19"/>
      <c r="MJI19"/>
      <c r="MJM19"/>
      <c r="MJQ19"/>
      <c r="MJU19"/>
      <c r="MJY19"/>
      <c r="MKC19"/>
      <c r="MKG19"/>
      <c r="MKK19"/>
      <c r="MKO19"/>
      <c r="MKS19"/>
      <c r="MKW19"/>
      <c r="MLA19"/>
      <c r="MLE19"/>
      <c r="MLI19"/>
      <c r="MLM19"/>
      <c r="MLQ19"/>
      <c r="MLU19"/>
      <c r="MLY19"/>
      <c r="MMC19"/>
      <c r="MMG19"/>
      <c r="MMK19"/>
      <c r="MMO19"/>
      <c r="MMS19"/>
      <c r="MMW19"/>
      <c r="MNA19"/>
      <c r="MNE19"/>
      <c r="MNI19"/>
      <c r="MNM19"/>
      <c r="MNQ19"/>
      <c r="MNU19"/>
      <c r="MNY19"/>
      <c r="MOC19"/>
      <c r="MOG19"/>
      <c r="MOK19"/>
      <c r="MOO19"/>
      <c r="MOS19"/>
      <c r="MOW19"/>
      <c r="MPA19"/>
      <c r="MPE19"/>
      <c r="MPI19"/>
      <c r="MPM19"/>
      <c r="MPQ19"/>
      <c r="MPU19"/>
      <c r="MPY19"/>
      <c r="MQC19"/>
      <c r="MQG19"/>
      <c r="MQK19"/>
      <c r="MQO19"/>
      <c r="MQS19"/>
      <c r="MQW19"/>
      <c r="MRA19"/>
      <c r="MRE19"/>
      <c r="MRI19"/>
      <c r="MRM19"/>
      <c r="MRQ19"/>
      <c r="MRU19"/>
      <c r="MRY19"/>
      <c r="MSC19"/>
      <c r="MSG19"/>
      <c r="MSK19"/>
      <c r="MSO19"/>
      <c r="MSS19"/>
      <c r="MSW19"/>
      <c r="MTA19"/>
      <c r="MTE19"/>
      <c r="MTI19"/>
      <c r="MTM19"/>
      <c r="MTQ19"/>
      <c r="MTU19"/>
      <c r="MTY19"/>
      <c r="MUC19"/>
      <c r="MUG19"/>
      <c r="MUK19"/>
      <c r="MUO19"/>
      <c r="MUS19"/>
      <c r="MUW19"/>
      <c r="MVA19"/>
      <c r="MVE19"/>
      <c r="MVI19"/>
      <c r="MVM19"/>
      <c r="MVQ19"/>
      <c r="MVU19"/>
      <c r="MVY19"/>
      <c r="MWC19"/>
      <c r="MWG19"/>
      <c r="MWK19"/>
      <c r="MWO19"/>
      <c r="MWS19"/>
      <c r="MWW19"/>
      <c r="MXA19"/>
      <c r="MXE19"/>
      <c r="MXI19"/>
      <c r="MXM19"/>
      <c r="MXQ19"/>
      <c r="MXU19"/>
      <c r="MXY19"/>
      <c r="MYC19"/>
      <c r="MYG19"/>
      <c r="MYK19"/>
      <c r="MYO19"/>
      <c r="MYS19"/>
      <c r="MYW19"/>
      <c r="MZA19"/>
      <c r="MZE19"/>
      <c r="MZI19"/>
      <c r="MZM19"/>
      <c r="MZQ19"/>
      <c r="MZU19"/>
      <c r="MZY19"/>
      <c r="NAC19"/>
      <c r="NAG19"/>
      <c r="NAK19"/>
      <c r="NAO19"/>
      <c r="NAS19"/>
      <c r="NAW19"/>
      <c r="NBA19"/>
      <c r="NBE19"/>
      <c r="NBI19"/>
      <c r="NBM19"/>
      <c r="NBQ19"/>
      <c r="NBU19"/>
      <c r="NBY19"/>
      <c r="NCC19"/>
      <c r="NCG19"/>
      <c r="NCK19"/>
      <c r="NCO19"/>
      <c r="NCS19"/>
      <c r="NCW19"/>
      <c r="NDA19"/>
      <c r="NDE19"/>
      <c r="NDI19"/>
      <c r="NDM19"/>
      <c r="NDQ19"/>
      <c r="NDU19"/>
      <c r="NDY19"/>
      <c r="NEC19"/>
      <c r="NEG19"/>
      <c r="NEK19"/>
      <c r="NEO19"/>
      <c r="NES19"/>
      <c r="NEW19"/>
      <c r="NFA19"/>
      <c r="NFE19"/>
      <c r="NFI19"/>
      <c r="NFM19"/>
      <c r="NFQ19"/>
      <c r="NFU19"/>
      <c r="NFY19"/>
      <c r="NGC19"/>
      <c r="NGG19"/>
      <c r="NGK19"/>
      <c r="NGO19"/>
      <c r="NGS19"/>
      <c r="NGW19"/>
      <c r="NHA19"/>
      <c r="NHE19"/>
      <c r="NHI19"/>
      <c r="NHM19"/>
      <c r="NHQ19"/>
      <c r="NHU19"/>
      <c r="NHY19"/>
      <c r="NIC19"/>
      <c r="NIG19"/>
      <c r="NIK19"/>
      <c r="NIO19"/>
      <c r="NIS19"/>
      <c r="NIW19"/>
      <c r="NJA19"/>
      <c r="NJE19"/>
      <c r="NJI19"/>
      <c r="NJM19"/>
      <c r="NJQ19"/>
      <c r="NJU19"/>
      <c r="NJY19"/>
      <c r="NKC19"/>
      <c r="NKG19"/>
      <c r="NKK19"/>
      <c r="NKO19"/>
      <c r="NKS19"/>
      <c r="NKW19"/>
      <c r="NLA19"/>
      <c r="NLE19"/>
      <c r="NLI19"/>
      <c r="NLM19"/>
      <c r="NLQ19"/>
      <c r="NLU19"/>
      <c r="NLY19"/>
      <c r="NMC19"/>
      <c r="NMG19"/>
      <c r="NMK19"/>
      <c r="NMO19"/>
      <c r="NMS19"/>
      <c r="NMW19"/>
      <c r="NNA19"/>
      <c r="NNE19"/>
      <c r="NNI19"/>
      <c r="NNM19"/>
      <c r="NNQ19"/>
      <c r="NNU19"/>
      <c r="NNY19"/>
      <c r="NOC19"/>
      <c r="NOG19"/>
      <c r="NOK19"/>
      <c r="NOO19"/>
      <c r="NOS19"/>
      <c r="NOW19"/>
      <c r="NPA19"/>
      <c r="NPE19"/>
      <c r="NPI19"/>
      <c r="NPM19"/>
      <c r="NPQ19"/>
      <c r="NPU19"/>
      <c r="NPY19"/>
      <c r="NQC19"/>
      <c r="NQG19"/>
      <c r="NQK19"/>
      <c r="NQO19"/>
      <c r="NQS19"/>
      <c r="NQW19"/>
      <c r="NRA19"/>
      <c r="NRE19"/>
      <c r="NRI19"/>
      <c r="NRM19"/>
      <c r="NRQ19"/>
      <c r="NRU19"/>
      <c r="NRY19"/>
      <c r="NSC19"/>
      <c r="NSG19"/>
      <c r="NSK19"/>
      <c r="NSO19"/>
      <c r="NSS19"/>
      <c r="NSW19"/>
      <c r="NTA19"/>
      <c r="NTE19"/>
      <c r="NTI19"/>
      <c r="NTM19"/>
      <c r="NTQ19"/>
      <c r="NTU19"/>
      <c r="NTY19"/>
      <c r="NUC19"/>
      <c r="NUG19"/>
      <c r="NUK19"/>
      <c r="NUO19"/>
      <c r="NUS19"/>
      <c r="NUW19"/>
      <c r="NVA19"/>
      <c r="NVE19"/>
      <c r="NVI19"/>
      <c r="NVM19"/>
      <c r="NVQ19"/>
      <c r="NVU19"/>
      <c r="NVY19"/>
      <c r="NWC19"/>
      <c r="NWG19"/>
      <c r="NWK19"/>
      <c r="NWO19"/>
      <c r="NWS19"/>
      <c r="NWW19"/>
      <c r="NXA19"/>
      <c r="NXE19"/>
      <c r="NXI19"/>
      <c r="NXM19"/>
      <c r="NXQ19"/>
      <c r="NXU19"/>
      <c r="NXY19"/>
      <c r="NYC19"/>
      <c r="NYG19"/>
      <c r="NYK19"/>
      <c r="NYO19"/>
      <c r="NYS19"/>
      <c r="NYW19"/>
      <c r="NZA19"/>
      <c r="NZE19"/>
      <c r="NZI19"/>
      <c r="NZM19"/>
      <c r="NZQ19"/>
      <c r="NZU19"/>
      <c r="NZY19"/>
      <c r="OAC19"/>
      <c r="OAG19"/>
      <c r="OAK19"/>
      <c r="OAO19"/>
      <c r="OAS19"/>
      <c r="OAW19"/>
      <c r="OBA19"/>
      <c r="OBE19"/>
      <c r="OBI19"/>
      <c r="OBM19"/>
      <c r="OBQ19"/>
      <c r="OBU19"/>
      <c r="OBY19"/>
      <c r="OCC19"/>
      <c r="OCG19"/>
      <c r="OCK19"/>
      <c r="OCO19"/>
      <c r="OCS19"/>
      <c r="OCW19"/>
      <c r="ODA19"/>
      <c r="ODE19"/>
      <c r="ODI19"/>
      <c r="ODM19"/>
      <c r="ODQ19"/>
      <c r="ODU19"/>
      <c r="ODY19"/>
      <c r="OEC19"/>
      <c r="OEG19"/>
      <c r="OEK19"/>
      <c r="OEO19"/>
      <c r="OES19"/>
      <c r="OEW19"/>
      <c r="OFA19"/>
      <c r="OFE19"/>
      <c r="OFI19"/>
      <c r="OFM19"/>
      <c r="OFQ19"/>
      <c r="OFU19"/>
      <c r="OFY19"/>
      <c r="OGC19"/>
      <c r="OGG19"/>
      <c r="OGK19"/>
      <c r="OGO19"/>
      <c r="OGS19"/>
      <c r="OGW19"/>
      <c r="OHA19"/>
      <c r="OHE19"/>
      <c r="OHI19"/>
      <c r="OHM19"/>
      <c r="OHQ19"/>
      <c r="OHU19"/>
      <c r="OHY19"/>
      <c r="OIC19"/>
      <c r="OIG19"/>
      <c r="OIK19"/>
      <c r="OIO19"/>
      <c r="OIS19"/>
      <c r="OIW19"/>
      <c r="OJA19"/>
      <c r="OJE19"/>
      <c r="OJI19"/>
      <c r="OJM19"/>
      <c r="OJQ19"/>
      <c r="OJU19"/>
      <c r="OJY19"/>
      <c r="OKC19"/>
      <c r="OKG19"/>
      <c r="OKK19"/>
      <c r="OKO19"/>
      <c r="OKS19"/>
      <c r="OKW19"/>
      <c r="OLA19"/>
      <c r="OLE19"/>
      <c r="OLI19"/>
      <c r="OLM19"/>
      <c r="OLQ19"/>
      <c r="OLU19"/>
      <c r="OLY19"/>
      <c r="OMC19"/>
      <c r="OMG19"/>
      <c r="OMK19"/>
      <c r="OMO19"/>
      <c r="OMS19"/>
      <c r="OMW19"/>
      <c r="ONA19"/>
      <c r="ONE19"/>
      <c r="ONI19"/>
      <c r="ONM19"/>
      <c r="ONQ19"/>
      <c r="ONU19"/>
      <c r="ONY19"/>
      <c r="OOC19"/>
      <c r="OOG19"/>
      <c r="OOK19"/>
      <c r="OOO19"/>
      <c r="OOS19"/>
      <c r="OOW19"/>
      <c r="OPA19"/>
      <c r="OPE19"/>
      <c r="OPI19"/>
      <c r="OPM19"/>
      <c r="OPQ19"/>
      <c r="OPU19"/>
      <c r="OPY19"/>
      <c r="OQC19"/>
      <c r="OQG19"/>
      <c r="OQK19"/>
      <c r="OQO19"/>
      <c r="OQS19"/>
      <c r="OQW19"/>
      <c r="ORA19"/>
      <c r="ORE19"/>
      <c r="ORI19"/>
      <c r="ORM19"/>
      <c r="ORQ19"/>
      <c r="ORU19"/>
      <c r="ORY19"/>
      <c r="OSC19"/>
      <c r="OSG19"/>
      <c r="OSK19"/>
      <c r="OSO19"/>
      <c r="OSS19"/>
      <c r="OSW19"/>
      <c r="OTA19"/>
      <c r="OTE19"/>
      <c r="OTI19"/>
      <c r="OTM19"/>
      <c r="OTQ19"/>
      <c r="OTU19"/>
      <c r="OTY19"/>
      <c r="OUC19"/>
      <c r="OUG19"/>
      <c r="OUK19"/>
      <c r="OUO19"/>
      <c r="OUS19"/>
      <c r="OUW19"/>
      <c r="OVA19"/>
      <c r="OVE19"/>
      <c r="OVI19"/>
      <c r="OVM19"/>
      <c r="OVQ19"/>
      <c r="OVU19"/>
      <c r="OVY19"/>
      <c r="OWC19"/>
      <c r="OWG19"/>
      <c r="OWK19"/>
      <c r="OWO19"/>
      <c r="OWS19"/>
      <c r="OWW19"/>
      <c r="OXA19"/>
      <c r="OXE19"/>
      <c r="OXI19"/>
      <c r="OXM19"/>
      <c r="OXQ19"/>
      <c r="OXU19"/>
      <c r="OXY19"/>
      <c r="OYC19"/>
      <c r="OYG19"/>
      <c r="OYK19"/>
      <c r="OYO19"/>
      <c r="OYS19"/>
      <c r="OYW19"/>
      <c r="OZA19"/>
      <c r="OZE19"/>
      <c r="OZI19"/>
      <c r="OZM19"/>
      <c r="OZQ19"/>
      <c r="OZU19"/>
      <c r="OZY19"/>
      <c r="PAC19"/>
      <c r="PAG19"/>
      <c r="PAK19"/>
      <c r="PAO19"/>
      <c r="PAS19"/>
      <c r="PAW19"/>
      <c r="PBA19"/>
      <c r="PBE19"/>
      <c r="PBI19"/>
      <c r="PBM19"/>
      <c r="PBQ19"/>
      <c r="PBU19"/>
      <c r="PBY19"/>
      <c r="PCC19"/>
      <c r="PCG19"/>
      <c r="PCK19"/>
      <c r="PCO19"/>
      <c r="PCS19"/>
      <c r="PCW19"/>
      <c r="PDA19"/>
      <c r="PDE19"/>
      <c r="PDI19"/>
      <c r="PDM19"/>
      <c r="PDQ19"/>
      <c r="PDU19"/>
      <c r="PDY19"/>
      <c r="PEC19"/>
      <c r="PEG19"/>
      <c r="PEK19"/>
      <c r="PEO19"/>
      <c r="PES19"/>
      <c r="PEW19"/>
      <c r="PFA19"/>
      <c r="PFE19"/>
      <c r="PFI19"/>
      <c r="PFM19"/>
      <c r="PFQ19"/>
      <c r="PFU19"/>
      <c r="PFY19"/>
      <c r="PGC19"/>
      <c r="PGG19"/>
      <c r="PGK19"/>
      <c r="PGO19"/>
      <c r="PGS19"/>
      <c r="PGW19"/>
      <c r="PHA19"/>
      <c r="PHE19"/>
      <c r="PHI19"/>
      <c r="PHM19"/>
      <c r="PHQ19"/>
      <c r="PHU19"/>
      <c r="PHY19"/>
      <c r="PIC19"/>
      <c r="PIG19"/>
      <c r="PIK19"/>
      <c r="PIO19"/>
      <c r="PIS19"/>
      <c r="PIW19"/>
      <c r="PJA19"/>
      <c r="PJE19"/>
      <c r="PJI19"/>
      <c r="PJM19"/>
      <c r="PJQ19"/>
      <c r="PJU19"/>
      <c r="PJY19"/>
      <c r="PKC19"/>
      <c r="PKG19"/>
      <c r="PKK19"/>
      <c r="PKO19"/>
      <c r="PKS19"/>
      <c r="PKW19"/>
      <c r="PLA19"/>
      <c r="PLE19"/>
      <c r="PLI19"/>
      <c r="PLM19"/>
      <c r="PLQ19"/>
      <c r="PLU19"/>
      <c r="PLY19"/>
      <c r="PMC19"/>
      <c r="PMG19"/>
      <c r="PMK19"/>
      <c r="PMO19"/>
      <c r="PMS19"/>
      <c r="PMW19"/>
      <c r="PNA19"/>
      <c r="PNE19"/>
      <c r="PNI19"/>
      <c r="PNM19"/>
      <c r="PNQ19"/>
      <c r="PNU19"/>
      <c r="PNY19"/>
      <c r="POC19"/>
      <c r="POG19"/>
      <c r="POK19"/>
      <c r="POO19"/>
      <c r="POS19"/>
      <c r="POW19"/>
      <c r="PPA19"/>
      <c r="PPE19"/>
      <c r="PPI19"/>
      <c r="PPM19"/>
      <c r="PPQ19"/>
      <c r="PPU19"/>
      <c r="PPY19"/>
      <c r="PQC19"/>
      <c r="PQG19"/>
      <c r="PQK19"/>
      <c r="PQO19"/>
      <c r="PQS19"/>
      <c r="PQW19"/>
      <c r="PRA19"/>
      <c r="PRE19"/>
      <c r="PRI19"/>
      <c r="PRM19"/>
      <c r="PRQ19"/>
      <c r="PRU19"/>
      <c r="PRY19"/>
      <c r="PSC19"/>
      <c r="PSG19"/>
      <c r="PSK19"/>
      <c r="PSO19"/>
      <c r="PSS19"/>
      <c r="PSW19"/>
      <c r="PTA19"/>
      <c r="PTE19"/>
      <c r="PTI19"/>
      <c r="PTM19"/>
      <c r="PTQ19"/>
      <c r="PTU19"/>
      <c r="PTY19"/>
      <c r="PUC19"/>
      <c r="PUG19"/>
      <c r="PUK19"/>
      <c r="PUO19"/>
      <c r="PUS19"/>
      <c r="PUW19"/>
      <c r="PVA19"/>
      <c r="PVE19"/>
      <c r="PVI19"/>
      <c r="PVM19"/>
      <c r="PVQ19"/>
      <c r="PVU19"/>
      <c r="PVY19"/>
      <c r="PWC19"/>
      <c r="PWG19"/>
      <c r="PWK19"/>
      <c r="PWO19"/>
      <c r="PWS19"/>
      <c r="PWW19"/>
      <c r="PXA19"/>
      <c r="PXE19"/>
      <c r="PXI19"/>
      <c r="PXM19"/>
      <c r="PXQ19"/>
      <c r="PXU19"/>
      <c r="PXY19"/>
      <c r="PYC19"/>
      <c r="PYG19"/>
      <c r="PYK19"/>
      <c r="PYO19"/>
      <c r="PYS19"/>
      <c r="PYW19"/>
      <c r="PZA19"/>
      <c r="PZE19"/>
      <c r="PZI19"/>
      <c r="PZM19"/>
      <c r="PZQ19"/>
      <c r="PZU19"/>
      <c r="PZY19"/>
      <c r="QAC19"/>
      <c r="QAG19"/>
      <c r="QAK19"/>
      <c r="QAO19"/>
      <c r="QAS19"/>
      <c r="QAW19"/>
      <c r="QBA19"/>
      <c r="QBE19"/>
      <c r="QBI19"/>
      <c r="QBM19"/>
      <c r="QBQ19"/>
      <c r="QBU19"/>
      <c r="QBY19"/>
      <c r="QCC19"/>
      <c r="QCG19"/>
      <c r="QCK19"/>
      <c r="QCO19"/>
      <c r="QCS19"/>
      <c r="QCW19"/>
      <c r="QDA19"/>
      <c r="QDE19"/>
      <c r="QDI19"/>
      <c r="QDM19"/>
      <c r="QDQ19"/>
      <c r="QDU19"/>
      <c r="QDY19"/>
      <c r="QEC19"/>
      <c r="QEG19"/>
      <c r="QEK19"/>
      <c r="QEO19"/>
      <c r="QES19"/>
      <c r="QEW19"/>
      <c r="QFA19"/>
      <c r="QFE19"/>
      <c r="QFI19"/>
      <c r="QFM19"/>
      <c r="QFQ19"/>
      <c r="QFU19"/>
      <c r="QFY19"/>
      <c r="QGC19"/>
      <c r="QGG19"/>
      <c r="QGK19"/>
      <c r="QGO19"/>
      <c r="QGS19"/>
      <c r="QGW19"/>
      <c r="QHA19"/>
      <c r="QHE19"/>
      <c r="QHI19"/>
      <c r="QHM19"/>
      <c r="QHQ19"/>
      <c r="QHU19"/>
      <c r="QHY19"/>
      <c r="QIC19"/>
      <c r="QIG19"/>
      <c r="QIK19"/>
      <c r="QIO19"/>
      <c r="QIS19"/>
      <c r="QIW19"/>
      <c r="QJA19"/>
      <c r="QJE19"/>
      <c r="QJI19"/>
      <c r="QJM19"/>
      <c r="QJQ19"/>
      <c r="QJU19"/>
      <c r="QJY19"/>
      <c r="QKC19"/>
      <c r="QKG19"/>
      <c r="QKK19"/>
      <c r="QKO19"/>
      <c r="QKS19"/>
      <c r="QKW19"/>
      <c r="QLA19"/>
      <c r="QLE19"/>
      <c r="QLI19"/>
      <c r="QLM19"/>
      <c r="QLQ19"/>
      <c r="QLU19"/>
      <c r="QLY19"/>
      <c r="QMC19"/>
      <c r="QMG19"/>
      <c r="QMK19"/>
      <c r="QMO19"/>
      <c r="QMS19"/>
      <c r="QMW19"/>
      <c r="QNA19"/>
      <c r="QNE19"/>
      <c r="QNI19"/>
      <c r="QNM19"/>
      <c r="QNQ19"/>
      <c r="QNU19"/>
      <c r="QNY19"/>
      <c r="QOC19"/>
      <c r="QOG19"/>
      <c r="QOK19"/>
      <c r="QOO19"/>
      <c r="QOS19"/>
      <c r="QOW19"/>
      <c r="QPA19"/>
      <c r="QPE19"/>
      <c r="QPI19"/>
      <c r="QPM19"/>
      <c r="QPQ19"/>
      <c r="QPU19"/>
      <c r="QPY19"/>
      <c r="QQC19"/>
      <c r="QQG19"/>
      <c r="QQK19"/>
      <c r="QQO19"/>
      <c r="QQS19"/>
      <c r="QQW19"/>
      <c r="QRA19"/>
      <c r="QRE19"/>
      <c r="QRI19"/>
      <c r="QRM19"/>
      <c r="QRQ19"/>
      <c r="QRU19"/>
      <c r="QRY19"/>
      <c r="QSC19"/>
      <c r="QSG19"/>
      <c r="QSK19"/>
      <c r="QSO19"/>
      <c r="QSS19"/>
      <c r="QSW19"/>
      <c r="QTA19"/>
      <c r="QTE19"/>
      <c r="QTI19"/>
      <c r="QTM19"/>
      <c r="QTQ19"/>
      <c r="QTU19"/>
      <c r="QTY19"/>
      <c r="QUC19"/>
      <c r="QUG19"/>
      <c r="QUK19"/>
      <c r="QUO19"/>
      <c r="QUS19"/>
      <c r="QUW19"/>
      <c r="QVA19"/>
      <c r="QVE19"/>
      <c r="QVI19"/>
      <c r="QVM19"/>
      <c r="QVQ19"/>
      <c r="QVU19"/>
      <c r="QVY19"/>
      <c r="QWC19"/>
      <c r="QWG19"/>
      <c r="QWK19"/>
      <c r="QWO19"/>
      <c r="QWS19"/>
      <c r="QWW19"/>
      <c r="QXA19"/>
      <c r="QXE19"/>
      <c r="QXI19"/>
      <c r="QXM19"/>
      <c r="QXQ19"/>
      <c r="QXU19"/>
      <c r="QXY19"/>
      <c r="QYC19"/>
      <c r="QYG19"/>
      <c r="QYK19"/>
      <c r="QYO19"/>
      <c r="QYS19"/>
      <c r="QYW19"/>
      <c r="QZA19"/>
      <c r="QZE19"/>
      <c r="QZI19"/>
      <c r="QZM19"/>
      <c r="QZQ19"/>
      <c r="QZU19"/>
      <c r="QZY19"/>
      <c r="RAC19"/>
      <c r="RAG19"/>
      <c r="RAK19"/>
      <c r="RAO19"/>
      <c r="RAS19"/>
      <c r="RAW19"/>
      <c r="RBA19"/>
      <c r="RBE19"/>
      <c r="RBI19"/>
      <c r="RBM19"/>
      <c r="RBQ19"/>
      <c r="RBU19"/>
      <c r="RBY19"/>
      <c r="RCC19"/>
      <c r="RCG19"/>
      <c r="RCK19"/>
      <c r="RCO19"/>
      <c r="RCS19"/>
      <c r="RCW19"/>
      <c r="RDA19"/>
      <c r="RDE19"/>
      <c r="RDI19"/>
      <c r="RDM19"/>
      <c r="RDQ19"/>
      <c r="RDU19"/>
      <c r="RDY19"/>
      <c r="REC19"/>
      <c r="REG19"/>
      <c r="REK19"/>
      <c r="REO19"/>
      <c r="RES19"/>
      <c r="REW19"/>
      <c r="RFA19"/>
      <c r="RFE19"/>
      <c r="RFI19"/>
      <c r="RFM19"/>
      <c r="RFQ19"/>
      <c r="RFU19"/>
      <c r="RFY19"/>
      <c r="RGC19"/>
      <c r="RGG19"/>
      <c r="RGK19"/>
      <c r="RGO19"/>
      <c r="RGS19"/>
      <c r="RGW19"/>
      <c r="RHA19"/>
      <c r="RHE19"/>
      <c r="RHI19"/>
      <c r="RHM19"/>
      <c r="RHQ19"/>
      <c r="RHU19"/>
      <c r="RHY19"/>
      <c r="RIC19"/>
      <c r="RIG19"/>
      <c r="RIK19"/>
      <c r="RIO19"/>
      <c r="RIS19"/>
      <c r="RIW19"/>
      <c r="RJA19"/>
      <c r="RJE19"/>
      <c r="RJI19"/>
      <c r="RJM19"/>
      <c r="RJQ19"/>
      <c r="RJU19"/>
      <c r="RJY19"/>
      <c r="RKC19"/>
      <c r="RKG19"/>
      <c r="RKK19"/>
      <c r="RKO19"/>
      <c r="RKS19"/>
      <c r="RKW19"/>
      <c r="RLA19"/>
      <c r="RLE19"/>
      <c r="RLI19"/>
      <c r="RLM19"/>
      <c r="RLQ19"/>
      <c r="RLU19"/>
      <c r="RLY19"/>
      <c r="RMC19"/>
      <c r="RMG19"/>
      <c r="RMK19"/>
      <c r="RMO19"/>
      <c r="RMS19"/>
      <c r="RMW19"/>
      <c r="RNA19"/>
      <c r="RNE19"/>
      <c r="RNI19"/>
      <c r="RNM19"/>
      <c r="RNQ19"/>
      <c r="RNU19"/>
      <c r="RNY19"/>
      <c r="ROC19"/>
      <c r="ROG19"/>
      <c r="ROK19"/>
      <c r="ROO19"/>
      <c r="ROS19"/>
      <c r="ROW19"/>
      <c r="RPA19"/>
      <c r="RPE19"/>
      <c r="RPI19"/>
      <c r="RPM19"/>
      <c r="RPQ19"/>
      <c r="RPU19"/>
      <c r="RPY19"/>
      <c r="RQC19"/>
      <c r="RQG19"/>
      <c r="RQK19"/>
      <c r="RQO19"/>
      <c r="RQS19"/>
      <c r="RQW19"/>
      <c r="RRA19"/>
      <c r="RRE19"/>
      <c r="RRI19"/>
      <c r="RRM19"/>
      <c r="RRQ19"/>
      <c r="RRU19"/>
      <c r="RRY19"/>
      <c r="RSC19"/>
      <c r="RSG19"/>
      <c r="RSK19"/>
      <c r="RSO19"/>
      <c r="RSS19"/>
      <c r="RSW19"/>
      <c r="RTA19"/>
      <c r="RTE19"/>
      <c r="RTI19"/>
      <c r="RTM19"/>
      <c r="RTQ19"/>
      <c r="RTU19"/>
      <c r="RTY19"/>
      <c r="RUC19"/>
      <c r="RUG19"/>
      <c r="RUK19"/>
      <c r="RUO19"/>
      <c r="RUS19"/>
      <c r="RUW19"/>
      <c r="RVA19"/>
      <c r="RVE19"/>
      <c r="RVI19"/>
      <c r="RVM19"/>
      <c r="RVQ19"/>
      <c r="RVU19"/>
      <c r="RVY19"/>
      <c r="RWC19"/>
      <c r="RWG19"/>
      <c r="RWK19"/>
      <c r="RWO19"/>
      <c r="RWS19"/>
      <c r="RWW19"/>
      <c r="RXA19"/>
      <c r="RXE19"/>
      <c r="RXI19"/>
      <c r="RXM19"/>
      <c r="RXQ19"/>
      <c r="RXU19"/>
      <c r="RXY19"/>
      <c r="RYC19"/>
      <c r="RYG19"/>
      <c r="RYK19"/>
      <c r="RYO19"/>
      <c r="RYS19"/>
      <c r="RYW19"/>
      <c r="RZA19"/>
      <c r="RZE19"/>
      <c r="RZI19"/>
      <c r="RZM19"/>
      <c r="RZQ19"/>
      <c r="RZU19"/>
      <c r="RZY19"/>
      <c r="SAC19"/>
      <c r="SAG19"/>
      <c r="SAK19"/>
      <c r="SAO19"/>
      <c r="SAS19"/>
      <c r="SAW19"/>
      <c r="SBA19"/>
      <c r="SBE19"/>
      <c r="SBI19"/>
      <c r="SBM19"/>
      <c r="SBQ19"/>
      <c r="SBU19"/>
      <c r="SBY19"/>
      <c r="SCC19"/>
      <c r="SCG19"/>
      <c r="SCK19"/>
      <c r="SCO19"/>
      <c r="SCS19"/>
      <c r="SCW19"/>
      <c r="SDA19"/>
      <c r="SDE19"/>
      <c r="SDI19"/>
      <c r="SDM19"/>
      <c r="SDQ19"/>
      <c r="SDU19"/>
      <c r="SDY19"/>
      <c r="SEC19"/>
      <c r="SEG19"/>
      <c r="SEK19"/>
      <c r="SEO19"/>
      <c r="SES19"/>
      <c r="SEW19"/>
      <c r="SFA19"/>
      <c r="SFE19"/>
      <c r="SFI19"/>
      <c r="SFM19"/>
      <c r="SFQ19"/>
      <c r="SFU19"/>
      <c r="SFY19"/>
      <c r="SGC19"/>
      <c r="SGG19"/>
      <c r="SGK19"/>
      <c r="SGO19"/>
      <c r="SGS19"/>
      <c r="SGW19"/>
      <c r="SHA19"/>
      <c r="SHE19"/>
      <c r="SHI19"/>
      <c r="SHM19"/>
      <c r="SHQ19"/>
      <c r="SHU19"/>
      <c r="SHY19"/>
      <c r="SIC19"/>
      <c r="SIG19"/>
      <c r="SIK19"/>
      <c r="SIO19"/>
      <c r="SIS19"/>
      <c r="SIW19"/>
      <c r="SJA19"/>
      <c r="SJE19"/>
      <c r="SJI19"/>
      <c r="SJM19"/>
      <c r="SJQ19"/>
      <c r="SJU19"/>
      <c r="SJY19"/>
      <c r="SKC19"/>
      <c r="SKG19"/>
      <c r="SKK19"/>
      <c r="SKO19"/>
      <c r="SKS19"/>
      <c r="SKW19"/>
      <c r="SLA19"/>
      <c r="SLE19"/>
      <c r="SLI19"/>
      <c r="SLM19"/>
      <c r="SLQ19"/>
      <c r="SLU19"/>
      <c r="SLY19"/>
      <c r="SMC19"/>
      <c r="SMG19"/>
      <c r="SMK19"/>
      <c r="SMO19"/>
      <c r="SMS19"/>
      <c r="SMW19"/>
      <c r="SNA19"/>
      <c r="SNE19"/>
      <c r="SNI19"/>
      <c r="SNM19"/>
      <c r="SNQ19"/>
      <c r="SNU19"/>
      <c r="SNY19"/>
      <c r="SOC19"/>
      <c r="SOG19"/>
      <c r="SOK19"/>
      <c r="SOO19"/>
      <c r="SOS19"/>
      <c r="SOW19"/>
      <c r="SPA19"/>
      <c r="SPE19"/>
      <c r="SPI19"/>
      <c r="SPM19"/>
      <c r="SPQ19"/>
      <c r="SPU19"/>
      <c r="SPY19"/>
      <c r="SQC19"/>
      <c r="SQG19"/>
      <c r="SQK19"/>
      <c r="SQO19"/>
      <c r="SQS19"/>
      <c r="SQW19"/>
      <c r="SRA19"/>
      <c r="SRE19"/>
      <c r="SRI19"/>
      <c r="SRM19"/>
      <c r="SRQ19"/>
      <c r="SRU19"/>
      <c r="SRY19"/>
      <c r="SSC19"/>
      <c r="SSG19"/>
      <c r="SSK19"/>
      <c r="SSO19"/>
      <c r="SSS19"/>
      <c r="SSW19"/>
      <c r="STA19"/>
      <c r="STE19"/>
      <c r="STI19"/>
      <c r="STM19"/>
      <c r="STQ19"/>
      <c r="STU19"/>
      <c r="STY19"/>
      <c r="SUC19"/>
      <c r="SUG19"/>
      <c r="SUK19"/>
      <c r="SUO19"/>
      <c r="SUS19"/>
      <c r="SUW19"/>
      <c r="SVA19"/>
      <c r="SVE19"/>
      <c r="SVI19"/>
      <c r="SVM19"/>
      <c r="SVQ19"/>
      <c r="SVU19"/>
      <c r="SVY19"/>
      <c r="SWC19"/>
      <c r="SWG19"/>
      <c r="SWK19"/>
      <c r="SWO19"/>
      <c r="SWS19"/>
      <c r="SWW19"/>
      <c r="SXA19"/>
      <c r="SXE19"/>
      <c r="SXI19"/>
      <c r="SXM19"/>
      <c r="SXQ19"/>
      <c r="SXU19"/>
      <c r="SXY19"/>
      <c r="SYC19"/>
      <c r="SYG19"/>
      <c r="SYK19"/>
      <c r="SYO19"/>
      <c r="SYS19"/>
      <c r="SYW19"/>
      <c r="SZA19"/>
      <c r="SZE19"/>
      <c r="SZI19"/>
      <c r="SZM19"/>
      <c r="SZQ19"/>
      <c r="SZU19"/>
      <c r="SZY19"/>
      <c r="TAC19"/>
      <c r="TAG19"/>
      <c r="TAK19"/>
      <c r="TAO19"/>
      <c r="TAS19"/>
      <c r="TAW19"/>
      <c r="TBA19"/>
      <c r="TBE19"/>
      <c r="TBI19"/>
      <c r="TBM19"/>
      <c r="TBQ19"/>
      <c r="TBU19"/>
      <c r="TBY19"/>
      <c r="TCC19"/>
      <c r="TCG19"/>
      <c r="TCK19"/>
      <c r="TCO19"/>
      <c r="TCS19"/>
      <c r="TCW19"/>
      <c r="TDA19"/>
      <c r="TDE19"/>
      <c r="TDI19"/>
      <c r="TDM19"/>
      <c r="TDQ19"/>
      <c r="TDU19"/>
      <c r="TDY19"/>
      <c r="TEC19"/>
      <c r="TEG19"/>
      <c r="TEK19"/>
      <c r="TEO19"/>
      <c r="TES19"/>
      <c r="TEW19"/>
      <c r="TFA19"/>
      <c r="TFE19"/>
      <c r="TFI19"/>
      <c r="TFM19"/>
      <c r="TFQ19"/>
      <c r="TFU19"/>
      <c r="TFY19"/>
      <c r="TGC19"/>
      <c r="TGG19"/>
      <c r="TGK19"/>
      <c r="TGO19"/>
      <c r="TGS19"/>
      <c r="TGW19"/>
      <c r="THA19"/>
      <c r="THE19"/>
      <c r="THI19"/>
      <c r="THM19"/>
      <c r="THQ19"/>
      <c r="THU19"/>
      <c r="THY19"/>
      <c r="TIC19"/>
      <c r="TIG19"/>
      <c r="TIK19"/>
      <c r="TIO19"/>
      <c r="TIS19"/>
      <c r="TIW19"/>
      <c r="TJA19"/>
      <c r="TJE19"/>
      <c r="TJI19"/>
      <c r="TJM19"/>
      <c r="TJQ19"/>
      <c r="TJU19"/>
      <c r="TJY19"/>
      <c r="TKC19"/>
      <c r="TKG19"/>
      <c r="TKK19"/>
      <c r="TKO19"/>
      <c r="TKS19"/>
      <c r="TKW19"/>
      <c r="TLA19"/>
      <c r="TLE19"/>
      <c r="TLI19"/>
      <c r="TLM19"/>
      <c r="TLQ19"/>
      <c r="TLU19"/>
      <c r="TLY19"/>
      <c r="TMC19"/>
      <c r="TMG19"/>
      <c r="TMK19"/>
      <c r="TMO19"/>
      <c r="TMS19"/>
      <c r="TMW19"/>
      <c r="TNA19"/>
      <c r="TNE19"/>
      <c r="TNI19"/>
      <c r="TNM19"/>
      <c r="TNQ19"/>
      <c r="TNU19"/>
      <c r="TNY19"/>
      <c r="TOC19"/>
      <c r="TOG19"/>
      <c r="TOK19"/>
      <c r="TOO19"/>
      <c r="TOS19"/>
      <c r="TOW19"/>
      <c r="TPA19"/>
      <c r="TPE19"/>
      <c r="TPI19"/>
      <c r="TPM19"/>
      <c r="TPQ19"/>
      <c r="TPU19"/>
      <c r="TPY19"/>
      <c r="TQC19"/>
      <c r="TQG19"/>
      <c r="TQK19"/>
      <c r="TQO19"/>
      <c r="TQS19"/>
      <c r="TQW19"/>
      <c r="TRA19"/>
      <c r="TRE19"/>
      <c r="TRI19"/>
      <c r="TRM19"/>
      <c r="TRQ19"/>
      <c r="TRU19"/>
      <c r="TRY19"/>
      <c r="TSC19"/>
      <c r="TSG19"/>
      <c r="TSK19"/>
      <c r="TSO19"/>
      <c r="TSS19"/>
      <c r="TSW19"/>
      <c r="TTA19"/>
      <c r="TTE19"/>
      <c r="TTI19"/>
      <c r="TTM19"/>
      <c r="TTQ19"/>
      <c r="TTU19"/>
      <c r="TTY19"/>
      <c r="TUC19"/>
      <c r="TUG19"/>
      <c r="TUK19"/>
      <c r="TUO19"/>
      <c r="TUS19"/>
      <c r="TUW19"/>
      <c r="TVA19"/>
      <c r="TVE19"/>
      <c r="TVI19"/>
      <c r="TVM19"/>
      <c r="TVQ19"/>
      <c r="TVU19"/>
      <c r="TVY19"/>
      <c r="TWC19"/>
      <c r="TWG19"/>
      <c r="TWK19"/>
      <c r="TWO19"/>
      <c r="TWS19"/>
      <c r="TWW19"/>
      <c r="TXA19"/>
      <c r="TXE19"/>
      <c r="TXI19"/>
      <c r="TXM19"/>
      <c r="TXQ19"/>
      <c r="TXU19"/>
      <c r="TXY19"/>
      <c r="TYC19"/>
      <c r="TYG19"/>
      <c r="TYK19"/>
      <c r="TYO19"/>
      <c r="TYS19"/>
      <c r="TYW19"/>
      <c r="TZA19"/>
      <c r="TZE19"/>
      <c r="TZI19"/>
      <c r="TZM19"/>
      <c r="TZQ19"/>
      <c r="TZU19"/>
      <c r="TZY19"/>
      <c r="UAC19"/>
      <c r="UAG19"/>
      <c r="UAK19"/>
      <c r="UAO19"/>
      <c r="UAS19"/>
      <c r="UAW19"/>
      <c r="UBA19"/>
      <c r="UBE19"/>
      <c r="UBI19"/>
      <c r="UBM19"/>
      <c r="UBQ19"/>
      <c r="UBU19"/>
      <c r="UBY19"/>
      <c r="UCC19"/>
      <c r="UCG19"/>
      <c r="UCK19"/>
      <c r="UCO19"/>
      <c r="UCS19"/>
      <c r="UCW19"/>
      <c r="UDA19"/>
      <c r="UDE19"/>
      <c r="UDI19"/>
      <c r="UDM19"/>
      <c r="UDQ19"/>
      <c r="UDU19"/>
      <c r="UDY19"/>
      <c r="UEC19"/>
      <c r="UEG19"/>
      <c r="UEK19"/>
      <c r="UEO19"/>
      <c r="UES19"/>
      <c r="UEW19"/>
      <c r="UFA19"/>
      <c r="UFE19"/>
      <c r="UFI19"/>
      <c r="UFM19"/>
      <c r="UFQ19"/>
      <c r="UFU19"/>
      <c r="UFY19"/>
      <c r="UGC19"/>
      <c r="UGG19"/>
      <c r="UGK19"/>
      <c r="UGO19"/>
      <c r="UGS19"/>
      <c r="UGW19"/>
      <c r="UHA19"/>
      <c r="UHE19"/>
      <c r="UHI19"/>
      <c r="UHM19"/>
      <c r="UHQ19"/>
      <c r="UHU19"/>
      <c r="UHY19"/>
      <c r="UIC19"/>
      <c r="UIG19"/>
      <c r="UIK19"/>
      <c r="UIO19"/>
      <c r="UIS19"/>
      <c r="UIW19"/>
      <c r="UJA19"/>
      <c r="UJE19"/>
      <c r="UJI19"/>
      <c r="UJM19"/>
      <c r="UJQ19"/>
      <c r="UJU19"/>
      <c r="UJY19"/>
      <c r="UKC19"/>
      <c r="UKG19"/>
      <c r="UKK19"/>
      <c r="UKO19"/>
      <c r="UKS19"/>
      <c r="UKW19"/>
      <c r="ULA19"/>
      <c r="ULE19"/>
      <c r="ULI19"/>
      <c r="ULM19"/>
      <c r="ULQ19"/>
      <c r="ULU19"/>
      <c r="ULY19"/>
      <c r="UMC19"/>
      <c r="UMG19"/>
      <c r="UMK19"/>
      <c r="UMO19"/>
      <c r="UMS19"/>
      <c r="UMW19"/>
      <c r="UNA19"/>
      <c r="UNE19"/>
      <c r="UNI19"/>
      <c r="UNM19"/>
      <c r="UNQ19"/>
      <c r="UNU19"/>
      <c r="UNY19"/>
      <c r="UOC19"/>
      <c r="UOG19"/>
      <c r="UOK19"/>
      <c r="UOO19"/>
      <c r="UOS19"/>
      <c r="UOW19"/>
      <c r="UPA19"/>
      <c r="UPE19"/>
      <c r="UPI19"/>
      <c r="UPM19"/>
      <c r="UPQ19"/>
      <c r="UPU19"/>
      <c r="UPY19"/>
      <c r="UQC19"/>
      <c r="UQG19"/>
      <c r="UQK19"/>
      <c r="UQO19"/>
      <c r="UQS19"/>
      <c r="UQW19"/>
      <c r="URA19"/>
      <c r="URE19"/>
      <c r="URI19"/>
      <c r="URM19"/>
      <c r="URQ19"/>
      <c r="URU19"/>
      <c r="URY19"/>
      <c r="USC19"/>
      <c r="USG19"/>
      <c r="USK19"/>
      <c r="USO19"/>
      <c r="USS19"/>
      <c r="USW19"/>
      <c r="UTA19"/>
      <c r="UTE19"/>
      <c r="UTI19"/>
      <c r="UTM19"/>
      <c r="UTQ19"/>
      <c r="UTU19"/>
      <c r="UTY19"/>
      <c r="UUC19"/>
      <c r="UUG19"/>
      <c r="UUK19"/>
      <c r="UUO19"/>
      <c r="UUS19"/>
      <c r="UUW19"/>
      <c r="UVA19"/>
      <c r="UVE19"/>
      <c r="UVI19"/>
      <c r="UVM19"/>
      <c r="UVQ19"/>
      <c r="UVU19"/>
      <c r="UVY19"/>
      <c r="UWC19"/>
      <c r="UWG19"/>
      <c r="UWK19"/>
      <c r="UWO19"/>
      <c r="UWS19"/>
      <c r="UWW19"/>
      <c r="UXA19"/>
      <c r="UXE19"/>
      <c r="UXI19"/>
      <c r="UXM19"/>
      <c r="UXQ19"/>
      <c r="UXU19"/>
      <c r="UXY19"/>
      <c r="UYC19"/>
      <c r="UYG19"/>
      <c r="UYK19"/>
      <c r="UYO19"/>
      <c r="UYS19"/>
      <c r="UYW19"/>
      <c r="UZA19"/>
      <c r="UZE19"/>
      <c r="UZI19"/>
      <c r="UZM19"/>
      <c r="UZQ19"/>
      <c r="UZU19"/>
      <c r="UZY19"/>
      <c r="VAC19"/>
      <c r="VAG19"/>
      <c r="VAK19"/>
      <c r="VAO19"/>
      <c r="VAS19"/>
      <c r="VAW19"/>
      <c r="VBA19"/>
      <c r="VBE19"/>
      <c r="VBI19"/>
      <c r="VBM19"/>
      <c r="VBQ19"/>
      <c r="VBU19"/>
      <c r="VBY19"/>
      <c r="VCC19"/>
      <c r="VCG19"/>
      <c r="VCK19"/>
      <c r="VCO19"/>
      <c r="VCS19"/>
      <c r="VCW19"/>
      <c r="VDA19"/>
      <c r="VDE19"/>
      <c r="VDI19"/>
      <c r="VDM19"/>
      <c r="VDQ19"/>
      <c r="VDU19"/>
      <c r="VDY19"/>
      <c r="VEC19"/>
      <c r="VEG19"/>
      <c r="VEK19"/>
      <c r="VEO19"/>
      <c r="VES19"/>
      <c r="VEW19"/>
      <c r="VFA19"/>
      <c r="VFE19"/>
      <c r="VFI19"/>
      <c r="VFM19"/>
      <c r="VFQ19"/>
      <c r="VFU19"/>
      <c r="VFY19"/>
      <c r="VGC19"/>
      <c r="VGG19"/>
      <c r="VGK19"/>
      <c r="VGO19"/>
      <c r="VGS19"/>
      <c r="VGW19"/>
      <c r="VHA19"/>
      <c r="VHE19"/>
      <c r="VHI19"/>
      <c r="VHM19"/>
      <c r="VHQ19"/>
      <c r="VHU19"/>
      <c r="VHY19"/>
      <c r="VIC19"/>
      <c r="VIG19"/>
      <c r="VIK19"/>
      <c r="VIO19"/>
      <c r="VIS19"/>
      <c r="VIW19"/>
      <c r="VJA19"/>
      <c r="VJE19"/>
      <c r="VJI19"/>
      <c r="VJM19"/>
      <c r="VJQ19"/>
      <c r="VJU19"/>
      <c r="VJY19"/>
      <c r="VKC19"/>
      <c r="VKG19"/>
      <c r="VKK19"/>
      <c r="VKO19"/>
      <c r="VKS19"/>
      <c r="VKW19"/>
      <c r="VLA19"/>
      <c r="VLE19"/>
      <c r="VLI19"/>
      <c r="VLM19"/>
      <c r="VLQ19"/>
      <c r="VLU19"/>
      <c r="VLY19"/>
      <c r="VMC19"/>
      <c r="VMG19"/>
      <c r="VMK19"/>
      <c r="VMO19"/>
      <c r="VMS19"/>
      <c r="VMW19"/>
      <c r="VNA19"/>
      <c r="VNE19"/>
      <c r="VNI19"/>
      <c r="VNM19"/>
      <c r="VNQ19"/>
      <c r="VNU19"/>
      <c r="VNY19"/>
      <c r="VOC19"/>
      <c r="VOG19"/>
      <c r="VOK19"/>
      <c r="VOO19"/>
      <c r="VOS19"/>
      <c r="VOW19"/>
      <c r="VPA19"/>
      <c r="VPE19"/>
      <c r="VPI19"/>
      <c r="VPM19"/>
      <c r="VPQ19"/>
      <c r="VPU19"/>
      <c r="VPY19"/>
      <c r="VQC19"/>
      <c r="VQG19"/>
      <c r="VQK19"/>
      <c r="VQO19"/>
      <c r="VQS19"/>
      <c r="VQW19"/>
      <c r="VRA19"/>
      <c r="VRE19"/>
      <c r="VRI19"/>
      <c r="VRM19"/>
      <c r="VRQ19"/>
      <c r="VRU19"/>
      <c r="VRY19"/>
      <c r="VSC19"/>
      <c r="VSG19"/>
      <c r="VSK19"/>
      <c r="VSO19"/>
      <c r="VSS19"/>
      <c r="VSW19"/>
      <c r="VTA19"/>
      <c r="VTE19"/>
      <c r="VTI19"/>
      <c r="VTM19"/>
      <c r="VTQ19"/>
      <c r="VTU19"/>
      <c r="VTY19"/>
      <c r="VUC19"/>
      <c r="VUG19"/>
      <c r="VUK19"/>
      <c r="VUO19"/>
      <c r="VUS19"/>
      <c r="VUW19"/>
      <c r="VVA19"/>
      <c r="VVE19"/>
      <c r="VVI19"/>
      <c r="VVM19"/>
      <c r="VVQ19"/>
      <c r="VVU19"/>
      <c r="VVY19"/>
      <c r="VWC19"/>
      <c r="VWG19"/>
      <c r="VWK19"/>
      <c r="VWO19"/>
      <c r="VWS19"/>
      <c r="VWW19"/>
      <c r="VXA19"/>
      <c r="VXE19"/>
      <c r="VXI19"/>
      <c r="VXM19"/>
      <c r="VXQ19"/>
      <c r="VXU19"/>
      <c r="VXY19"/>
      <c r="VYC19"/>
      <c r="VYG19"/>
      <c r="VYK19"/>
      <c r="VYO19"/>
      <c r="VYS19"/>
      <c r="VYW19"/>
      <c r="VZA19"/>
      <c r="VZE19"/>
      <c r="VZI19"/>
      <c r="VZM19"/>
      <c r="VZQ19"/>
      <c r="VZU19"/>
      <c r="VZY19"/>
      <c r="WAC19"/>
      <c r="WAG19"/>
      <c r="WAK19"/>
      <c r="WAO19"/>
      <c r="WAS19"/>
      <c r="WAW19"/>
      <c r="WBA19"/>
      <c r="WBE19"/>
      <c r="WBI19"/>
      <c r="WBM19"/>
      <c r="WBQ19"/>
      <c r="WBU19"/>
      <c r="WBY19"/>
      <c r="WCC19"/>
      <c r="WCG19"/>
      <c r="WCK19"/>
      <c r="WCO19"/>
      <c r="WCS19"/>
      <c r="WCW19"/>
      <c r="WDA19"/>
      <c r="WDE19"/>
      <c r="WDI19"/>
      <c r="WDM19"/>
      <c r="WDQ19"/>
      <c r="WDU19"/>
      <c r="WDY19"/>
      <c r="WEC19"/>
      <c r="WEG19"/>
      <c r="WEK19"/>
      <c r="WEO19"/>
      <c r="WES19"/>
      <c r="WEW19"/>
      <c r="WFA19"/>
      <c r="WFE19"/>
      <c r="WFI19"/>
      <c r="WFM19"/>
      <c r="WFQ19"/>
      <c r="WFU19"/>
      <c r="WFY19"/>
      <c r="WGC19"/>
      <c r="WGG19"/>
      <c r="WGK19"/>
      <c r="WGO19"/>
      <c r="WGS19"/>
      <c r="WGW19"/>
      <c r="WHA19"/>
      <c r="WHE19"/>
      <c r="WHI19"/>
      <c r="WHM19"/>
      <c r="WHQ19"/>
      <c r="WHU19"/>
      <c r="WHY19"/>
      <c r="WIC19"/>
      <c r="WIG19"/>
      <c r="WIK19"/>
      <c r="WIO19"/>
      <c r="WIS19"/>
      <c r="WIW19"/>
      <c r="WJA19"/>
      <c r="WJE19"/>
      <c r="WJI19"/>
      <c r="WJM19"/>
      <c r="WJQ19"/>
      <c r="WJU19"/>
      <c r="WJY19"/>
      <c r="WKC19"/>
      <c r="WKG19"/>
      <c r="WKK19"/>
      <c r="WKO19"/>
      <c r="WKS19"/>
      <c r="WKW19"/>
      <c r="WLA19"/>
      <c r="WLE19"/>
      <c r="WLI19"/>
      <c r="WLM19"/>
      <c r="WLQ19"/>
      <c r="WLU19"/>
      <c r="WLY19"/>
      <c r="WMC19"/>
      <c r="WMG19"/>
      <c r="WMK19"/>
      <c r="WMO19"/>
      <c r="WMS19"/>
      <c r="WMW19"/>
      <c r="WNA19"/>
      <c r="WNE19"/>
      <c r="WNI19"/>
      <c r="WNM19"/>
      <c r="WNQ19"/>
      <c r="WNU19"/>
      <c r="WNY19"/>
      <c r="WOC19"/>
      <c r="WOG19"/>
      <c r="WOK19"/>
      <c r="WOO19"/>
      <c r="WOS19"/>
      <c r="WOW19"/>
      <c r="WPA19"/>
      <c r="WPE19"/>
      <c r="WPI19"/>
      <c r="WPM19"/>
      <c r="WPQ19"/>
      <c r="WPU19"/>
      <c r="WPY19"/>
      <c r="WQC19"/>
      <c r="WQG19"/>
      <c r="WQK19"/>
      <c r="WQO19"/>
      <c r="WQS19"/>
      <c r="WQW19"/>
      <c r="WRA19"/>
      <c r="WRE19"/>
      <c r="WRI19"/>
      <c r="WRM19"/>
      <c r="WRQ19"/>
      <c r="WRU19"/>
      <c r="WRY19"/>
      <c r="WSC19"/>
      <c r="WSG19"/>
      <c r="WSK19"/>
      <c r="WSO19"/>
      <c r="WSS19"/>
      <c r="WSW19"/>
      <c r="WTA19"/>
      <c r="WTE19"/>
      <c r="WTI19"/>
      <c r="WTM19"/>
      <c r="WTQ19"/>
      <c r="WTU19"/>
      <c r="WTY19"/>
      <c r="WUC19"/>
      <c r="WUG19"/>
      <c r="WUK19"/>
      <c r="WUO19"/>
      <c r="WUS19"/>
      <c r="WUW19"/>
      <c r="WVA19"/>
      <c r="WVE19"/>
      <c r="WVI19"/>
      <c r="WVM19"/>
      <c r="WVQ19"/>
      <c r="WVU19"/>
      <c r="WVY19"/>
      <c r="WWC19"/>
      <c r="WWG19"/>
      <c r="WWK19"/>
      <c r="WWO19"/>
      <c r="WWS19"/>
      <c r="WWW19"/>
      <c r="WXA19"/>
      <c r="WXE19"/>
      <c r="WXI19"/>
      <c r="WXM19"/>
      <c r="WXQ19"/>
      <c r="WXU19"/>
      <c r="WXY19"/>
      <c r="WYC19"/>
      <c r="WYG19"/>
      <c r="WYK19"/>
      <c r="WYO19"/>
      <c r="WYS19"/>
      <c r="WYW19"/>
      <c r="WZA19"/>
      <c r="WZE19"/>
      <c r="WZI19"/>
      <c r="WZM19"/>
      <c r="WZQ19"/>
      <c r="WZU19"/>
      <c r="WZY19"/>
      <c r="XAC19"/>
      <c r="XAG19"/>
      <c r="XAK19"/>
      <c r="XAO19"/>
      <c r="XAS19"/>
      <c r="XAW19"/>
      <c r="XBA19"/>
      <c r="XBE19"/>
      <c r="XBI19"/>
      <c r="XBM19"/>
      <c r="XBQ19"/>
      <c r="XBU19"/>
      <c r="XBY19"/>
      <c r="XCC19"/>
      <c r="XCG19"/>
      <c r="XCK19"/>
      <c r="XCO19"/>
      <c r="XCS19"/>
      <c r="XCW19"/>
      <c r="XDA19"/>
      <c r="XDE19"/>
      <c r="XDI19"/>
      <c r="XDM19"/>
      <c r="XDQ19"/>
      <c r="XDU19"/>
      <c r="XDY19"/>
      <c r="XEC19"/>
      <c r="XEG19"/>
      <c r="XEK19"/>
      <c r="XEO19"/>
      <c r="XES19"/>
      <c r="XEW19"/>
      <c r="XFA19"/>
    </row>
    <row r="20" spans="1:1021 1025:2045 2049:3069 3073:4093 4097:5117 5121:6141 6145:7165 7169:8189 8193:9213 9217:10237 10241:11261 11265:12285 12289:13309 13313:14333 14337:15357 15361:16381" s="1" customFormat="1" x14ac:dyDescent="0.35">
      <c r="A20" s="21">
        <v>1</v>
      </c>
      <c r="B20" s="21">
        <v>16</v>
      </c>
      <c r="C20" s="1" t="str">
        <f xml:space="preserve"> IF('Master Player List'!L18=1,'Master Player List'!C18,"")</f>
        <v/>
      </c>
      <c r="D20" s="1" t="str">
        <f xml:space="preserve"> IF('Master Player List'!L18=1,'Master Player List'!F18,"")</f>
        <v/>
      </c>
      <c r="E20" s="21" t="str">
        <f xml:space="preserve"> IF('Master Player List'!L18=1,'Master Player List'!I18,"")</f>
        <v/>
      </c>
      <c r="F20" s="22"/>
      <c r="I20" s="21"/>
      <c r="J20" s="22"/>
      <c r="M20"/>
      <c r="N20"/>
      <c r="Q20"/>
      <c r="U20"/>
      <c r="Y20"/>
      <c r="AC20"/>
      <c r="AG20"/>
      <c r="AK20"/>
      <c r="AO20"/>
      <c r="AS20"/>
      <c r="AW20"/>
      <c r="BA20"/>
      <c r="BE20"/>
      <c r="BI20"/>
      <c r="BM20"/>
      <c r="BQ20"/>
      <c r="BU20"/>
      <c r="BY20"/>
      <c r="CC20"/>
      <c r="CG20"/>
      <c r="CK20"/>
      <c r="CO20"/>
      <c r="CS20"/>
      <c r="CW20"/>
      <c r="DA20"/>
      <c r="DE20"/>
      <c r="DI20"/>
      <c r="DM20"/>
      <c r="DQ20"/>
      <c r="DU20"/>
      <c r="DY20"/>
      <c r="EC20"/>
      <c r="EG20"/>
      <c r="EK20"/>
      <c r="EO20"/>
      <c r="ES20"/>
      <c r="EW20"/>
      <c r="FA20"/>
      <c r="FE20"/>
      <c r="FI20"/>
      <c r="FM20"/>
      <c r="FQ20"/>
      <c r="FU20"/>
      <c r="FY20"/>
      <c r="GC20"/>
      <c r="GG20"/>
      <c r="GK20"/>
      <c r="GO20"/>
      <c r="GS20"/>
      <c r="GW20"/>
      <c r="HA20"/>
      <c r="HE20"/>
      <c r="HI20"/>
      <c r="HM20"/>
      <c r="HQ20"/>
      <c r="HU20"/>
      <c r="HY20"/>
      <c r="IC20"/>
      <c r="IG20"/>
      <c r="IK20"/>
      <c r="IO20"/>
      <c r="IS20"/>
      <c r="IW20"/>
      <c r="JA20"/>
      <c r="JE20"/>
      <c r="JI20"/>
      <c r="JM20"/>
      <c r="JQ20"/>
      <c r="JU20"/>
      <c r="JY20"/>
      <c r="KC20"/>
      <c r="KG20"/>
      <c r="KK20"/>
      <c r="KO20"/>
      <c r="KS20"/>
      <c r="KW20"/>
      <c r="LA20"/>
      <c r="LE20"/>
      <c r="LI20"/>
      <c r="LM20"/>
      <c r="LQ20"/>
      <c r="LU20"/>
      <c r="LY20"/>
      <c r="MC20"/>
      <c r="MG20"/>
      <c r="MK20"/>
      <c r="MO20"/>
      <c r="MS20"/>
      <c r="MW20"/>
      <c r="NA20"/>
      <c r="NE20"/>
      <c r="NI20"/>
      <c r="NM20"/>
      <c r="NQ20"/>
      <c r="NU20"/>
      <c r="NY20"/>
      <c r="OC20"/>
      <c r="OG20"/>
      <c r="OK20"/>
      <c r="OO20"/>
      <c r="OS20"/>
      <c r="OW20"/>
      <c r="PA20"/>
      <c r="PE20"/>
      <c r="PI20"/>
      <c r="PM20"/>
      <c r="PQ20"/>
      <c r="PU20"/>
      <c r="PY20"/>
      <c r="QC20"/>
      <c r="QG20"/>
      <c r="QK20"/>
      <c r="QO20"/>
      <c r="QS20"/>
      <c r="QW20"/>
      <c r="RA20"/>
      <c r="RE20"/>
      <c r="RI20"/>
      <c r="RM20"/>
      <c r="RQ20"/>
      <c r="RU20"/>
      <c r="RY20"/>
      <c r="SC20"/>
      <c r="SG20"/>
      <c r="SK20"/>
      <c r="SO20"/>
      <c r="SS20"/>
      <c r="SW20"/>
      <c r="TA20"/>
      <c r="TE20"/>
      <c r="TI20"/>
      <c r="TM20"/>
      <c r="TQ20"/>
      <c r="TU20"/>
      <c r="TY20"/>
      <c r="UC20"/>
      <c r="UG20"/>
      <c r="UK20"/>
      <c r="UO20"/>
      <c r="US20"/>
      <c r="UW20"/>
      <c r="VA20"/>
      <c r="VE20"/>
      <c r="VI20"/>
      <c r="VM20"/>
      <c r="VQ20"/>
      <c r="VU20"/>
      <c r="VY20"/>
      <c r="WC20"/>
      <c r="WG20"/>
      <c r="WK20"/>
      <c r="WO20"/>
      <c r="WS20"/>
      <c r="WW20"/>
      <c r="XA20"/>
      <c r="XE20"/>
      <c r="XI20"/>
      <c r="XM20"/>
      <c r="XQ20"/>
      <c r="XU20"/>
      <c r="XY20"/>
      <c r="YC20"/>
      <c r="YG20"/>
      <c r="YK20"/>
      <c r="YO20"/>
      <c r="YS20"/>
      <c r="YW20"/>
      <c r="ZA20"/>
      <c r="ZE20"/>
      <c r="ZI20"/>
      <c r="ZM20"/>
      <c r="ZQ20"/>
      <c r="ZU20"/>
      <c r="ZY20"/>
      <c r="AAC20"/>
      <c r="AAG20"/>
      <c r="AAK20"/>
      <c r="AAO20"/>
      <c r="AAS20"/>
      <c r="AAW20"/>
      <c r="ABA20"/>
      <c r="ABE20"/>
      <c r="ABI20"/>
      <c r="ABM20"/>
      <c r="ABQ20"/>
      <c r="ABU20"/>
      <c r="ABY20"/>
      <c r="ACC20"/>
      <c r="ACG20"/>
      <c r="ACK20"/>
      <c r="ACO20"/>
      <c r="ACS20"/>
      <c r="ACW20"/>
      <c r="ADA20"/>
      <c r="ADE20"/>
      <c r="ADI20"/>
      <c r="ADM20"/>
      <c r="ADQ20"/>
      <c r="ADU20"/>
      <c r="ADY20"/>
      <c r="AEC20"/>
      <c r="AEG20"/>
      <c r="AEK20"/>
      <c r="AEO20"/>
      <c r="AES20"/>
      <c r="AEW20"/>
      <c r="AFA20"/>
      <c r="AFE20"/>
      <c r="AFI20"/>
      <c r="AFM20"/>
      <c r="AFQ20"/>
      <c r="AFU20"/>
      <c r="AFY20"/>
      <c r="AGC20"/>
      <c r="AGG20"/>
      <c r="AGK20"/>
      <c r="AGO20"/>
      <c r="AGS20"/>
      <c r="AGW20"/>
      <c r="AHA20"/>
      <c r="AHE20"/>
      <c r="AHI20"/>
      <c r="AHM20"/>
      <c r="AHQ20"/>
      <c r="AHU20"/>
      <c r="AHY20"/>
      <c r="AIC20"/>
      <c r="AIG20"/>
      <c r="AIK20"/>
      <c r="AIO20"/>
      <c r="AIS20"/>
      <c r="AIW20"/>
      <c r="AJA20"/>
      <c r="AJE20"/>
      <c r="AJI20"/>
      <c r="AJM20"/>
      <c r="AJQ20"/>
      <c r="AJU20"/>
      <c r="AJY20"/>
      <c r="AKC20"/>
      <c r="AKG20"/>
      <c r="AKK20"/>
      <c r="AKO20"/>
      <c r="AKS20"/>
      <c r="AKW20"/>
      <c r="ALA20"/>
      <c r="ALE20"/>
      <c r="ALI20"/>
      <c r="ALM20"/>
      <c r="ALQ20"/>
      <c r="ALU20"/>
      <c r="ALY20"/>
      <c r="AMC20"/>
      <c r="AMG20"/>
      <c r="AMK20"/>
      <c r="AMO20"/>
      <c r="AMS20"/>
      <c r="AMW20"/>
      <c r="ANA20"/>
      <c r="ANE20"/>
      <c r="ANI20"/>
      <c r="ANM20"/>
      <c r="ANQ20"/>
      <c r="ANU20"/>
      <c r="ANY20"/>
      <c r="AOC20"/>
      <c r="AOG20"/>
      <c r="AOK20"/>
      <c r="AOO20"/>
      <c r="AOS20"/>
      <c r="AOW20"/>
      <c r="APA20"/>
      <c r="APE20"/>
      <c r="API20"/>
      <c r="APM20"/>
      <c r="APQ20"/>
      <c r="APU20"/>
      <c r="APY20"/>
      <c r="AQC20"/>
      <c r="AQG20"/>
      <c r="AQK20"/>
      <c r="AQO20"/>
      <c r="AQS20"/>
      <c r="AQW20"/>
      <c r="ARA20"/>
      <c r="ARE20"/>
      <c r="ARI20"/>
      <c r="ARM20"/>
      <c r="ARQ20"/>
      <c r="ARU20"/>
      <c r="ARY20"/>
      <c r="ASC20"/>
      <c r="ASG20"/>
      <c r="ASK20"/>
      <c r="ASO20"/>
      <c r="ASS20"/>
      <c r="ASW20"/>
      <c r="ATA20"/>
      <c r="ATE20"/>
      <c r="ATI20"/>
      <c r="ATM20"/>
      <c r="ATQ20"/>
      <c r="ATU20"/>
      <c r="ATY20"/>
      <c r="AUC20"/>
      <c r="AUG20"/>
      <c r="AUK20"/>
      <c r="AUO20"/>
      <c r="AUS20"/>
      <c r="AUW20"/>
      <c r="AVA20"/>
      <c r="AVE20"/>
      <c r="AVI20"/>
      <c r="AVM20"/>
      <c r="AVQ20"/>
      <c r="AVU20"/>
      <c r="AVY20"/>
      <c r="AWC20"/>
      <c r="AWG20"/>
      <c r="AWK20"/>
      <c r="AWO20"/>
      <c r="AWS20"/>
      <c r="AWW20"/>
      <c r="AXA20"/>
      <c r="AXE20"/>
      <c r="AXI20"/>
      <c r="AXM20"/>
      <c r="AXQ20"/>
      <c r="AXU20"/>
      <c r="AXY20"/>
      <c r="AYC20"/>
      <c r="AYG20"/>
      <c r="AYK20"/>
      <c r="AYO20"/>
      <c r="AYS20"/>
      <c r="AYW20"/>
      <c r="AZA20"/>
      <c r="AZE20"/>
      <c r="AZI20"/>
      <c r="AZM20"/>
      <c r="AZQ20"/>
      <c r="AZU20"/>
      <c r="AZY20"/>
      <c r="BAC20"/>
      <c r="BAG20"/>
      <c r="BAK20"/>
      <c r="BAO20"/>
      <c r="BAS20"/>
      <c r="BAW20"/>
      <c r="BBA20"/>
      <c r="BBE20"/>
      <c r="BBI20"/>
      <c r="BBM20"/>
      <c r="BBQ20"/>
      <c r="BBU20"/>
      <c r="BBY20"/>
      <c r="BCC20"/>
      <c r="BCG20"/>
      <c r="BCK20"/>
      <c r="BCO20"/>
      <c r="BCS20"/>
      <c r="BCW20"/>
      <c r="BDA20"/>
      <c r="BDE20"/>
      <c r="BDI20"/>
      <c r="BDM20"/>
      <c r="BDQ20"/>
      <c r="BDU20"/>
      <c r="BDY20"/>
      <c r="BEC20"/>
      <c r="BEG20"/>
      <c r="BEK20"/>
      <c r="BEO20"/>
      <c r="BES20"/>
      <c r="BEW20"/>
      <c r="BFA20"/>
      <c r="BFE20"/>
      <c r="BFI20"/>
      <c r="BFM20"/>
      <c r="BFQ20"/>
      <c r="BFU20"/>
      <c r="BFY20"/>
      <c r="BGC20"/>
      <c r="BGG20"/>
      <c r="BGK20"/>
      <c r="BGO20"/>
      <c r="BGS20"/>
      <c r="BGW20"/>
      <c r="BHA20"/>
      <c r="BHE20"/>
      <c r="BHI20"/>
      <c r="BHM20"/>
      <c r="BHQ20"/>
      <c r="BHU20"/>
      <c r="BHY20"/>
      <c r="BIC20"/>
      <c r="BIG20"/>
      <c r="BIK20"/>
      <c r="BIO20"/>
      <c r="BIS20"/>
      <c r="BIW20"/>
      <c r="BJA20"/>
      <c r="BJE20"/>
      <c r="BJI20"/>
      <c r="BJM20"/>
      <c r="BJQ20"/>
      <c r="BJU20"/>
      <c r="BJY20"/>
      <c r="BKC20"/>
      <c r="BKG20"/>
      <c r="BKK20"/>
      <c r="BKO20"/>
      <c r="BKS20"/>
      <c r="BKW20"/>
      <c r="BLA20"/>
      <c r="BLE20"/>
      <c r="BLI20"/>
      <c r="BLM20"/>
      <c r="BLQ20"/>
      <c r="BLU20"/>
      <c r="BLY20"/>
      <c r="BMC20"/>
      <c r="BMG20"/>
      <c r="BMK20"/>
      <c r="BMO20"/>
      <c r="BMS20"/>
      <c r="BMW20"/>
      <c r="BNA20"/>
      <c r="BNE20"/>
      <c r="BNI20"/>
      <c r="BNM20"/>
      <c r="BNQ20"/>
      <c r="BNU20"/>
      <c r="BNY20"/>
      <c r="BOC20"/>
      <c r="BOG20"/>
      <c r="BOK20"/>
      <c r="BOO20"/>
      <c r="BOS20"/>
      <c r="BOW20"/>
      <c r="BPA20"/>
      <c r="BPE20"/>
      <c r="BPI20"/>
      <c r="BPM20"/>
      <c r="BPQ20"/>
      <c r="BPU20"/>
      <c r="BPY20"/>
      <c r="BQC20"/>
      <c r="BQG20"/>
      <c r="BQK20"/>
      <c r="BQO20"/>
      <c r="BQS20"/>
      <c r="BQW20"/>
      <c r="BRA20"/>
      <c r="BRE20"/>
      <c r="BRI20"/>
      <c r="BRM20"/>
      <c r="BRQ20"/>
      <c r="BRU20"/>
      <c r="BRY20"/>
      <c r="BSC20"/>
      <c r="BSG20"/>
      <c r="BSK20"/>
      <c r="BSO20"/>
      <c r="BSS20"/>
      <c r="BSW20"/>
      <c r="BTA20"/>
      <c r="BTE20"/>
      <c r="BTI20"/>
      <c r="BTM20"/>
      <c r="BTQ20"/>
      <c r="BTU20"/>
      <c r="BTY20"/>
      <c r="BUC20"/>
      <c r="BUG20"/>
      <c r="BUK20"/>
      <c r="BUO20"/>
      <c r="BUS20"/>
      <c r="BUW20"/>
      <c r="BVA20"/>
      <c r="BVE20"/>
      <c r="BVI20"/>
      <c r="BVM20"/>
      <c r="BVQ20"/>
      <c r="BVU20"/>
      <c r="BVY20"/>
      <c r="BWC20"/>
      <c r="BWG20"/>
      <c r="BWK20"/>
      <c r="BWO20"/>
      <c r="BWS20"/>
      <c r="BWW20"/>
      <c r="BXA20"/>
      <c r="BXE20"/>
      <c r="BXI20"/>
      <c r="BXM20"/>
      <c r="BXQ20"/>
      <c r="BXU20"/>
      <c r="BXY20"/>
      <c r="BYC20"/>
      <c r="BYG20"/>
      <c r="BYK20"/>
      <c r="BYO20"/>
      <c r="BYS20"/>
      <c r="BYW20"/>
      <c r="BZA20"/>
      <c r="BZE20"/>
      <c r="BZI20"/>
      <c r="BZM20"/>
      <c r="BZQ20"/>
      <c r="BZU20"/>
      <c r="BZY20"/>
      <c r="CAC20"/>
      <c r="CAG20"/>
      <c r="CAK20"/>
      <c r="CAO20"/>
      <c r="CAS20"/>
      <c r="CAW20"/>
      <c r="CBA20"/>
      <c r="CBE20"/>
      <c r="CBI20"/>
      <c r="CBM20"/>
      <c r="CBQ20"/>
      <c r="CBU20"/>
      <c r="CBY20"/>
      <c r="CCC20"/>
      <c r="CCG20"/>
      <c r="CCK20"/>
      <c r="CCO20"/>
      <c r="CCS20"/>
      <c r="CCW20"/>
      <c r="CDA20"/>
      <c r="CDE20"/>
      <c r="CDI20"/>
      <c r="CDM20"/>
      <c r="CDQ20"/>
      <c r="CDU20"/>
      <c r="CDY20"/>
      <c r="CEC20"/>
      <c r="CEG20"/>
      <c r="CEK20"/>
      <c r="CEO20"/>
      <c r="CES20"/>
      <c r="CEW20"/>
      <c r="CFA20"/>
      <c r="CFE20"/>
      <c r="CFI20"/>
      <c r="CFM20"/>
      <c r="CFQ20"/>
      <c r="CFU20"/>
      <c r="CFY20"/>
      <c r="CGC20"/>
      <c r="CGG20"/>
      <c r="CGK20"/>
      <c r="CGO20"/>
      <c r="CGS20"/>
      <c r="CGW20"/>
      <c r="CHA20"/>
      <c r="CHE20"/>
      <c r="CHI20"/>
      <c r="CHM20"/>
      <c r="CHQ20"/>
      <c r="CHU20"/>
      <c r="CHY20"/>
      <c r="CIC20"/>
      <c r="CIG20"/>
      <c r="CIK20"/>
      <c r="CIO20"/>
      <c r="CIS20"/>
      <c r="CIW20"/>
      <c r="CJA20"/>
      <c r="CJE20"/>
      <c r="CJI20"/>
      <c r="CJM20"/>
      <c r="CJQ20"/>
      <c r="CJU20"/>
      <c r="CJY20"/>
      <c r="CKC20"/>
      <c r="CKG20"/>
      <c r="CKK20"/>
      <c r="CKO20"/>
      <c r="CKS20"/>
      <c r="CKW20"/>
      <c r="CLA20"/>
      <c r="CLE20"/>
      <c r="CLI20"/>
      <c r="CLM20"/>
      <c r="CLQ20"/>
      <c r="CLU20"/>
      <c r="CLY20"/>
      <c r="CMC20"/>
      <c r="CMG20"/>
      <c r="CMK20"/>
      <c r="CMO20"/>
      <c r="CMS20"/>
      <c r="CMW20"/>
      <c r="CNA20"/>
      <c r="CNE20"/>
      <c r="CNI20"/>
      <c r="CNM20"/>
      <c r="CNQ20"/>
      <c r="CNU20"/>
      <c r="CNY20"/>
      <c r="COC20"/>
      <c r="COG20"/>
      <c r="COK20"/>
      <c r="COO20"/>
      <c r="COS20"/>
      <c r="COW20"/>
      <c r="CPA20"/>
      <c r="CPE20"/>
      <c r="CPI20"/>
      <c r="CPM20"/>
      <c r="CPQ20"/>
      <c r="CPU20"/>
      <c r="CPY20"/>
      <c r="CQC20"/>
      <c r="CQG20"/>
      <c r="CQK20"/>
      <c r="CQO20"/>
      <c r="CQS20"/>
      <c r="CQW20"/>
      <c r="CRA20"/>
      <c r="CRE20"/>
      <c r="CRI20"/>
      <c r="CRM20"/>
      <c r="CRQ20"/>
      <c r="CRU20"/>
      <c r="CRY20"/>
      <c r="CSC20"/>
      <c r="CSG20"/>
      <c r="CSK20"/>
      <c r="CSO20"/>
      <c r="CSS20"/>
      <c r="CSW20"/>
      <c r="CTA20"/>
      <c r="CTE20"/>
      <c r="CTI20"/>
      <c r="CTM20"/>
      <c r="CTQ20"/>
      <c r="CTU20"/>
      <c r="CTY20"/>
      <c r="CUC20"/>
      <c r="CUG20"/>
      <c r="CUK20"/>
      <c r="CUO20"/>
      <c r="CUS20"/>
      <c r="CUW20"/>
      <c r="CVA20"/>
      <c r="CVE20"/>
      <c r="CVI20"/>
      <c r="CVM20"/>
      <c r="CVQ20"/>
      <c r="CVU20"/>
      <c r="CVY20"/>
      <c r="CWC20"/>
      <c r="CWG20"/>
      <c r="CWK20"/>
      <c r="CWO20"/>
      <c r="CWS20"/>
      <c r="CWW20"/>
      <c r="CXA20"/>
      <c r="CXE20"/>
      <c r="CXI20"/>
      <c r="CXM20"/>
      <c r="CXQ20"/>
      <c r="CXU20"/>
      <c r="CXY20"/>
      <c r="CYC20"/>
      <c r="CYG20"/>
      <c r="CYK20"/>
      <c r="CYO20"/>
      <c r="CYS20"/>
      <c r="CYW20"/>
      <c r="CZA20"/>
      <c r="CZE20"/>
      <c r="CZI20"/>
      <c r="CZM20"/>
      <c r="CZQ20"/>
      <c r="CZU20"/>
      <c r="CZY20"/>
      <c r="DAC20"/>
      <c r="DAG20"/>
      <c r="DAK20"/>
      <c r="DAO20"/>
      <c r="DAS20"/>
      <c r="DAW20"/>
      <c r="DBA20"/>
      <c r="DBE20"/>
      <c r="DBI20"/>
      <c r="DBM20"/>
      <c r="DBQ20"/>
      <c r="DBU20"/>
      <c r="DBY20"/>
      <c r="DCC20"/>
      <c r="DCG20"/>
      <c r="DCK20"/>
      <c r="DCO20"/>
      <c r="DCS20"/>
      <c r="DCW20"/>
      <c r="DDA20"/>
      <c r="DDE20"/>
      <c r="DDI20"/>
      <c r="DDM20"/>
      <c r="DDQ20"/>
      <c r="DDU20"/>
      <c r="DDY20"/>
      <c r="DEC20"/>
      <c r="DEG20"/>
      <c r="DEK20"/>
      <c r="DEO20"/>
      <c r="DES20"/>
      <c r="DEW20"/>
      <c r="DFA20"/>
      <c r="DFE20"/>
      <c r="DFI20"/>
      <c r="DFM20"/>
      <c r="DFQ20"/>
      <c r="DFU20"/>
      <c r="DFY20"/>
      <c r="DGC20"/>
      <c r="DGG20"/>
      <c r="DGK20"/>
      <c r="DGO20"/>
      <c r="DGS20"/>
      <c r="DGW20"/>
      <c r="DHA20"/>
      <c r="DHE20"/>
      <c r="DHI20"/>
      <c r="DHM20"/>
      <c r="DHQ20"/>
      <c r="DHU20"/>
      <c r="DHY20"/>
      <c r="DIC20"/>
      <c r="DIG20"/>
      <c r="DIK20"/>
      <c r="DIO20"/>
      <c r="DIS20"/>
      <c r="DIW20"/>
      <c r="DJA20"/>
      <c r="DJE20"/>
      <c r="DJI20"/>
      <c r="DJM20"/>
      <c r="DJQ20"/>
      <c r="DJU20"/>
      <c r="DJY20"/>
      <c r="DKC20"/>
      <c r="DKG20"/>
      <c r="DKK20"/>
      <c r="DKO20"/>
      <c r="DKS20"/>
      <c r="DKW20"/>
      <c r="DLA20"/>
      <c r="DLE20"/>
      <c r="DLI20"/>
      <c r="DLM20"/>
      <c r="DLQ20"/>
      <c r="DLU20"/>
      <c r="DLY20"/>
      <c r="DMC20"/>
      <c r="DMG20"/>
      <c r="DMK20"/>
      <c r="DMO20"/>
      <c r="DMS20"/>
      <c r="DMW20"/>
      <c r="DNA20"/>
      <c r="DNE20"/>
      <c r="DNI20"/>
      <c r="DNM20"/>
      <c r="DNQ20"/>
      <c r="DNU20"/>
      <c r="DNY20"/>
      <c r="DOC20"/>
      <c r="DOG20"/>
      <c r="DOK20"/>
      <c r="DOO20"/>
      <c r="DOS20"/>
      <c r="DOW20"/>
      <c r="DPA20"/>
      <c r="DPE20"/>
      <c r="DPI20"/>
      <c r="DPM20"/>
      <c r="DPQ20"/>
      <c r="DPU20"/>
      <c r="DPY20"/>
      <c r="DQC20"/>
      <c r="DQG20"/>
      <c r="DQK20"/>
      <c r="DQO20"/>
      <c r="DQS20"/>
      <c r="DQW20"/>
      <c r="DRA20"/>
      <c r="DRE20"/>
      <c r="DRI20"/>
      <c r="DRM20"/>
      <c r="DRQ20"/>
      <c r="DRU20"/>
      <c r="DRY20"/>
      <c r="DSC20"/>
      <c r="DSG20"/>
      <c r="DSK20"/>
      <c r="DSO20"/>
      <c r="DSS20"/>
      <c r="DSW20"/>
      <c r="DTA20"/>
      <c r="DTE20"/>
      <c r="DTI20"/>
      <c r="DTM20"/>
      <c r="DTQ20"/>
      <c r="DTU20"/>
      <c r="DTY20"/>
      <c r="DUC20"/>
      <c r="DUG20"/>
      <c r="DUK20"/>
      <c r="DUO20"/>
      <c r="DUS20"/>
      <c r="DUW20"/>
      <c r="DVA20"/>
      <c r="DVE20"/>
      <c r="DVI20"/>
      <c r="DVM20"/>
      <c r="DVQ20"/>
      <c r="DVU20"/>
      <c r="DVY20"/>
      <c r="DWC20"/>
      <c r="DWG20"/>
      <c r="DWK20"/>
      <c r="DWO20"/>
      <c r="DWS20"/>
      <c r="DWW20"/>
      <c r="DXA20"/>
      <c r="DXE20"/>
      <c r="DXI20"/>
      <c r="DXM20"/>
      <c r="DXQ20"/>
      <c r="DXU20"/>
      <c r="DXY20"/>
      <c r="DYC20"/>
      <c r="DYG20"/>
      <c r="DYK20"/>
      <c r="DYO20"/>
      <c r="DYS20"/>
      <c r="DYW20"/>
      <c r="DZA20"/>
      <c r="DZE20"/>
      <c r="DZI20"/>
      <c r="DZM20"/>
      <c r="DZQ20"/>
      <c r="DZU20"/>
      <c r="DZY20"/>
      <c r="EAC20"/>
      <c r="EAG20"/>
      <c r="EAK20"/>
      <c r="EAO20"/>
      <c r="EAS20"/>
      <c r="EAW20"/>
      <c r="EBA20"/>
      <c r="EBE20"/>
      <c r="EBI20"/>
      <c r="EBM20"/>
      <c r="EBQ20"/>
      <c r="EBU20"/>
      <c r="EBY20"/>
      <c r="ECC20"/>
      <c r="ECG20"/>
      <c r="ECK20"/>
      <c r="ECO20"/>
      <c r="ECS20"/>
      <c r="ECW20"/>
      <c r="EDA20"/>
      <c r="EDE20"/>
      <c r="EDI20"/>
      <c r="EDM20"/>
      <c r="EDQ20"/>
      <c r="EDU20"/>
      <c r="EDY20"/>
      <c r="EEC20"/>
      <c r="EEG20"/>
      <c r="EEK20"/>
      <c r="EEO20"/>
      <c r="EES20"/>
      <c r="EEW20"/>
      <c r="EFA20"/>
      <c r="EFE20"/>
      <c r="EFI20"/>
      <c r="EFM20"/>
      <c r="EFQ20"/>
      <c r="EFU20"/>
      <c r="EFY20"/>
      <c r="EGC20"/>
      <c r="EGG20"/>
      <c r="EGK20"/>
      <c r="EGO20"/>
      <c r="EGS20"/>
      <c r="EGW20"/>
      <c r="EHA20"/>
      <c r="EHE20"/>
      <c r="EHI20"/>
      <c r="EHM20"/>
      <c r="EHQ20"/>
      <c r="EHU20"/>
      <c r="EHY20"/>
      <c r="EIC20"/>
      <c r="EIG20"/>
      <c r="EIK20"/>
      <c r="EIO20"/>
      <c r="EIS20"/>
      <c r="EIW20"/>
      <c r="EJA20"/>
      <c r="EJE20"/>
      <c r="EJI20"/>
      <c r="EJM20"/>
      <c r="EJQ20"/>
      <c r="EJU20"/>
      <c r="EJY20"/>
      <c r="EKC20"/>
      <c r="EKG20"/>
      <c r="EKK20"/>
      <c r="EKO20"/>
      <c r="EKS20"/>
      <c r="EKW20"/>
      <c r="ELA20"/>
      <c r="ELE20"/>
      <c r="ELI20"/>
      <c r="ELM20"/>
      <c r="ELQ20"/>
      <c r="ELU20"/>
      <c r="ELY20"/>
      <c r="EMC20"/>
      <c r="EMG20"/>
      <c r="EMK20"/>
      <c r="EMO20"/>
      <c r="EMS20"/>
      <c r="EMW20"/>
      <c r="ENA20"/>
      <c r="ENE20"/>
      <c r="ENI20"/>
      <c r="ENM20"/>
      <c r="ENQ20"/>
      <c r="ENU20"/>
      <c r="ENY20"/>
      <c r="EOC20"/>
      <c r="EOG20"/>
      <c r="EOK20"/>
      <c r="EOO20"/>
      <c r="EOS20"/>
      <c r="EOW20"/>
      <c r="EPA20"/>
      <c r="EPE20"/>
      <c r="EPI20"/>
      <c r="EPM20"/>
      <c r="EPQ20"/>
      <c r="EPU20"/>
      <c r="EPY20"/>
      <c r="EQC20"/>
      <c r="EQG20"/>
      <c r="EQK20"/>
      <c r="EQO20"/>
      <c r="EQS20"/>
      <c r="EQW20"/>
      <c r="ERA20"/>
      <c r="ERE20"/>
      <c r="ERI20"/>
      <c r="ERM20"/>
      <c r="ERQ20"/>
      <c r="ERU20"/>
      <c r="ERY20"/>
      <c r="ESC20"/>
      <c r="ESG20"/>
      <c r="ESK20"/>
      <c r="ESO20"/>
      <c r="ESS20"/>
      <c r="ESW20"/>
      <c r="ETA20"/>
      <c r="ETE20"/>
      <c r="ETI20"/>
      <c r="ETM20"/>
      <c r="ETQ20"/>
      <c r="ETU20"/>
      <c r="ETY20"/>
      <c r="EUC20"/>
      <c r="EUG20"/>
      <c r="EUK20"/>
      <c r="EUO20"/>
      <c r="EUS20"/>
      <c r="EUW20"/>
      <c r="EVA20"/>
      <c r="EVE20"/>
      <c r="EVI20"/>
      <c r="EVM20"/>
      <c r="EVQ20"/>
      <c r="EVU20"/>
      <c r="EVY20"/>
      <c r="EWC20"/>
      <c r="EWG20"/>
      <c r="EWK20"/>
      <c r="EWO20"/>
      <c r="EWS20"/>
      <c r="EWW20"/>
      <c r="EXA20"/>
      <c r="EXE20"/>
      <c r="EXI20"/>
      <c r="EXM20"/>
      <c r="EXQ20"/>
      <c r="EXU20"/>
      <c r="EXY20"/>
      <c r="EYC20"/>
      <c r="EYG20"/>
      <c r="EYK20"/>
      <c r="EYO20"/>
      <c r="EYS20"/>
      <c r="EYW20"/>
      <c r="EZA20"/>
      <c r="EZE20"/>
      <c r="EZI20"/>
      <c r="EZM20"/>
      <c r="EZQ20"/>
      <c r="EZU20"/>
      <c r="EZY20"/>
      <c r="FAC20"/>
      <c r="FAG20"/>
      <c r="FAK20"/>
      <c r="FAO20"/>
      <c r="FAS20"/>
      <c r="FAW20"/>
      <c r="FBA20"/>
      <c r="FBE20"/>
      <c r="FBI20"/>
      <c r="FBM20"/>
      <c r="FBQ20"/>
      <c r="FBU20"/>
      <c r="FBY20"/>
      <c r="FCC20"/>
      <c r="FCG20"/>
      <c r="FCK20"/>
      <c r="FCO20"/>
      <c r="FCS20"/>
      <c r="FCW20"/>
      <c r="FDA20"/>
      <c r="FDE20"/>
      <c r="FDI20"/>
      <c r="FDM20"/>
      <c r="FDQ20"/>
      <c r="FDU20"/>
      <c r="FDY20"/>
      <c r="FEC20"/>
      <c r="FEG20"/>
      <c r="FEK20"/>
      <c r="FEO20"/>
      <c r="FES20"/>
      <c r="FEW20"/>
      <c r="FFA20"/>
      <c r="FFE20"/>
      <c r="FFI20"/>
      <c r="FFM20"/>
      <c r="FFQ20"/>
      <c r="FFU20"/>
      <c r="FFY20"/>
      <c r="FGC20"/>
      <c r="FGG20"/>
      <c r="FGK20"/>
      <c r="FGO20"/>
      <c r="FGS20"/>
      <c r="FGW20"/>
      <c r="FHA20"/>
      <c r="FHE20"/>
      <c r="FHI20"/>
      <c r="FHM20"/>
      <c r="FHQ20"/>
      <c r="FHU20"/>
      <c r="FHY20"/>
      <c r="FIC20"/>
      <c r="FIG20"/>
      <c r="FIK20"/>
      <c r="FIO20"/>
      <c r="FIS20"/>
      <c r="FIW20"/>
      <c r="FJA20"/>
      <c r="FJE20"/>
      <c r="FJI20"/>
      <c r="FJM20"/>
      <c r="FJQ20"/>
      <c r="FJU20"/>
      <c r="FJY20"/>
      <c r="FKC20"/>
      <c r="FKG20"/>
      <c r="FKK20"/>
      <c r="FKO20"/>
      <c r="FKS20"/>
      <c r="FKW20"/>
      <c r="FLA20"/>
      <c r="FLE20"/>
      <c r="FLI20"/>
      <c r="FLM20"/>
      <c r="FLQ20"/>
      <c r="FLU20"/>
      <c r="FLY20"/>
      <c r="FMC20"/>
      <c r="FMG20"/>
      <c r="FMK20"/>
      <c r="FMO20"/>
      <c r="FMS20"/>
      <c r="FMW20"/>
      <c r="FNA20"/>
      <c r="FNE20"/>
      <c r="FNI20"/>
      <c r="FNM20"/>
      <c r="FNQ20"/>
      <c r="FNU20"/>
      <c r="FNY20"/>
      <c r="FOC20"/>
      <c r="FOG20"/>
      <c r="FOK20"/>
      <c r="FOO20"/>
      <c r="FOS20"/>
      <c r="FOW20"/>
      <c r="FPA20"/>
      <c r="FPE20"/>
      <c r="FPI20"/>
      <c r="FPM20"/>
      <c r="FPQ20"/>
      <c r="FPU20"/>
      <c r="FPY20"/>
      <c r="FQC20"/>
      <c r="FQG20"/>
      <c r="FQK20"/>
      <c r="FQO20"/>
      <c r="FQS20"/>
      <c r="FQW20"/>
      <c r="FRA20"/>
      <c r="FRE20"/>
      <c r="FRI20"/>
      <c r="FRM20"/>
      <c r="FRQ20"/>
      <c r="FRU20"/>
      <c r="FRY20"/>
      <c r="FSC20"/>
      <c r="FSG20"/>
      <c r="FSK20"/>
      <c r="FSO20"/>
      <c r="FSS20"/>
      <c r="FSW20"/>
      <c r="FTA20"/>
      <c r="FTE20"/>
      <c r="FTI20"/>
      <c r="FTM20"/>
      <c r="FTQ20"/>
      <c r="FTU20"/>
      <c r="FTY20"/>
      <c r="FUC20"/>
      <c r="FUG20"/>
      <c r="FUK20"/>
      <c r="FUO20"/>
      <c r="FUS20"/>
      <c r="FUW20"/>
      <c r="FVA20"/>
      <c r="FVE20"/>
      <c r="FVI20"/>
      <c r="FVM20"/>
      <c r="FVQ20"/>
      <c r="FVU20"/>
      <c r="FVY20"/>
      <c r="FWC20"/>
      <c r="FWG20"/>
      <c r="FWK20"/>
      <c r="FWO20"/>
      <c r="FWS20"/>
      <c r="FWW20"/>
      <c r="FXA20"/>
      <c r="FXE20"/>
      <c r="FXI20"/>
      <c r="FXM20"/>
      <c r="FXQ20"/>
      <c r="FXU20"/>
      <c r="FXY20"/>
      <c r="FYC20"/>
      <c r="FYG20"/>
      <c r="FYK20"/>
      <c r="FYO20"/>
      <c r="FYS20"/>
      <c r="FYW20"/>
      <c r="FZA20"/>
      <c r="FZE20"/>
      <c r="FZI20"/>
      <c r="FZM20"/>
      <c r="FZQ20"/>
      <c r="FZU20"/>
      <c r="FZY20"/>
      <c r="GAC20"/>
      <c r="GAG20"/>
      <c r="GAK20"/>
      <c r="GAO20"/>
      <c r="GAS20"/>
      <c r="GAW20"/>
      <c r="GBA20"/>
      <c r="GBE20"/>
      <c r="GBI20"/>
      <c r="GBM20"/>
      <c r="GBQ20"/>
      <c r="GBU20"/>
      <c r="GBY20"/>
      <c r="GCC20"/>
      <c r="GCG20"/>
      <c r="GCK20"/>
      <c r="GCO20"/>
      <c r="GCS20"/>
      <c r="GCW20"/>
      <c r="GDA20"/>
      <c r="GDE20"/>
      <c r="GDI20"/>
      <c r="GDM20"/>
      <c r="GDQ20"/>
      <c r="GDU20"/>
      <c r="GDY20"/>
      <c r="GEC20"/>
      <c r="GEG20"/>
      <c r="GEK20"/>
      <c r="GEO20"/>
      <c r="GES20"/>
      <c r="GEW20"/>
      <c r="GFA20"/>
      <c r="GFE20"/>
      <c r="GFI20"/>
      <c r="GFM20"/>
      <c r="GFQ20"/>
      <c r="GFU20"/>
      <c r="GFY20"/>
      <c r="GGC20"/>
      <c r="GGG20"/>
      <c r="GGK20"/>
      <c r="GGO20"/>
      <c r="GGS20"/>
      <c r="GGW20"/>
      <c r="GHA20"/>
      <c r="GHE20"/>
      <c r="GHI20"/>
      <c r="GHM20"/>
      <c r="GHQ20"/>
      <c r="GHU20"/>
      <c r="GHY20"/>
      <c r="GIC20"/>
      <c r="GIG20"/>
      <c r="GIK20"/>
      <c r="GIO20"/>
      <c r="GIS20"/>
      <c r="GIW20"/>
      <c r="GJA20"/>
      <c r="GJE20"/>
      <c r="GJI20"/>
      <c r="GJM20"/>
      <c r="GJQ20"/>
      <c r="GJU20"/>
      <c r="GJY20"/>
      <c r="GKC20"/>
      <c r="GKG20"/>
      <c r="GKK20"/>
      <c r="GKO20"/>
      <c r="GKS20"/>
      <c r="GKW20"/>
      <c r="GLA20"/>
      <c r="GLE20"/>
      <c r="GLI20"/>
      <c r="GLM20"/>
      <c r="GLQ20"/>
      <c r="GLU20"/>
      <c r="GLY20"/>
      <c r="GMC20"/>
      <c r="GMG20"/>
      <c r="GMK20"/>
      <c r="GMO20"/>
      <c r="GMS20"/>
      <c r="GMW20"/>
      <c r="GNA20"/>
      <c r="GNE20"/>
      <c r="GNI20"/>
      <c r="GNM20"/>
      <c r="GNQ20"/>
      <c r="GNU20"/>
      <c r="GNY20"/>
      <c r="GOC20"/>
      <c r="GOG20"/>
      <c r="GOK20"/>
      <c r="GOO20"/>
      <c r="GOS20"/>
      <c r="GOW20"/>
      <c r="GPA20"/>
      <c r="GPE20"/>
      <c r="GPI20"/>
      <c r="GPM20"/>
      <c r="GPQ20"/>
      <c r="GPU20"/>
      <c r="GPY20"/>
      <c r="GQC20"/>
      <c r="GQG20"/>
      <c r="GQK20"/>
      <c r="GQO20"/>
      <c r="GQS20"/>
      <c r="GQW20"/>
      <c r="GRA20"/>
      <c r="GRE20"/>
      <c r="GRI20"/>
      <c r="GRM20"/>
      <c r="GRQ20"/>
      <c r="GRU20"/>
      <c r="GRY20"/>
      <c r="GSC20"/>
      <c r="GSG20"/>
      <c r="GSK20"/>
      <c r="GSO20"/>
      <c r="GSS20"/>
      <c r="GSW20"/>
      <c r="GTA20"/>
      <c r="GTE20"/>
      <c r="GTI20"/>
      <c r="GTM20"/>
      <c r="GTQ20"/>
      <c r="GTU20"/>
      <c r="GTY20"/>
      <c r="GUC20"/>
      <c r="GUG20"/>
      <c r="GUK20"/>
      <c r="GUO20"/>
      <c r="GUS20"/>
      <c r="GUW20"/>
      <c r="GVA20"/>
      <c r="GVE20"/>
      <c r="GVI20"/>
      <c r="GVM20"/>
      <c r="GVQ20"/>
      <c r="GVU20"/>
      <c r="GVY20"/>
      <c r="GWC20"/>
      <c r="GWG20"/>
      <c r="GWK20"/>
      <c r="GWO20"/>
      <c r="GWS20"/>
      <c r="GWW20"/>
      <c r="GXA20"/>
      <c r="GXE20"/>
      <c r="GXI20"/>
      <c r="GXM20"/>
      <c r="GXQ20"/>
      <c r="GXU20"/>
      <c r="GXY20"/>
      <c r="GYC20"/>
      <c r="GYG20"/>
      <c r="GYK20"/>
      <c r="GYO20"/>
      <c r="GYS20"/>
      <c r="GYW20"/>
      <c r="GZA20"/>
      <c r="GZE20"/>
      <c r="GZI20"/>
      <c r="GZM20"/>
      <c r="GZQ20"/>
      <c r="GZU20"/>
      <c r="GZY20"/>
      <c r="HAC20"/>
      <c r="HAG20"/>
      <c r="HAK20"/>
      <c r="HAO20"/>
      <c r="HAS20"/>
      <c r="HAW20"/>
      <c r="HBA20"/>
      <c r="HBE20"/>
      <c r="HBI20"/>
      <c r="HBM20"/>
      <c r="HBQ20"/>
      <c r="HBU20"/>
      <c r="HBY20"/>
      <c r="HCC20"/>
      <c r="HCG20"/>
      <c r="HCK20"/>
      <c r="HCO20"/>
      <c r="HCS20"/>
      <c r="HCW20"/>
      <c r="HDA20"/>
      <c r="HDE20"/>
      <c r="HDI20"/>
      <c r="HDM20"/>
      <c r="HDQ20"/>
      <c r="HDU20"/>
      <c r="HDY20"/>
      <c r="HEC20"/>
      <c r="HEG20"/>
      <c r="HEK20"/>
      <c r="HEO20"/>
      <c r="HES20"/>
      <c r="HEW20"/>
      <c r="HFA20"/>
      <c r="HFE20"/>
      <c r="HFI20"/>
      <c r="HFM20"/>
      <c r="HFQ20"/>
      <c r="HFU20"/>
      <c r="HFY20"/>
      <c r="HGC20"/>
      <c r="HGG20"/>
      <c r="HGK20"/>
      <c r="HGO20"/>
      <c r="HGS20"/>
      <c r="HGW20"/>
      <c r="HHA20"/>
      <c r="HHE20"/>
      <c r="HHI20"/>
      <c r="HHM20"/>
      <c r="HHQ20"/>
      <c r="HHU20"/>
      <c r="HHY20"/>
      <c r="HIC20"/>
      <c r="HIG20"/>
      <c r="HIK20"/>
      <c r="HIO20"/>
      <c r="HIS20"/>
      <c r="HIW20"/>
      <c r="HJA20"/>
      <c r="HJE20"/>
      <c r="HJI20"/>
      <c r="HJM20"/>
      <c r="HJQ20"/>
      <c r="HJU20"/>
      <c r="HJY20"/>
      <c r="HKC20"/>
      <c r="HKG20"/>
      <c r="HKK20"/>
      <c r="HKO20"/>
      <c r="HKS20"/>
      <c r="HKW20"/>
      <c r="HLA20"/>
      <c r="HLE20"/>
      <c r="HLI20"/>
      <c r="HLM20"/>
      <c r="HLQ20"/>
      <c r="HLU20"/>
      <c r="HLY20"/>
      <c r="HMC20"/>
      <c r="HMG20"/>
      <c r="HMK20"/>
      <c r="HMO20"/>
      <c r="HMS20"/>
      <c r="HMW20"/>
      <c r="HNA20"/>
      <c r="HNE20"/>
      <c r="HNI20"/>
      <c r="HNM20"/>
      <c r="HNQ20"/>
      <c r="HNU20"/>
      <c r="HNY20"/>
      <c r="HOC20"/>
      <c r="HOG20"/>
      <c r="HOK20"/>
      <c r="HOO20"/>
      <c r="HOS20"/>
      <c r="HOW20"/>
      <c r="HPA20"/>
      <c r="HPE20"/>
      <c r="HPI20"/>
      <c r="HPM20"/>
      <c r="HPQ20"/>
      <c r="HPU20"/>
      <c r="HPY20"/>
      <c r="HQC20"/>
      <c r="HQG20"/>
      <c r="HQK20"/>
      <c r="HQO20"/>
      <c r="HQS20"/>
      <c r="HQW20"/>
      <c r="HRA20"/>
      <c r="HRE20"/>
      <c r="HRI20"/>
      <c r="HRM20"/>
      <c r="HRQ20"/>
      <c r="HRU20"/>
      <c r="HRY20"/>
      <c r="HSC20"/>
      <c r="HSG20"/>
      <c r="HSK20"/>
      <c r="HSO20"/>
      <c r="HSS20"/>
      <c r="HSW20"/>
      <c r="HTA20"/>
      <c r="HTE20"/>
      <c r="HTI20"/>
      <c r="HTM20"/>
      <c r="HTQ20"/>
      <c r="HTU20"/>
      <c r="HTY20"/>
      <c r="HUC20"/>
      <c r="HUG20"/>
      <c r="HUK20"/>
      <c r="HUO20"/>
      <c r="HUS20"/>
      <c r="HUW20"/>
      <c r="HVA20"/>
      <c r="HVE20"/>
      <c r="HVI20"/>
      <c r="HVM20"/>
      <c r="HVQ20"/>
      <c r="HVU20"/>
      <c r="HVY20"/>
      <c r="HWC20"/>
      <c r="HWG20"/>
      <c r="HWK20"/>
      <c r="HWO20"/>
      <c r="HWS20"/>
      <c r="HWW20"/>
      <c r="HXA20"/>
      <c r="HXE20"/>
      <c r="HXI20"/>
      <c r="HXM20"/>
      <c r="HXQ20"/>
      <c r="HXU20"/>
      <c r="HXY20"/>
      <c r="HYC20"/>
      <c r="HYG20"/>
      <c r="HYK20"/>
      <c r="HYO20"/>
      <c r="HYS20"/>
      <c r="HYW20"/>
      <c r="HZA20"/>
      <c r="HZE20"/>
      <c r="HZI20"/>
      <c r="HZM20"/>
      <c r="HZQ20"/>
      <c r="HZU20"/>
      <c r="HZY20"/>
      <c r="IAC20"/>
      <c r="IAG20"/>
      <c r="IAK20"/>
      <c r="IAO20"/>
      <c r="IAS20"/>
      <c r="IAW20"/>
      <c r="IBA20"/>
      <c r="IBE20"/>
      <c r="IBI20"/>
      <c r="IBM20"/>
      <c r="IBQ20"/>
      <c r="IBU20"/>
      <c r="IBY20"/>
      <c r="ICC20"/>
      <c r="ICG20"/>
      <c r="ICK20"/>
      <c r="ICO20"/>
      <c r="ICS20"/>
      <c r="ICW20"/>
      <c r="IDA20"/>
      <c r="IDE20"/>
      <c r="IDI20"/>
      <c r="IDM20"/>
      <c r="IDQ20"/>
      <c r="IDU20"/>
      <c r="IDY20"/>
      <c r="IEC20"/>
      <c r="IEG20"/>
      <c r="IEK20"/>
      <c r="IEO20"/>
      <c r="IES20"/>
      <c r="IEW20"/>
      <c r="IFA20"/>
      <c r="IFE20"/>
      <c r="IFI20"/>
      <c r="IFM20"/>
      <c r="IFQ20"/>
      <c r="IFU20"/>
      <c r="IFY20"/>
      <c r="IGC20"/>
      <c r="IGG20"/>
      <c r="IGK20"/>
      <c r="IGO20"/>
      <c r="IGS20"/>
      <c r="IGW20"/>
      <c r="IHA20"/>
      <c r="IHE20"/>
      <c r="IHI20"/>
      <c r="IHM20"/>
      <c r="IHQ20"/>
      <c r="IHU20"/>
      <c r="IHY20"/>
      <c r="IIC20"/>
      <c r="IIG20"/>
      <c r="IIK20"/>
      <c r="IIO20"/>
      <c r="IIS20"/>
      <c r="IIW20"/>
      <c r="IJA20"/>
      <c r="IJE20"/>
      <c r="IJI20"/>
      <c r="IJM20"/>
      <c r="IJQ20"/>
      <c r="IJU20"/>
      <c r="IJY20"/>
      <c r="IKC20"/>
      <c r="IKG20"/>
      <c r="IKK20"/>
      <c r="IKO20"/>
      <c r="IKS20"/>
      <c r="IKW20"/>
      <c r="ILA20"/>
      <c r="ILE20"/>
      <c r="ILI20"/>
      <c r="ILM20"/>
      <c r="ILQ20"/>
      <c r="ILU20"/>
      <c r="ILY20"/>
      <c r="IMC20"/>
      <c r="IMG20"/>
      <c r="IMK20"/>
      <c r="IMO20"/>
      <c r="IMS20"/>
      <c r="IMW20"/>
      <c r="INA20"/>
      <c r="INE20"/>
      <c r="INI20"/>
      <c r="INM20"/>
      <c r="INQ20"/>
      <c r="INU20"/>
      <c r="INY20"/>
      <c r="IOC20"/>
      <c r="IOG20"/>
      <c r="IOK20"/>
      <c r="IOO20"/>
      <c r="IOS20"/>
      <c r="IOW20"/>
      <c r="IPA20"/>
      <c r="IPE20"/>
      <c r="IPI20"/>
      <c r="IPM20"/>
      <c r="IPQ20"/>
      <c r="IPU20"/>
      <c r="IPY20"/>
      <c r="IQC20"/>
      <c r="IQG20"/>
      <c r="IQK20"/>
      <c r="IQO20"/>
      <c r="IQS20"/>
      <c r="IQW20"/>
      <c r="IRA20"/>
      <c r="IRE20"/>
      <c r="IRI20"/>
      <c r="IRM20"/>
      <c r="IRQ20"/>
      <c r="IRU20"/>
      <c r="IRY20"/>
      <c r="ISC20"/>
      <c r="ISG20"/>
      <c r="ISK20"/>
      <c r="ISO20"/>
      <c r="ISS20"/>
      <c r="ISW20"/>
      <c r="ITA20"/>
      <c r="ITE20"/>
      <c r="ITI20"/>
      <c r="ITM20"/>
      <c r="ITQ20"/>
      <c r="ITU20"/>
      <c r="ITY20"/>
      <c r="IUC20"/>
      <c r="IUG20"/>
      <c r="IUK20"/>
      <c r="IUO20"/>
      <c r="IUS20"/>
      <c r="IUW20"/>
      <c r="IVA20"/>
      <c r="IVE20"/>
      <c r="IVI20"/>
      <c r="IVM20"/>
      <c r="IVQ20"/>
      <c r="IVU20"/>
      <c r="IVY20"/>
      <c r="IWC20"/>
      <c r="IWG20"/>
      <c r="IWK20"/>
      <c r="IWO20"/>
      <c r="IWS20"/>
      <c r="IWW20"/>
      <c r="IXA20"/>
      <c r="IXE20"/>
      <c r="IXI20"/>
      <c r="IXM20"/>
      <c r="IXQ20"/>
      <c r="IXU20"/>
      <c r="IXY20"/>
      <c r="IYC20"/>
      <c r="IYG20"/>
      <c r="IYK20"/>
      <c r="IYO20"/>
      <c r="IYS20"/>
      <c r="IYW20"/>
      <c r="IZA20"/>
      <c r="IZE20"/>
      <c r="IZI20"/>
      <c r="IZM20"/>
      <c r="IZQ20"/>
      <c r="IZU20"/>
      <c r="IZY20"/>
      <c r="JAC20"/>
      <c r="JAG20"/>
      <c r="JAK20"/>
      <c r="JAO20"/>
      <c r="JAS20"/>
      <c r="JAW20"/>
      <c r="JBA20"/>
      <c r="JBE20"/>
      <c r="JBI20"/>
      <c r="JBM20"/>
      <c r="JBQ20"/>
      <c r="JBU20"/>
      <c r="JBY20"/>
      <c r="JCC20"/>
      <c r="JCG20"/>
      <c r="JCK20"/>
      <c r="JCO20"/>
      <c r="JCS20"/>
      <c r="JCW20"/>
      <c r="JDA20"/>
      <c r="JDE20"/>
      <c r="JDI20"/>
      <c r="JDM20"/>
      <c r="JDQ20"/>
      <c r="JDU20"/>
      <c r="JDY20"/>
      <c r="JEC20"/>
      <c r="JEG20"/>
      <c r="JEK20"/>
      <c r="JEO20"/>
      <c r="JES20"/>
      <c r="JEW20"/>
      <c r="JFA20"/>
      <c r="JFE20"/>
      <c r="JFI20"/>
      <c r="JFM20"/>
      <c r="JFQ20"/>
      <c r="JFU20"/>
      <c r="JFY20"/>
      <c r="JGC20"/>
      <c r="JGG20"/>
      <c r="JGK20"/>
      <c r="JGO20"/>
      <c r="JGS20"/>
      <c r="JGW20"/>
      <c r="JHA20"/>
      <c r="JHE20"/>
      <c r="JHI20"/>
      <c r="JHM20"/>
      <c r="JHQ20"/>
      <c r="JHU20"/>
      <c r="JHY20"/>
      <c r="JIC20"/>
      <c r="JIG20"/>
      <c r="JIK20"/>
      <c r="JIO20"/>
      <c r="JIS20"/>
      <c r="JIW20"/>
      <c r="JJA20"/>
      <c r="JJE20"/>
      <c r="JJI20"/>
      <c r="JJM20"/>
      <c r="JJQ20"/>
      <c r="JJU20"/>
      <c r="JJY20"/>
      <c r="JKC20"/>
      <c r="JKG20"/>
      <c r="JKK20"/>
      <c r="JKO20"/>
      <c r="JKS20"/>
      <c r="JKW20"/>
      <c r="JLA20"/>
      <c r="JLE20"/>
      <c r="JLI20"/>
      <c r="JLM20"/>
      <c r="JLQ20"/>
      <c r="JLU20"/>
      <c r="JLY20"/>
      <c r="JMC20"/>
      <c r="JMG20"/>
      <c r="JMK20"/>
      <c r="JMO20"/>
      <c r="JMS20"/>
      <c r="JMW20"/>
      <c r="JNA20"/>
      <c r="JNE20"/>
      <c r="JNI20"/>
      <c r="JNM20"/>
      <c r="JNQ20"/>
      <c r="JNU20"/>
      <c r="JNY20"/>
      <c r="JOC20"/>
      <c r="JOG20"/>
      <c r="JOK20"/>
      <c r="JOO20"/>
      <c r="JOS20"/>
      <c r="JOW20"/>
      <c r="JPA20"/>
      <c r="JPE20"/>
      <c r="JPI20"/>
      <c r="JPM20"/>
      <c r="JPQ20"/>
      <c r="JPU20"/>
      <c r="JPY20"/>
      <c r="JQC20"/>
      <c r="JQG20"/>
      <c r="JQK20"/>
      <c r="JQO20"/>
      <c r="JQS20"/>
      <c r="JQW20"/>
      <c r="JRA20"/>
      <c r="JRE20"/>
      <c r="JRI20"/>
      <c r="JRM20"/>
      <c r="JRQ20"/>
      <c r="JRU20"/>
      <c r="JRY20"/>
      <c r="JSC20"/>
      <c r="JSG20"/>
      <c r="JSK20"/>
      <c r="JSO20"/>
      <c r="JSS20"/>
      <c r="JSW20"/>
      <c r="JTA20"/>
      <c r="JTE20"/>
      <c r="JTI20"/>
      <c r="JTM20"/>
      <c r="JTQ20"/>
      <c r="JTU20"/>
      <c r="JTY20"/>
      <c r="JUC20"/>
      <c r="JUG20"/>
      <c r="JUK20"/>
      <c r="JUO20"/>
      <c r="JUS20"/>
      <c r="JUW20"/>
      <c r="JVA20"/>
      <c r="JVE20"/>
      <c r="JVI20"/>
      <c r="JVM20"/>
      <c r="JVQ20"/>
      <c r="JVU20"/>
      <c r="JVY20"/>
      <c r="JWC20"/>
      <c r="JWG20"/>
      <c r="JWK20"/>
      <c r="JWO20"/>
      <c r="JWS20"/>
      <c r="JWW20"/>
      <c r="JXA20"/>
      <c r="JXE20"/>
      <c r="JXI20"/>
      <c r="JXM20"/>
      <c r="JXQ20"/>
      <c r="JXU20"/>
      <c r="JXY20"/>
      <c r="JYC20"/>
      <c r="JYG20"/>
      <c r="JYK20"/>
      <c r="JYO20"/>
      <c r="JYS20"/>
      <c r="JYW20"/>
      <c r="JZA20"/>
      <c r="JZE20"/>
      <c r="JZI20"/>
      <c r="JZM20"/>
      <c r="JZQ20"/>
      <c r="JZU20"/>
      <c r="JZY20"/>
      <c r="KAC20"/>
      <c r="KAG20"/>
      <c r="KAK20"/>
      <c r="KAO20"/>
      <c r="KAS20"/>
      <c r="KAW20"/>
      <c r="KBA20"/>
      <c r="KBE20"/>
      <c r="KBI20"/>
      <c r="KBM20"/>
      <c r="KBQ20"/>
      <c r="KBU20"/>
      <c r="KBY20"/>
      <c r="KCC20"/>
      <c r="KCG20"/>
      <c r="KCK20"/>
      <c r="KCO20"/>
      <c r="KCS20"/>
      <c r="KCW20"/>
      <c r="KDA20"/>
      <c r="KDE20"/>
      <c r="KDI20"/>
      <c r="KDM20"/>
      <c r="KDQ20"/>
      <c r="KDU20"/>
      <c r="KDY20"/>
      <c r="KEC20"/>
      <c r="KEG20"/>
      <c r="KEK20"/>
      <c r="KEO20"/>
      <c r="KES20"/>
      <c r="KEW20"/>
      <c r="KFA20"/>
      <c r="KFE20"/>
      <c r="KFI20"/>
      <c r="KFM20"/>
      <c r="KFQ20"/>
      <c r="KFU20"/>
      <c r="KFY20"/>
      <c r="KGC20"/>
      <c r="KGG20"/>
      <c r="KGK20"/>
      <c r="KGO20"/>
      <c r="KGS20"/>
      <c r="KGW20"/>
      <c r="KHA20"/>
      <c r="KHE20"/>
      <c r="KHI20"/>
      <c r="KHM20"/>
      <c r="KHQ20"/>
      <c r="KHU20"/>
      <c r="KHY20"/>
      <c r="KIC20"/>
      <c r="KIG20"/>
      <c r="KIK20"/>
      <c r="KIO20"/>
      <c r="KIS20"/>
      <c r="KIW20"/>
      <c r="KJA20"/>
      <c r="KJE20"/>
      <c r="KJI20"/>
      <c r="KJM20"/>
      <c r="KJQ20"/>
      <c r="KJU20"/>
      <c r="KJY20"/>
      <c r="KKC20"/>
      <c r="KKG20"/>
      <c r="KKK20"/>
      <c r="KKO20"/>
      <c r="KKS20"/>
      <c r="KKW20"/>
      <c r="KLA20"/>
      <c r="KLE20"/>
      <c r="KLI20"/>
      <c r="KLM20"/>
      <c r="KLQ20"/>
      <c r="KLU20"/>
      <c r="KLY20"/>
      <c r="KMC20"/>
      <c r="KMG20"/>
      <c r="KMK20"/>
      <c r="KMO20"/>
      <c r="KMS20"/>
      <c r="KMW20"/>
      <c r="KNA20"/>
      <c r="KNE20"/>
      <c r="KNI20"/>
      <c r="KNM20"/>
      <c r="KNQ20"/>
      <c r="KNU20"/>
      <c r="KNY20"/>
      <c r="KOC20"/>
      <c r="KOG20"/>
      <c r="KOK20"/>
      <c r="KOO20"/>
      <c r="KOS20"/>
      <c r="KOW20"/>
      <c r="KPA20"/>
      <c r="KPE20"/>
      <c r="KPI20"/>
      <c r="KPM20"/>
      <c r="KPQ20"/>
      <c r="KPU20"/>
      <c r="KPY20"/>
      <c r="KQC20"/>
      <c r="KQG20"/>
      <c r="KQK20"/>
      <c r="KQO20"/>
      <c r="KQS20"/>
      <c r="KQW20"/>
      <c r="KRA20"/>
      <c r="KRE20"/>
      <c r="KRI20"/>
      <c r="KRM20"/>
      <c r="KRQ20"/>
      <c r="KRU20"/>
      <c r="KRY20"/>
      <c r="KSC20"/>
      <c r="KSG20"/>
      <c r="KSK20"/>
      <c r="KSO20"/>
      <c r="KSS20"/>
      <c r="KSW20"/>
      <c r="KTA20"/>
      <c r="KTE20"/>
      <c r="KTI20"/>
      <c r="KTM20"/>
      <c r="KTQ20"/>
      <c r="KTU20"/>
      <c r="KTY20"/>
      <c r="KUC20"/>
      <c r="KUG20"/>
      <c r="KUK20"/>
      <c r="KUO20"/>
      <c r="KUS20"/>
      <c r="KUW20"/>
      <c r="KVA20"/>
      <c r="KVE20"/>
      <c r="KVI20"/>
      <c r="KVM20"/>
      <c r="KVQ20"/>
      <c r="KVU20"/>
      <c r="KVY20"/>
      <c r="KWC20"/>
      <c r="KWG20"/>
      <c r="KWK20"/>
      <c r="KWO20"/>
      <c r="KWS20"/>
      <c r="KWW20"/>
      <c r="KXA20"/>
      <c r="KXE20"/>
      <c r="KXI20"/>
      <c r="KXM20"/>
      <c r="KXQ20"/>
      <c r="KXU20"/>
      <c r="KXY20"/>
      <c r="KYC20"/>
      <c r="KYG20"/>
      <c r="KYK20"/>
      <c r="KYO20"/>
      <c r="KYS20"/>
      <c r="KYW20"/>
      <c r="KZA20"/>
      <c r="KZE20"/>
      <c r="KZI20"/>
      <c r="KZM20"/>
      <c r="KZQ20"/>
      <c r="KZU20"/>
      <c r="KZY20"/>
      <c r="LAC20"/>
      <c r="LAG20"/>
      <c r="LAK20"/>
      <c r="LAO20"/>
      <c r="LAS20"/>
      <c r="LAW20"/>
      <c r="LBA20"/>
      <c r="LBE20"/>
      <c r="LBI20"/>
      <c r="LBM20"/>
      <c r="LBQ20"/>
      <c r="LBU20"/>
      <c r="LBY20"/>
      <c r="LCC20"/>
      <c r="LCG20"/>
      <c r="LCK20"/>
      <c r="LCO20"/>
      <c r="LCS20"/>
      <c r="LCW20"/>
      <c r="LDA20"/>
      <c r="LDE20"/>
      <c r="LDI20"/>
      <c r="LDM20"/>
      <c r="LDQ20"/>
      <c r="LDU20"/>
      <c r="LDY20"/>
      <c r="LEC20"/>
      <c r="LEG20"/>
      <c r="LEK20"/>
      <c r="LEO20"/>
      <c r="LES20"/>
      <c r="LEW20"/>
      <c r="LFA20"/>
      <c r="LFE20"/>
      <c r="LFI20"/>
      <c r="LFM20"/>
      <c r="LFQ20"/>
      <c r="LFU20"/>
      <c r="LFY20"/>
      <c r="LGC20"/>
      <c r="LGG20"/>
      <c r="LGK20"/>
      <c r="LGO20"/>
      <c r="LGS20"/>
      <c r="LGW20"/>
      <c r="LHA20"/>
      <c r="LHE20"/>
      <c r="LHI20"/>
      <c r="LHM20"/>
      <c r="LHQ20"/>
      <c r="LHU20"/>
      <c r="LHY20"/>
      <c r="LIC20"/>
      <c r="LIG20"/>
      <c r="LIK20"/>
      <c r="LIO20"/>
      <c r="LIS20"/>
      <c r="LIW20"/>
      <c r="LJA20"/>
      <c r="LJE20"/>
      <c r="LJI20"/>
      <c r="LJM20"/>
      <c r="LJQ20"/>
      <c r="LJU20"/>
      <c r="LJY20"/>
      <c r="LKC20"/>
      <c r="LKG20"/>
      <c r="LKK20"/>
      <c r="LKO20"/>
      <c r="LKS20"/>
      <c r="LKW20"/>
      <c r="LLA20"/>
      <c r="LLE20"/>
      <c r="LLI20"/>
      <c r="LLM20"/>
      <c r="LLQ20"/>
      <c r="LLU20"/>
      <c r="LLY20"/>
      <c r="LMC20"/>
      <c r="LMG20"/>
      <c r="LMK20"/>
      <c r="LMO20"/>
      <c r="LMS20"/>
      <c r="LMW20"/>
      <c r="LNA20"/>
      <c r="LNE20"/>
      <c r="LNI20"/>
      <c r="LNM20"/>
      <c r="LNQ20"/>
      <c r="LNU20"/>
      <c r="LNY20"/>
      <c r="LOC20"/>
      <c r="LOG20"/>
      <c r="LOK20"/>
      <c r="LOO20"/>
      <c r="LOS20"/>
      <c r="LOW20"/>
      <c r="LPA20"/>
      <c r="LPE20"/>
      <c r="LPI20"/>
      <c r="LPM20"/>
      <c r="LPQ20"/>
      <c r="LPU20"/>
      <c r="LPY20"/>
      <c r="LQC20"/>
      <c r="LQG20"/>
      <c r="LQK20"/>
      <c r="LQO20"/>
      <c r="LQS20"/>
      <c r="LQW20"/>
      <c r="LRA20"/>
      <c r="LRE20"/>
      <c r="LRI20"/>
      <c r="LRM20"/>
      <c r="LRQ20"/>
      <c r="LRU20"/>
      <c r="LRY20"/>
      <c r="LSC20"/>
      <c r="LSG20"/>
      <c r="LSK20"/>
      <c r="LSO20"/>
      <c r="LSS20"/>
      <c r="LSW20"/>
      <c r="LTA20"/>
      <c r="LTE20"/>
      <c r="LTI20"/>
      <c r="LTM20"/>
      <c r="LTQ20"/>
      <c r="LTU20"/>
      <c r="LTY20"/>
      <c r="LUC20"/>
      <c r="LUG20"/>
      <c r="LUK20"/>
      <c r="LUO20"/>
      <c r="LUS20"/>
      <c r="LUW20"/>
      <c r="LVA20"/>
      <c r="LVE20"/>
      <c r="LVI20"/>
      <c r="LVM20"/>
      <c r="LVQ20"/>
      <c r="LVU20"/>
      <c r="LVY20"/>
      <c r="LWC20"/>
      <c r="LWG20"/>
      <c r="LWK20"/>
      <c r="LWO20"/>
      <c r="LWS20"/>
      <c r="LWW20"/>
      <c r="LXA20"/>
      <c r="LXE20"/>
      <c r="LXI20"/>
      <c r="LXM20"/>
      <c r="LXQ20"/>
      <c r="LXU20"/>
      <c r="LXY20"/>
      <c r="LYC20"/>
      <c r="LYG20"/>
      <c r="LYK20"/>
      <c r="LYO20"/>
      <c r="LYS20"/>
      <c r="LYW20"/>
      <c r="LZA20"/>
      <c r="LZE20"/>
      <c r="LZI20"/>
      <c r="LZM20"/>
      <c r="LZQ20"/>
      <c r="LZU20"/>
      <c r="LZY20"/>
      <c r="MAC20"/>
      <c r="MAG20"/>
      <c r="MAK20"/>
      <c r="MAO20"/>
      <c r="MAS20"/>
      <c r="MAW20"/>
      <c r="MBA20"/>
      <c r="MBE20"/>
      <c r="MBI20"/>
      <c r="MBM20"/>
      <c r="MBQ20"/>
      <c r="MBU20"/>
      <c r="MBY20"/>
      <c r="MCC20"/>
      <c r="MCG20"/>
      <c r="MCK20"/>
      <c r="MCO20"/>
      <c r="MCS20"/>
      <c r="MCW20"/>
      <c r="MDA20"/>
      <c r="MDE20"/>
      <c r="MDI20"/>
      <c r="MDM20"/>
      <c r="MDQ20"/>
      <c r="MDU20"/>
      <c r="MDY20"/>
      <c r="MEC20"/>
      <c r="MEG20"/>
      <c r="MEK20"/>
      <c r="MEO20"/>
      <c r="MES20"/>
      <c r="MEW20"/>
      <c r="MFA20"/>
      <c r="MFE20"/>
      <c r="MFI20"/>
      <c r="MFM20"/>
      <c r="MFQ20"/>
      <c r="MFU20"/>
      <c r="MFY20"/>
      <c r="MGC20"/>
      <c r="MGG20"/>
      <c r="MGK20"/>
      <c r="MGO20"/>
      <c r="MGS20"/>
      <c r="MGW20"/>
      <c r="MHA20"/>
      <c r="MHE20"/>
      <c r="MHI20"/>
      <c r="MHM20"/>
      <c r="MHQ20"/>
      <c r="MHU20"/>
      <c r="MHY20"/>
      <c r="MIC20"/>
      <c r="MIG20"/>
      <c r="MIK20"/>
      <c r="MIO20"/>
      <c r="MIS20"/>
      <c r="MIW20"/>
      <c r="MJA20"/>
      <c r="MJE20"/>
      <c r="MJI20"/>
      <c r="MJM20"/>
      <c r="MJQ20"/>
      <c r="MJU20"/>
      <c r="MJY20"/>
      <c r="MKC20"/>
      <c r="MKG20"/>
      <c r="MKK20"/>
      <c r="MKO20"/>
      <c r="MKS20"/>
      <c r="MKW20"/>
      <c r="MLA20"/>
      <c r="MLE20"/>
      <c r="MLI20"/>
      <c r="MLM20"/>
      <c r="MLQ20"/>
      <c r="MLU20"/>
      <c r="MLY20"/>
      <c r="MMC20"/>
      <c r="MMG20"/>
      <c r="MMK20"/>
      <c r="MMO20"/>
      <c r="MMS20"/>
      <c r="MMW20"/>
      <c r="MNA20"/>
      <c r="MNE20"/>
      <c r="MNI20"/>
      <c r="MNM20"/>
      <c r="MNQ20"/>
      <c r="MNU20"/>
      <c r="MNY20"/>
      <c r="MOC20"/>
      <c r="MOG20"/>
      <c r="MOK20"/>
      <c r="MOO20"/>
      <c r="MOS20"/>
      <c r="MOW20"/>
      <c r="MPA20"/>
      <c r="MPE20"/>
      <c r="MPI20"/>
      <c r="MPM20"/>
      <c r="MPQ20"/>
      <c r="MPU20"/>
      <c r="MPY20"/>
      <c r="MQC20"/>
      <c r="MQG20"/>
      <c r="MQK20"/>
      <c r="MQO20"/>
      <c r="MQS20"/>
      <c r="MQW20"/>
      <c r="MRA20"/>
      <c r="MRE20"/>
      <c r="MRI20"/>
      <c r="MRM20"/>
      <c r="MRQ20"/>
      <c r="MRU20"/>
      <c r="MRY20"/>
      <c r="MSC20"/>
      <c r="MSG20"/>
      <c r="MSK20"/>
      <c r="MSO20"/>
      <c r="MSS20"/>
      <c r="MSW20"/>
      <c r="MTA20"/>
      <c r="MTE20"/>
      <c r="MTI20"/>
      <c r="MTM20"/>
      <c r="MTQ20"/>
      <c r="MTU20"/>
      <c r="MTY20"/>
      <c r="MUC20"/>
      <c r="MUG20"/>
      <c r="MUK20"/>
      <c r="MUO20"/>
      <c r="MUS20"/>
      <c r="MUW20"/>
      <c r="MVA20"/>
      <c r="MVE20"/>
      <c r="MVI20"/>
      <c r="MVM20"/>
      <c r="MVQ20"/>
      <c r="MVU20"/>
      <c r="MVY20"/>
      <c r="MWC20"/>
      <c r="MWG20"/>
      <c r="MWK20"/>
      <c r="MWO20"/>
      <c r="MWS20"/>
      <c r="MWW20"/>
      <c r="MXA20"/>
      <c r="MXE20"/>
      <c r="MXI20"/>
      <c r="MXM20"/>
      <c r="MXQ20"/>
      <c r="MXU20"/>
      <c r="MXY20"/>
      <c r="MYC20"/>
      <c r="MYG20"/>
      <c r="MYK20"/>
      <c r="MYO20"/>
      <c r="MYS20"/>
      <c r="MYW20"/>
      <c r="MZA20"/>
      <c r="MZE20"/>
      <c r="MZI20"/>
      <c r="MZM20"/>
      <c r="MZQ20"/>
      <c r="MZU20"/>
      <c r="MZY20"/>
      <c r="NAC20"/>
      <c r="NAG20"/>
      <c r="NAK20"/>
      <c r="NAO20"/>
      <c r="NAS20"/>
      <c r="NAW20"/>
      <c r="NBA20"/>
      <c r="NBE20"/>
      <c r="NBI20"/>
      <c r="NBM20"/>
      <c r="NBQ20"/>
      <c r="NBU20"/>
      <c r="NBY20"/>
      <c r="NCC20"/>
      <c r="NCG20"/>
      <c r="NCK20"/>
      <c r="NCO20"/>
      <c r="NCS20"/>
      <c r="NCW20"/>
      <c r="NDA20"/>
      <c r="NDE20"/>
      <c r="NDI20"/>
      <c r="NDM20"/>
      <c r="NDQ20"/>
      <c r="NDU20"/>
      <c r="NDY20"/>
      <c r="NEC20"/>
      <c r="NEG20"/>
      <c r="NEK20"/>
      <c r="NEO20"/>
      <c r="NES20"/>
      <c r="NEW20"/>
      <c r="NFA20"/>
      <c r="NFE20"/>
      <c r="NFI20"/>
      <c r="NFM20"/>
      <c r="NFQ20"/>
      <c r="NFU20"/>
      <c r="NFY20"/>
      <c r="NGC20"/>
      <c r="NGG20"/>
      <c r="NGK20"/>
      <c r="NGO20"/>
      <c r="NGS20"/>
      <c r="NGW20"/>
      <c r="NHA20"/>
      <c r="NHE20"/>
      <c r="NHI20"/>
      <c r="NHM20"/>
      <c r="NHQ20"/>
      <c r="NHU20"/>
      <c r="NHY20"/>
      <c r="NIC20"/>
      <c r="NIG20"/>
      <c r="NIK20"/>
      <c r="NIO20"/>
      <c r="NIS20"/>
      <c r="NIW20"/>
      <c r="NJA20"/>
      <c r="NJE20"/>
      <c r="NJI20"/>
      <c r="NJM20"/>
      <c r="NJQ20"/>
      <c r="NJU20"/>
      <c r="NJY20"/>
      <c r="NKC20"/>
      <c r="NKG20"/>
      <c r="NKK20"/>
      <c r="NKO20"/>
      <c r="NKS20"/>
      <c r="NKW20"/>
      <c r="NLA20"/>
      <c r="NLE20"/>
      <c r="NLI20"/>
      <c r="NLM20"/>
      <c r="NLQ20"/>
      <c r="NLU20"/>
      <c r="NLY20"/>
      <c r="NMC20"/>
      <c r="NMG20"/>
      <c r="NMK20"/>
      <c r="NMO20"/>
      <c r="NMS20"/>
      <c r="NMW20"/>
      <c r="NNA20"/>
      <c r="NNE20"/>
      <c r="NNI20"/>
      <c r="NNM20"/>
      <c r="NNQ20"/>
      <c r="NNU20"/>
      <c r="NNY20"/>
      <c r="NOC20"/>
      <c r="NOG20"/>
      <c r="NOK20"/>
      <c r="NOO20"/>
      <c r="NOS20"/>
      <c r="NOW20"/>
      <c r="NPA20"/>
      <c r="NPE20"/>
      <c r="NPI20"/>
      <c r="NPM20"/>
      <c r="NPQ20"/>
      <c r="NPU20"/>
      <c r="NPY20"/>
      <c r="NQC20"/>
      <c r="NQG20"/>
      <c r="NQK20"/>
      <c r="NQO20"/>
      <c r="NQS20"/>
      <c r="NQW20"/>
      <c r="NRA20"/>
      <c r="NRE20"/>
      <c r="NRI20"/>
      <c r="NRM20"/>
      <c r="NRQ20"/>
      <c r="NRU20"/>
      <c r="NRY20"/>
      <c r="NSC20"/>
      <c r="NSG20"/>
      <c r="NSK20"/>
      <c r="NSO20"/>
      <c r="NSS20"/>
      <c r="NSW20"/>
      <c r="NTA20"/>
      <c r="NTE20"/>
      <c r="NTI20"/>
      <c r="NTM20"/>
      <c r="NTQ20"/>
      <c r="NTU20"/>
      <c r="NTY20"/>
      <c r="NUC20"/>
      <c r="NUG20"/>
      <c r="NUK20"/>
      <c r="NUO20"/>
      <c r="NUS20"/>
      <c r="NUW20"/>
      <c r="NVA20"/>
      <c r="NVE20"/>
      <c r="NVI20"/>
      <c r="NVM20"/>
      <c r="NVQ20"/>
      <c r="NVU20"/>
      <c r="NVY20"/>
      <c r="NWC20"/>
      <c r="NWG20"/>
      <c r="NWK20"/>
      <c r="NWO20"/>
      <c r="NWS20"/>
      <c r="NWW20"/>
      <c r="NXA20"/>
      <c r="NXE20"/>
      <c r="NXI20"/>
      <c r="NXM20"/>
      <c r="NXQ20"/>
      <c r="NXU20"/>
      <c r="NXY20"/>
      <c r="NYC20"/>
      <c r="NYG20"/>
      <c r="NYK20"/>
      <c r="NYO20"/>
      <c r="NYS20"/>
      <c r="NYW20"/>
      <c r="NZA20"/>
      <c r="NZE20"/>
      <c r="NZI20"/>
      <c r="NZM20"/>
      <c r="NZQ20"/>
      <c r="NZU20"/>
      <c r="NZY20"/>
      <c r="OAC20"/>
      <c r="OAG20"/>
      <c r="OAK20"/>
      <c r="OAO20"/>
      <c r="OAS20"/>
      <c r="OAW20"/>
      <c r="OBA20"/>
      <c r="OBE20"/>
      <c r="OBI20"/>
      <c r="OBM20"/>
      <c r="OBQ20"/>
      <c r="OBU20"/>
      <c r="OBY20"/>
      <c r="OCC20"/>
      <c r="OCG20"/>
      <c r="OCK20"/>
      <c r="OCO20"/>
      <c r="OCS20"/>
      <c r="OCW20"/>
      <c r="ODA20"/>
      <c r="ODE20"/>
      <c r="ODI20"/>
      <c r="ODM20"/>
      <c r="ODQ20"/>
      <c r="ODU20"/>
      <c r="ODY20"/>
      <c r="OEC20"/>
      <c r="OEG20"/>
      <c r="OEK20"/>
      <c r="OEO20"/>
      <c r="OES20"/>
      <c r="OEW20"/>
      <c r="OFA20"/>
      <c r="OFE20"/>
      <c r="OFI20"/>
      <c r="OFM20"/>
      <c r="OFQ20"/>
      <c r="OFU20"/>
      <c r="OFY20"/>
      <c r="OGC20"/>
      <c r="OGG20"/>
      <c r="OGK20"/>
      <c r="OGO20"/>
      <c r="OGS20"/>
      <c r="OGW20"/>
      <c r="OHA20"/>
      <c r="OHE20"/>
      <c r="OHI20"/>
      <c r="OHM20"/>
      <c r="OHQ20"/>
      <c r="OHU20"/>
      <c r="OHY20"/>
      <c r="OIC20"/>
      <c r="OIG20"/>
      <c r="OIK20"/>
      <c r="OIO20"/>
      <c r="OIS20"/>
      <c r="OIW20"/>
      <c r="OJA20"/>
      <c r="OJE20"/>
      <c r="OJI20"/>
      <c r="OJM20"/>
      <c r="OJQ20"/>
      <c r="OJU20"/>
      <c r="OJY20"/>
      <c r="OKC20"/>
      <c r="OKG20"/>
      <c r="OKK20"/>
      <c r="OKO20"/>
      <c r="OKS20"/>
      <c r="OKW20"/>
      <c r="OLA20"/>
      <c r="OLE20"/>
      <c r="OLI20"/>
      <c r="OLM20"/>
      <c r="OLQ20"/>
      <c r="OLU20"/>
      <c r="OLY20"/>
      <c r="OMC20"/>
      <c r="OMG20"/>
      <c r="OMK20"/>
      <c r="OMO20"/>
      <c r="OMS20"/>
      <c r="OMW20"/>
      <c r="ONA20"/>
      <c r="ONE20"/>
      <c r="ONI20"/>
      <c r="ONM20"/>
      <c r="ONQ20"/>
      <c r="ONU20"/>
      <c r="ONY20"/>
      <c r="OOC20"/>
      <c r="OOG20"/>
      <c r="OOK20"/>
      <c r="OOO20"/>
      <c r="OOS20"/>
      <c r="OOW20"/>
      <c r="OPA20"/>
      <c r="OPE20"/>
      <c r="OPI20"/>
      <c r="OPM20"/>
      <c r="OPQ20"/>
      <c r="OPU20"/>
      <c r="OPY20"/>
      <c r="OQC20"/>
      <c r="OQG20"/>
      <c r="OQK20"/>
      <c r="OQO20"/>
      <c r="OQS20"/>
      <c r="OQW20"/>
      <c r="ORA20"/>
      <c r="ORE20"/>
      <c r="ORI20"/>
      <c r="ORM20"/>
      <c r="ORQ20"/>
      <c r="ORU20"/>
      <c r="ORY20"/>
      <c r="OSC20"/>
      <c r="OSG20"/>
      <c r="OSK20"/>
      <c r="OSO20"/>
      <c r="OSS20"/>
      <c r="OSW20"/>
      <c r="OTA20"/>
      <c r="OTE20"/>
      <c r="OTI20"/>
      <c r="OTM20"/>
      <c r="OTQ20"/>
      <c r="OTU20"/>
      <c r="OTY20"/>
      <c r="OUC20"/>
      <c r="OUG20"/>
      <c r="OUK20"/>
      <c r="OUO20"/>
      <c r="OUS20"/>
      <c r="OUW20"/>
      <c r="OVA20"/>
      <c r="OVE20"/>
      <c r="OVI20"/>
      <c r="OVM20"/>
      <c r="OVQ20"/>
      <c r="OVU20"/>
      <c r="OVY20"/>
      <c r="OWC20"/>
      <c r="OWG20"/>
      <c r="OWK20"/>
      <c r="OWO20"/>
      <c r="OWS20"/>
      <c r="OWW20"/>
      <c r="OXA20"/>
      <c r="OXE20"/>
      <c r="OXI20"/>
      <c r="OXM20"/>
      <c r="OXQ20"/>
      <c r="OXU20"/>
      <c r="OXY20"/>
      <c r="OYC20"/>
      <c r="OYG20"/>
      <c r="OYK20"/>
      <c r="OYO20"/>
      <c r="OYS20"/>
      <c r="OYW20"/>
      <c r="OZA20"/>
      <c r="OZE20"/>
      <c r="OZI20"/>
      <c r="OZM20"/>
      <c r="OZQ20"/>
      <c r="OZU20"/>
      <c r="OZY20"/>
      <c r="PAC20"/>
      <c r="PAG20"/>
      <c r="PAK20"/>
      <c r="PAO20"/>
      <c r="PAS20"/>
      <c r="PAW20"/>
      <c r="PBA20"/>
      <c r="PBE20"/>
      <c r="PBI20"/>
      <c r="PBM20"/>
      <c r="PBQ20"/>
      <c r="PBU20"/>
      <c r="PBY20"/>
      <c r="PCC20"/>
      <c r="PCG20"/>
      <c r="PCK20"/>
      <c r="PCO20"/>
      <c r="PCS20"/>
      <c r="PCW20"/>
      <c r="PDA20"/>
      <c r="PDE20"/>
      <c r="PDI20"/>
      <c r="PDM20"/>
      <c r="PDQ20"/>
      <c r="PDU20"/>
      <c r="PDY20"/>
      <c r="PEC20"/>
      <c r="PEG20"/>
      <c r="PEK20"/>
      <c r="PEO20"/>
      <c r="PES20"/>
      <c r="PEW20"/>
      <c r="PFA20"/>
      <c r="PFE20"/>
      <c r="PFI20"/>
      <c r="PFM20"/>
      <c r="PFQ20"/>
      <c r="PFU20"/>
      <c r="PFY20"/>
      <c r="PGC20"/>
      <c r="PGG20"/>
      <c r="PGK20"/>
      <c r="PGO20"/>
      <c r="PGS20"/>
      <c r="PGW20"/>
      <c r="PHA20"/>
      <c r="PHE20"/>
      <c r="PHI20"/>
      <c r="PHM20"/>
      <c r="PHQ20"/>
      <c r="PHU20"/>
      <c r="PHY20"/>
      <c r="PIC20"/>
      <c r="PIG20"/>
      <c r="PIK20"/>
      <c r="PIO20"/>
      <c r="PIS20"/>
      <c r="PIW20"/>
      <c r="PJA20"/>
      <c r="PJE20"/>
      <c r="PJI20"/>
      <c r="PJM20"/>
      <c r="PJQ20"/>
      <c r="PJU20"/>
      <c r="PJY20"/>
      <c r="PKC20"/>
      <c r="PKG20"/>
      <c r="PKK20"/>
      <c r="PKO20"/>
      <c r="PKS20"/>
      <c r="PKW20"/>
      <c r="PLA20"/>
      <c r="PLE20"/>
      <c r="PLI20"/>
      <c r="PLM20"/>
      <c r="PLQ20"/>
      <c r="PLU20"/>
      <c r="PLY20"/>
      <c r="PMC20"/>
      <c r="PMG20"/>
      <c r="PMK20"/>
      <c r="PMO20"/>
      <c r="PMS20"/>
      <c r="PMW20"/>
      <c r="PNA20"/>
      <c r="PNE20"/>
      <c r="PNI20"/>
      <c r="PNM20"/>
      <c r="PNQ20"/>
      <c r="PNU20"/>
      <c r="PNY20"/>
      <c r="POC20"/>
      <c r="POG20"/>
      <c r="POK20"/>
      <c r="POO20"/>
      <c r="POS20"/>
      <c r="POW20"/>
      <c r="PPA20"/>
      <c r="PPE20"/>
      <c r="PPI20"/>
      <c r="PPM20"/>
      <c r="PPQ20"/>
      <c r="PPU20"/>
      <c r="PPY20"/>
      <c r="PQC20"/>
      <c r="PQG20"/>
      <c r="PQK20"/>
      <c r="PQO20"/>
      <c r="PQS20"/>
      <c r="PQW20"/>
      <c r="PRA20"/>
      <c r="PRE20"/>
      <c r="PRI20"/>
      <c r="PRM20"/>
      <c r="PRQ20"/>
      <c r="PRU20"/>
      <c r="PRY20"/>
      <c r="PSC20"/>
      <c r="PSG20"/>
      <c r="PSK20"/>
      <c r="PSO20"/>
      <c r="PSS20"/>
      <c r="PSW20"/>
      <c r="PTA20"/>
      <c r="PTE20"/>
      <c r="PTI20"/>
      <c r="PTM20"/>
      <c r="PTQ20"/>
      <c r="PTU20"/>
      <c r="PTY20"/>
      <c r="PUC20"/>
      <c r="PUG20"/>
      <c r="PUK20"/>
      <c r="PUO20"/>
      <c r="PUS20"/>
      <c r="PUW20"/>
      <c r="PVA20"/>
      <c r="PVE20"/>
      <c r="PVI20"/>
      <c r="PVM20"/>
      <c r="PVQ20"/>
      <c r="PVU20"/>
      <c r="PVY20"/>
      <c r="PWC20"/>
      <c r="PWG20"/>
      <c r="PWK20"/>
      <c r="PWO20"/>
      <c r="PWS20"/>
      <c r="PWW20"/>
      <c r="PXA20"/>
      <c r="PXE20"/>
      <c r="PXI20"/>
      <c r="PXM20"/>
      <c r="PXQ20"/>
      <c r="PXU20"/>
      <c r="PXY20"/>
      <c r="PYC20"/>
      <c r="PYG20"/>
      <c r="PYK20"/>
      <c r="PYO20"/>
      <c r="PYS20"/>
      <c r="PYW20"/>
      <c r="PZA20"/>
      <c r="PZE20"/>
      <c r="PZI20"/>
      <c r="PZM20"/>
      <c r="PZQ20"/>
      <c r="PZU20"/>
      <c r="PZY20"/>
      <c r="QAC20"/>
      <c r="QAG20"/>
      <c r="QAK20"/>
      <c r="QAO20"/>
      <c r="QAS20"/>
      <c r="QAW20"/>
      <c r="QBA20"/>
      <c r="QBE20"/>
      <c r="QBI20"/>
      <c r="QBM20"/>
      <c r="QBQ20"/>
      <c r="QBU20"/>
      <c r="QBY20"/>
      <c r="QCC20"/>
      <c r="QCG20"/>
      <c r="QCK20"/>
      <c r="QCO20"/>
      <c r="QCS20"/>
      <c r="QCW20"/>
      <c r="QDA20"/>
      <c r="QDE20"/>
      <c r="QDI20"/>
      <c r="QDM20"/>
      <c r="QDQ20"/>
      <c r="QDU20"/>
      <c r="QDY20"/>
      <c r="QEC20"/>
      <c r="QEG20"/>
      <c r="QEK20"/>
      <c r="QEO20"/>
      <c r="QES20"/>
      <c r="QEW20"/>
      <c r="QFA20"/>
      <c r="QFE20"/>
      <c r="QFI20"/>
      <c r="QFM20"/>
      <c r="QFQ20"/>
      <c r="QFU20"/>
      <c r="QFY20"/>
      <c r="QGC20"/>
      <c r="QGG20"/>
      <c r="QGK20"/>
      <c r="QGO20"/>
      <c r="QGS20"/>
      <c r="QGW20"/>
      <c r="QHA20"/>
      <c r="QHE20"/>
      <c r="QHI20"/>
      <c r="QHM20"/>
      <c r="QHQ20"/>
      <c r="QHU20"/>
      <c r="QHY20"/>
      <c r="QIC20"/>
      <c r="QIG20"/>
      <c r="QIK20"/>
      <c r="QIO20"/>
      <c r="QIS20"/>
      <c r="QIW20"/>
      <c r="QJA20"/>
      <c r="QJE20"/>
      <c r="QJI20"/>
      <c r="QJM20"/>
      <c r="QJQ20"/>
      <c r="QJU20"/>
      <c r="QJY20"/>
      <c r="QKC20"/>
      <c r="QKG20"/>
      <c r="QKK20"/>
      <c r="QKO20"/>
      <c r="QKS20"/>
      <c r="QKW20"/>
      <c r="QLA20"/>
      <c r="QLE20"/>
      <c r="QLI20"/>
      <c r="QLM20"/>
      <c r="QLQ20"/>
      <c r="QLU20"/>
      <c r="QLY20"/>
      <c r="QMC20"/>
      <c r="QMG20"/>
      <c r="QMK20"/>
      <c r="QMO20"/>
      <c r="QMS20"/>
      <c r="QMW20"/>
      <c r="QNA20"/>
      <c r="QNE20"/>
      <c r="QNI20"/>
      <c r="QNM20"/>
      <c r="QNQ20"/>
      <c r="QNU20"/>
      <c r="QNY20"/>
      <c r="QOC20"/>
      <c r="QOG20"/>
      <c r="QOK20"/>
      <c r="QOO20"/>
      <c r="QOS20"/>
      <c r="QOW20"/>
      <c r="QPA20"/>
      <c r="QPE20"/>
      <c r="QPI20"/>
      <c r="QPM20"/>
      <c r="QPQ20"/>
      <c r="QPU20"/>
      <c r="QPY20"/>
      <c r="QQC20"/>
      <c r="QQG20"/>
      <c r="QQK20"/>
      <c r="QQO20"/>
      <c r="QQS20"/>
      <c r="QQW20"/>
      <c r="QRA20"/>
      <c r="QRE20"/>
      <c r="QRI20"/>
      <c r="QRM20"/>
      <c r="QRQ20"/>
      <c r="QRU20"/>
      <c r="QRY20"/>
      <c r="QSC20"/>
      <c r="QSG20"/>
      <c r="QSK20"/>
      <c r="QSO20"/>
      <c r="QSS20"/>
      <c r="QSW20"/>
      <c r="QTA20"/>
      <c r="QTE20"/>
      <c r="QTI20"/>
      <c r="QTM20"/>
      <c r="QTQ20"/>
      <c r="QTU20"/>
      <c r="QTY20"/>
      <c r="QUC20"/>
      <c r="QUG20"/>
      <c r="QUK20"/>
      <c r="QUO20"/>
      <c r="QUS20"/>
      <c r="QUW20"/>
      <c r="QVA20"/>
      <c r="QVE20"/>
      <c r="QVI20"/>
      <c r="QVM20"/>
      <c r="QVQ20"/>
      <c r="QVU20"/>
      <c r="QVY20"/>
      <c r="QWC20"/>
      <c r="QWG20"/>
      <c r="QWK20"/>
      <c r="QWO20"/>
      <c r="QWS20"/>
      <c r="QWW20"/>
      <c r="QXA20"/>
      <c r="QXE20"/>
      <c r="QXI20"/>
      <c r="QXM20"/>
      <c r="QXQ20"/>
      <c r="QXU20"/>
      <c r="QXY20"/>
      <c r="QYC20"/>
      <c r="QYG20"/>
      <c r="QYK20"/>
      <c r="QYO20"/>
      <c r="QYS20"/>
      <c r="QYW20"/>
      <c r="QZA20"/>
      <c r="QZE20"/>
      <c r="QZI20"/>
      <c r="QZM20"/>
      <c r="QZQ20"/>
      <c r="QZU20"/>
      <c r="QZY20"/>
      <c r="RAC20"/>
      <c r="RAG20"/>
      <c r="RAK20"/>
      <c r="RAO20"/>
      <c r="RAS20"/>
      <c r="RAW20"/>
      <c r="RBA20"/>
      <c r="RBE20"/>
      <c r="RBI20"/>
      <c r="RBM20"/>
      <c r="RBQ20"/>
      <c r="RBU20"/>
      <c r="RBY20"/>
      <c r="RCC20"/>
      <c r="RCG20"/>
      <c r="RCK20"/>
      <c r="RCO20"/>
      <c r="RCS20"/>
      <c r="RCW20"/>
      <c r="RDA20"/>
      <c r="RDE20"/>
      <c r="RDI20"/>
      <c r="RDM20"/>
      <c r="RDQ20"/>
      <c r="RDU20"/>
      <c r="RDY20"/>
      <c r="REC20"/>
      <c r="REG20"/>
      <c r="REK20"/>
      <c r="REO20"/>
      <c r="RES20"/>
      <c r="REW20"/>
      <c r="RFA20"/>
      <c r="RFE20"/>
      <c r="RFI20"/>
      <c r="RFM20"/>
      <c r="RFQ20"/>
      <c r="RFU20"/>
      <c r="RFY20"/>
      <c r="RGC20"/>
      <c r="RGG20"/>
      <c r="RGK20"/>
      <c r="RGO20"/>
      <c r="RGS20"/>
      <c r="RGW20"/>
      <c r="RHA20"/>
      <c r="RHE20"/>
      <c r="RHI20"/>
      <c r="RHM20"/>
      <c r="RHQ20"/>
      <c r="RHU20"/>
      <c r="RHY20"/>
      <c r="RIC20"/>
      <c r="RIG20"/>
      <c r="RIK20"/>
      <c r="RIO20"/>
      <c r="RIS20"/>
      <c r="RIW20"/>
      <c r="RJA20"/>
      <c r="RJE20"/>
      <c r="RJI20"/>
      <c r="RJM20"/>
      <c r="RJQ20"/>
      <c r="RJU20"/>
      <c r="RJY20"/>
      <c r="RKC20"/>
      <c r="RKG20"/>
      <c r="RKK20"/>
      <c r="RKO20"/>
      <c r="RKS20"/>
      <c r="RKW20"/>
      <c r="RLA20"/>
      <c r="RLE20"/>
      <c r="RLI20"/>
      <c r="RLM20"/>
      <c r="RLQ20"/>
      <c r="RLU20"/>
      <c r="RLY20"/>
      <c r="RMC20"/>
      <c r="RMG20"/>
      <c r="RMK20"/>
      <c r="RMO20"/>
      <c r="RMS20"/>
      <c r="RMW20"/>
      <c r="RNA20"/>
      <c r="RNE20"/>
      <c r="RNI20"/>
      <c r="RNM20"/>
      <c r="RNQ20"/>
      <c r="RNU20"/>
      <c r="RNY20"/>
      <c r="ROC20"/>
      <c r="ROG20"/>
      <c r="ROK20"/>
      <c r="ROO20"/>
      <c r="ROS20"/>
      <c r="ROW20"/>
      <c r="RPA20"/>
      <c r="RPE20"/>
      <c r="RPI20"/>
      <c r="RPM20"/>
      <c r="RPQ20"/>
      <c r="RPU20"/>
      <c r="RPY20"/>
      <c r="RQC20"/>
      <c r="RQG20"/>
      <c r="RQK20"/>
      <c r="RQO20"/>
      <c r="RQS20"/>
      <c r="RQW20"/>
      <c r="RRA20"/>
      <c r="RRE20"/>
      <c r="RRI20"/>
      <c r="RRM20"/>
      <c r="RRQ20"/>
      <c r="RRU20"/>
      <c r="RRY20"/>
      <c r="RSC20"/>
      <c r="RSG20"/>
      <c r="RSK20"/>
      <c r="RSO20"/>
      <c r="RSS20"/>
      <c r="RSW20"/>
      <c r="RTA20"/>
      <c r="RTE20"/>
      <c r="RTI20"/>
      <c r="RTM20"/>
      <c r="RTQ20"/>
      <c r="RTU20"/>
      <c r="RTY20"/>
      <c r="RUC20"/>
      <c r="RUG20"/>
      <c r="RUK20"/>
      <c r="RUO20"/>
      <c r="RUS20"/>
      <c r="RUW20"/>
      <c r="RVA20"/>
      <c r="RVE20"/>
      <c r="RVI20"/>
      <c r="RVM20"/>
      <c r="RVQ20"/>
      <c r="RVU20"/>
      <c r="RVY20"/>
      <c r="RWC20"/>
      <c r="RWG20"/>
      <c r="RWK20"/>
      <c r="RWO20"/>
      <c r="RWS20"/>
      <c r="RWW20"/>
      <c r="RXA20"/>
      <c r="RXE20"/>
      <c r="RXI20"/>
      <c r="RXM20"/>
      <c r="RXQ20"/>
      <c r="RXU20"/>
      <c r="RXY20"/>
      <c r="RYC20"/>
      <c r="RYG20"/>
      <c r="RYK20"/>
      <c r="RYO20"/>
      <c r="RYS20"/>
      <c r="RYW20"/>
      <c r="RZA20"/>
      <c r="RZE20"/>
      <c r="RZI20"/>
      <c r="RZM20"/>
      <c r="RZQ20"/>
      <c r="RZU20"/>
      <c r="RZY20"/>
      <c r="SAC20"/>
      <c r="SAG20"/>
      <c r="SAK20"/>
      <c r="SAO20"/>
      <c r="SAS20"/>
      <c r="SAW20"/>
      <c r="SBA20"/>
      <c r="SBE20"/>
      <c r="SBI20"/>
      <c r="SBM20"/>
      <c r="SBQ20"/>
      <c r="SBU20"/>
      <c r="SBY20"/>
      <c r="SCC20"/>
      <c r="SCG20"/>
      <c r="SCK20"/>
      <c r="SCO20"/>
      <c r="SCS20"/>
      <c r="SCW20"/>
      <c r="SDA20"/>
      <c r="SDE20"/>
      <c r="SDI20"/>
      <c r="SDM20"/>
      <c r="SDQ20"/>
      <c r="SDU20"/>
      <c r="SDY20"/>
      <c r="SEC20"/>
      <c r="SEG20"/>
      <c r="SEK20"/>
      <c r="SEO20"/>
      <c r="SES20"/>
      <c r="SEW20"/>
      <c r="SFA20"/>
      <c r="SFE20"/>
      <c r="SFI20"/>
      <c r="SFM20"/>
      <c r="SFQ20"/>
      <c r="SFU20"/>
      <c r="SFY20"/>
      <c r="SGC20"/>
      <c r="SGG20"/>
      <c r="SGK20"/>
      <c r="SGO20"/>
      <c r="SGS20"/>
      <c r="SGW20"/>
      <c r="SHA20"/>
      <c r="SHE20"/>
      <c r="SHI20"/>
      <c r="SHM20"/>
      <c r="SHQ20"/>
      <c r="SHU20"/>
      <c r="SHY20"/>
      <c r="SIC20"/>
      <c r="SIG20"/>
      <c r="SIK20"/>
      <c r="SIO20"/>
      <c r="SIS20"/>
      <c r="SIW20"/>
      <c r="SJA20"/>
      <c r="SJE20"/>
      <c r="SJI20"/>
      <c r="SJM20"/>
      <c r="SJQ20"/>
      <c r="SJU20"/>
      <c r="SJY20"/>
      <c r="SKC20"/>
      <c r="SKG20"/>
      <c r="SKK20"/>
      <c r="SKO20"/>
      <c r="SKS20"/>
      <c r="SKW20"/>
      <c r="SLA20"/>
      <c r="SLE20"/>
      <c r="SLI20"/>
      <c r="SLM20"/>
      <c r="SLQ20"/>
      <c r="SLU20"/>
      <c r="SLY20"/>
      <c r="SMC20"/>
      <c r="SMG20"/>
      <c r="SMK20"/>
      <c r="SMO20"/>
      <c r="SMS20"/>
      <c r="SMW20"/>
      <c r="SNA20"/>
      <c r="SNE20"/>
      <c r="SNI20"/>
      <c r="SNM20"/>
      <c r="SNQ20"/>
      <c r="SNU20"/>
      <c r="SNY20"/>
      <c r="SOC20"/>
      <c r="SOG20"/>
      <c r="SOK20"/>
      <c r="SOO20"/>
      <c r="SOS20"/>
      <c r="SOW20"/>
      <c r="SPA20"/>
      <c r="SPE20"/>
      <c r="SPI20"/>
      <c r="SPM20"/>
      <c r="SPQ20"/>
      <c r="SPU20"/>
      <c r="SPY20"/>
      <c r="SQC20"/>
      <c r="SQG20"/>
      <c r="SQK20"/>
      <c r="SQO20"/>
      <c r="SQS20"/>
      <c r="SQW20"/>
      <c r="SRA20"/>
      <c r="SRE20"/>
      <c r="SRI20"/>
      <c r="SRM20"/>
      <c r="SRQ20"/>
      <c r="SRU20"/>
      <c r="SRY20"/>
      <c r="SSC20"/>
      <c r="SSG20"/>
      <c r="SSK20"/>
      <c r="SSO20"/>
      <c r="SSS20"/>
      <c r="SSW20"/>
      <c r="STA20"/>
      <c r="STE20"/>
      <c r="STI20"/>
      <c r="STM20"/>
      <c r="STQ20"/>
      <c r="STU20"/>
      <c r="STY20"/>
      <c r="SUC20"/>
      <c r="SUG20"/>
      <c r="SUK20"/>
      <c r="SUO20"/>
      <c r="SUS20"/>
      <c r="SUW20"/>
      <c r="SVA20"/>
      <c r="SVE20"/>
      <c r="SVI20"/>
      <c r="SVM20"/>
      <c r="SVQ20"/>
      <c r="SVU20"/>
      <c r="SVY20"/>
      <c r="SWC20"/>
      <c r="SWG20"/>
      <c r="SWK20"/>
      <c r="SWO20"/>
      <c r="SWS20"/>
      <c r="SWW20"/>
      <c r="SXA20"/>
      <c r="SXE20"/>
      <c r="SXI20"/>
      <c r="SXM20"/>
      <c r="SXQ20"/>
      <c r="SXU20"/>
      <c r="SXY20"/>
      <c r="SYC20"/>
      <c r="SYG20"/>
      <c r="SYK20"/>
      <c r="SYO20"/>
      <c r="SYS20"/>
      <c r="SYW20"/>
      <c r="SZA20"/>
      <c r="SZE20"/>
      <c r="SZI20"/>
      <c r="SZM20"/>
      <c r="SZQ20"/>
      <c r="SZU20"/>
      <c r="SZY20"/>
      <c r="TAC20"/>
      <c r="TAG20"/>
      <c r="TAK20"/>
      <c r="TAO20"/>
      <c r="TAS20"/>
      <c r="TAW20"/>
      <c r="TBA20"/>
      <c r="TBE20"/>
      <c r="TBI20"/>
      <c r="TBM20"/>
      <c r="TBQ20"/>
      <c r="TBU20"/>
      <c r="TBY20"/>
      <c r="TCC20"/>
      <c r="TCG20"/>
      <c r="TCK20"/>
      <c r="TCO20"/>
      <c r="TCS20"/>
      <c r="TCW20"/>
      <c r="TDA20"/>
      <c r="TDE20"/>
      <c r="TDI20"/>
      <c r="TDM20"/>
      <c r="TDQ20"/>
      <c r="TDU20"/>
      <c r="TDY20"/>
      <c r="TEC20"/>
      <c r="TEG20"/>
      <c r="TEK20"/>
      <c r="TEO20"/>
      <c r="TES20"/>
      <c r="TEW20"/>
      <c r="TFA20"/>
      <c r="TFE20"/>
      <c r="TFI20"/>
      <c r="TFM20"/>
      <c r="TFQ20"/>
      <c r="TFU20"/>
      <c r="TFY20"/>
      <c r="TGC20"/>
      <c r="TGG20"/>
      <c r="TGK20"/>
      <c r="TGO20"/>
      <c r="TGS20"/>
      <c r="TGW20"/>
      <c r="THA20"/>
      <c r="THE20"/>
      <c r="THI20"/>
      <c r="THM20"/>
      <c r="THQ20"/>
      <c r="THU20"/>
      <c r="THY20"/>
      <c r="TIC20"/>
      <c r="TIG20"/>
      <c r="TIK20"/>
      <c r="TIO20"/>
      <c r="TIS20"/>
      <c r="TIW20"/>
      <c r="TJA20"/>
      <c r="TJE20"/>
      <c r="TJI20"/>
      <c r="TJM20"/>
      <c r="TJQ20"/>
      <c r="TJU20"/>
      <c r="TJY20"/>
      <c r="TKC20"/>
      <c r="TKG20"/>
      <c r="TKK20"/>
      <c r="TKO20"/>
      <c r="TKS20"/>
      <c r="TKW20"/>
      <c r="TLA20"/>
      <c r="TLE20"/>
      <c r="TLI20"/>
      <c r="TLM20"/>
      <c r="TLQ20"/>
      <c r="TLU20"/>
      <c r="TLY20"/>
      <c r="TMC20"/>
      <c r="TMG20"/>
      <c r="TMK20"/>
      <c r="TMO20"/>
      <c r="TMS20"/>
      <c r="TMW20"/>
      <c r="TNA20"/>
      <c r="TNE20"/>
      <c r="TNI20"/>
      <c r="TNM20"/>
      <c r="TNQ20"/>
      <c r="TNU20"/>
      <c r="TNY20"/>
      <c r="TOC20"/>
      <c r="TOG20"/>
      <c r="TOK20"/>
      <c r="TOO20"/>
      <c r="TOS20"/>
      <c r="TOW20"/>
      <c r="TPA20"/>
      <c r="TPE20"/>
      <c r="TPI20"/>
      <c r="TPM20"/>
      <c r="TPQ20"/>
      <c r="TPU20"/>
      <c r="TPY20"/>
      <c r="TQC20"/>
      <c r="TQG20"/>
      <c r="TQK20"/>
      <c r="TQO20"/>
      <c r="TQS20"/>
      <c r="TQW20"/>
      <c r="TRA20"/>
      <c r="TRE20"/>
      <c r="TRI20"/>
      <c r="TRM20"/>
      <c r="TRQ20"/>
      <c r="TRU20"/>
      <c r="TRY20"/>
      <c r="TSC20"/>
      <c r="TSG20"/>
      <c r="TSK20"/>
      <c r="TSO20"/>
      <c r="TSS20"/>
      <c r="TSW20"/>
      <c r="TTA20"/>
      <c r="TTE20"/>
      <c r="TTI20"/>
      <c r="TTM20"/>
      <c r="TTQ20"/>
      <c r="TTU20"/>
      <c r="TTY20"/>
      <c r="TUC20"/>
      <c r="TUG20"/>
      <c r="TUK20"/>
      <c r="TUO20"/>
      <c r="TUS20"/>
      <c r="TUW20"/>
      <c r="TVA20"/>
      <c r="TVE20"/>
      <c r="TVI20"/>
      <c r="TVM20"/>
      <c r="TVQ20"/>
      <c r="TVU20"/>
      <c r="TVY20"/>
      <c r="TWC20"/>
      <c r="TWG20"/>
      <c r="TWK20"/>
      <c r="TWO20"/>
      <c r="TWS20"/>
      <c r="TWW20"/>
      <c r="TXA20"/>
      <c r="TXE20"/>
      <c r="TXI20"/>
      <c r="TXM20"/>
      <c r="TXQ20"/>
      <c r="TXU20"/>
      <c r="TXY20"/>
      <c r="TYC20"/>
      <c r="TYG20"/>
      <c r="TYK20"/>
      <c r="TYO20"/>
      <c r="TYS20"/>
      <c r="TYW20"/>
      <c r="TZA20"/>
      <c r="TZE20"/>
      <c r="TZI20"/>
      <c r="TZM20"/>
      <c r="TZQ20"/>
      <c r="TZU20"/>
      <c r="TZY20"/>
      <c r="UAC20"/>
      <c r="UAG20"/>
      <c r="UAK20"/>
      <c r="UAO20"/>
      <c r="UAS20"/>
      <c r="UAW20"/>
      <c r="UBA20"/>
      <c r="UBE20"/>
      <c r="UBI20"/>
      <c r="UBM20"/>
      <c r="UBQ20"/>
      <c r="UBU20"/>
      <c r="UBY20"/>
      <c r="UCC20"/>
      <c r="UCG20"/>
      <c r="UCK20"/>
      <c r="UCO20"/>
      <c r="UCS20"/>
      <c r="UCW20"/>
      <c r="UDA20"/>
      <c r="UDE20"/>
      <c r="UDI20"/>
      <c r="UDM20"/>
      <c r="UDQ20"/>
      <c r="UDU20"/>
      <c r="UDY20"/>
      <c r="UEC20"/>
      <c r="UEG20"/>
      <c r="UEK20"/>
      <c r="UEO20"/>
      <c r="UES20"/>
      <c r="UEW20"/>
      <c r="UFA20"/>
      <c r="UFE20"/>
      <c r="UFI20"/>
      <c r="UFM20"/>
      <c r="UFQ20"/>
      <c r="UFU20"/>
      <c r="UFY20"/>
      <c r="UGC20"/>
      <c r="UGG20"/>
      <c r="UGK20"/>
      <c r="UGO20"/>
      <c r="UGS20"/>
      <c r="UGW20"/>
      <c r="UHA20"/>
      <c r="UHE20"/>
      <c r="UHI20"/>
      <c r="UHM20"/>
      <c r="UHQ20"/>
      <c r="UHU20"/>
      <c r="UHY20"/>
      <c r="UIC20"/>
      <c r="UIG20"/>
      <c r="UIK20"/>
      <c r="UIO20"/>
      <c r="UIS20"/>
      <c r="UIW20"/>
      <c r="UJA20"/>
      <c r="UJE20"/>
      <c r="UJI20"/>
      <c r="UJM20"/>
      <c r="UJQ20"/>
      <c r="UJU20"/>
      <c r="UJY20"/>
      <c r="UKC20"/>
      <c r="UKG20"/>
      <c r="UKK20"/>
      <c r="UKO20"/>
      <c r="UKS20"/>
      <c r="UKW20"/>
      <c r="ULA20"/>
      <c r="ULE20"/>
      <c r="ULI20"/>
      <c r="ULM20"/>
      <c r="ULQ20"/>
      <c r="ULU20"/>
      <c r="ULY20"/>
      <c r="UMC20"/>
      <c r="UMG20"/>
      <c r="UMK20"/>
      <c r="UMO20"/>
      <c r="UMS20"/>
      <c r="UMW20"/>
      <c r="UNA20"/>
      <c r="UNE20"/>
      <c r="UNI20"/>
      <c r="UNM20"/>
      <c r="UNQ20"/>
      <c r="UNU20"/>
      <c r="UNY20"/>
      <c r="UOC20"/>
      <c r="UOG20"/>
      <c r="UOK20"/>
      <c r="UOO20"/>
      <c r="UOS20"/>
      <c r="UOW20"/>
      <c r="UPA20"/>
      <c r="UPE20"/>
      <c r="UPI20"/>
      <c r="UPM20"/>
      <c r="UPQ20"/>
      <c r="UPU20"/>
      <c r="UPY20"/>
      <c r="UQC20"/>
      <c r="UQG20"/>
      <c r="UQK20"/>
      <c r="UQO20"/>
      <c r="UQS20"/>
      <c r="UQW20"/>
      <c r="URA20"/>
      <c r="URE20"/>
      <c r="URI20"/>
      <c r="URM20"/>
      <c r="URQ20"/>
      <c r="URU20"/>
      <c r="URY20"/>
      <c r="USC20"/>
      <c r="USG20"/>
      <c r="USK20"/>
      <c r="USO20"/>
      <c r="USS20"/>
      <c r="USW20"/>
      <c r="UTA20"/>
      <c r="UTE20"/>
      <c r="UTI20"/>
      <c r="UTM20"/>
      <c r="UTQ20"/>
      <c r="UTU20"/>
      <c r="UTY20"/>
      <c r="UUC20"/>
      <c r="UUG20"/>
      <c r="UUK20"/>
      <c r="UUO20"/>
      <c r="UUS20"/>
      <c r="UUW20"/>
      <c r="UVA20"/>
      <c r="UVE20"/>
      <c r="UVI20"/>
      <c r="UVM20"/>
      <c r="UVQ20"/>
      <c r="UVU20"/>
      <c r="UVY20"/>
      <c r="UWC20"/>
      <c r="UWG20"/>
      <c r="UWK20"/>
      <c r="UWO20"/>
      <c r="UWS20"/>
      <c r="UWW20"/>
      <c r="UXA20"/>
      <c r="UXE20"/>
      <c r="UXI20"/>
      <c r="UXM20"/>
      <c r="UXQ20"/>
      <c r="UXU20"/>
      <c r="UXY20"/>
      <c r="UYC20"/>
      <c r="UYG20"/>
      <c r="UYK20"/>
      <c r="UYO20"/>
      <c r="UYS20"/>
      <c r="UYW20"/>
      <c r="UZA20"/>
      <c r="UZE20"/>
      <c r="UZI20"/>
      <c r="UZM20"/>
      <c r="UZQ20"/>
      <c r="UZU20"/>
      <c r="UZY20"/>
      <c r="VAC20"/>
      <c r="VAG20"/>
      <c r="VAK20"/>
      <c r="VAO20"/>
      <c r="VAS20"/>
      <c r="VAW20"/>
      <c r="VBA20"/>
      <c r="VBE20"/>
      <c r="VBI20"/>
      <c r="VBM20"/>
      <c r="VBQ20"/>
      <c r="VBU20"/>
      <c r="VBY20"/>
      <c r="VCC20"/>
      <c r="VCG20"/>
      <c r="VCK20"/>
      <c r="VCO20"/>
      <c r="VCS20"/>
      <c r="VCW20"/>
      <c r="VDA20"/>
      <c r="VDE20"/>
      <c r="VDI20"/>
      <c r="VDM20"/>
      <c r="VDQ20"/>
      <c r="VDU20"/>
      <c r="VDY20"/>
      <c r="VEC20"/>
      <c r="VEG20"/>
      <c r="VEK20"/>
      <c r="VEO20"/>
      <c r="VES20"/>
      <c r="VEW20"/>
      <c r="VFA20"/>
      <c r="VFE20"/>
      <c r="VFI20"/>
      <c r="VFM20"/>
      <c r="VFQ20"/>
      <c r="VFU20"/>
      <c r="VFY20"/>
      <c r="VGC20"/>
      <c r="VGG20"/>
      <c r="VGK20"/>
      <c r="VGO20"/>
      <c r="VGS20"/>
      <c r="VGW20"/>
      <c r="VHA20"/>
      <c r="VHE20"/>
      <c r="VHI20"/>
      <c r="VHM20"/>
      <c r="VHQ20"/>
      <c r="VHU20"/>
      <c r="VHY20"/>
      <c r="VIC20"/>
      <c r="VIG20"/>
      <c r="VIK20"/>
      <c r="VIO20"/>
      <c r="VIS20"/>
      <c r="VIW20"/>
      <c r="VJA20"/>
      <c r="VJE20"/>
      <c r="VJI20"/>
      <c r="VJM20"/>
      <c r="VJQ20"/>
      <c r="VJU20"/>
      <c r="VJY20"/>
      <c r="VKC20"/>
      <c r="VKG20"/>
      <c r="VKK20"/>
      <c r="VKO20"/>
      <c r="VKS20"/>
      <c r="VKW20"/>
      <c r="VLA20"/>
      <c r="VLE20"/>
      <c r="VLI20"/>
      <c r="VLM20"/>
      <c r="VLQ20"/>
      <c r="VLU20"/>
      <c r="VLY20"/>
      <c r="VMC20"/>
      <c r="VMG20"/>
      <c r="VMK20"/>
      <c r="VMO20"/>
      <c r="VMS20"/>
      <c r="VMW20"/>
      <c r="VNA20"/>
      <c r="VNE20"/>
      <c r="VNI20"/>
      <c r="VNM20"/>
      <c r="VNQ20"/>
      <c r="VNU20"/>
      <c r="VNY20"/>
      <c r="VOC20"/>
      <c r="VOG20"/>
      <c r="VOK20"/>
      <c r="VOO20"/>
      <c r="VOS20"/>
      <c r="VOW20"/>
      <c r="VPA20"/>
      <c r="VPE20"/>
      <c r="VPI20"/>
      <c r="VPM20"/>
      <c r="VPQ20"/>
      <c r="VPU20"/>
      <c r="VPY20"/>
      <c r="VQC20"/>
      <c r="VQG20"/>
      <c r="VQK20"/>
      <c r="VQO20"/>
      <c r="VQS20"/>
      <c r="VQW20"/>
      <c r="VRA20"/>
      <c r="VRE20"/>
      <c r="VRI20"/>
      <c r="VRM20"/>
      <c r="VRQ20"/>
      <c r="VRU20"/>
      <c r="VRY20"/>
      <c r="VSC20"/>
      <c r="VSG20"/>
      <c r="VSK20"/>
      <c r="VSO20"/>
      <c r="VSS20"/>
      <c r="VSW20"/>
      <c r="VTA20"/>
      <c r="VTE20"/>
      <c r="VTI20"/>
      <c r="VTM20"/>
      <c r="VTQ20"/>
      <c r="VTU20"/>
      <c r="VTY20"/>
      <c r="VUC20"/>
      <c r="VUG20"/>
      <c r="VUK20"/>
      <c r="VUO20"/>
      <c r="VUS20"/>
      <c r="VUW20"/>
      <c r="VVA20"/>
      <c r="VVE20"/>
      <c r="VVI20"/>
      <c r="VVM20"/>
      <c r="VVQ20"/>
      <c r="VVU20"/>
      <c r="VVY20"/>
      <c r="VWC20"/>
      <c r="VWG20"/>
      <c r="VWK20"/>
      <c r="VWO20"/>
      <c r="VWS20"/>
      <c r="VWW20"/>
      <c r="VXA20"/>
      <c r="VXE20"/>
      <c r="VXI20"/>
      <c r="VXM20"/>
      <c r="VXQ20"/>
      <c r="VXU20"/>
      <c r="VXY20"/>
      <c r="VYC20"/>
      <c r="VYG20"/>
      <c r="VYK20"/>
      <c r="VYO20"/>
      <c r="VYS20"/>
      <c r="VYW20"/>
      <c r="VZA20"/>
      <c r="VZE20"/>
      <c r="VZI20"/>
      <c r="VZM20"/>
      <c r="VZQ20"/>
      <c r="VZU20"/>
      <c r="VZY20"/>
      <c r="WAC20"/>
      <c r="WAG20"/>
      <c r="WAK20"/>
      <c r="WAO20"/>
      <c r="WAS20"/>
      <c r="WAW20"/>
      <c r="WBA20"/>
      <c r="WBE20"/>
      <c r="WBI20"/>
      <c r="WBM20"/>
      <c r="WBQ20"/>
      <c r="WBU20"/>
      <c r="WBY20"/>
      <c r="WCC20"/>
      <c r="WCG20"/>
      <c r="WCK20"/>
      <c r="WCO20"/>
      <c r="WCS20"/>
      <c r="WCW20"/>
      <c r="WDA20"/>
      <c r="WDE20"/>
      <c r="WDI20"/>
      <c r="WDM20"/>
      <c r="WDQ20"/>
      <c r="WDU20"/>
      <c r="WDY20"/>
      <c r="WEC20"/>
      <c r="WEG20"/>
      <c r="WEK20"/>
      <c r="WEO20"/>
      <c r="WES20"/>
      <c r="WEW20"/>
      <c r="WFA20"/>
      <c r="WFE20"/>
      <c r="WFI20"/>
      <c r="WFM20"/>
      <c r="WFQ20"/>
      <c r="WFU20"/>
      <c r="WFY20"/>
      <c r="WGC20"/>
      <c r="WGG20"/>
      <c r="WGK20"/>
      <c r="WGO20"/>
      <c r="WGS20"/>
      <c r="WGW20"/>
      <c r="WHA20"/>
      <c r="WHE20"/>
      <c r="WHI20"/>
      <c r="WHM20"/>
      <c r="WHQ20"/>
      <c r="WHU20"/>
      <c r="WHY20"/>
      <c r="WIC20"/>
      <c r="WIG20"/>
      <c r="WIK20"/>
      <c r="WIO20"/>
      <c r="WIS20"/>
      <c r="WIW20"/>
      <c r="WJA20"/>
      <c r="WJE20"/>
      <c r="WJI20"/>
      <c r="WJM20"/>
      <c r="WJQ20"/>
      <c r="WJU20"/>
      <c r="WJY20"/>
      <c r="WKC20"/>
      <c r="WKG20"/>
      <c r="WKK20"/>
      <c r="WKO20"/>
      <c r="WKS20"/>
      <c r="WKW20"/>
      <c r="WLA20"/>
      <c r="WLE20"/>
      <c r="WLI20"/>
      <c r="WLM20"/>
      <c r="WLQ20"/>
      <c r="WLU20"/>
      <c r="WLY20"/>
      <c r="WMC20"/>
      <c r="WMG20"/>
      <c r="WMK20"/>
      <c r="WMO20"/>
      <c r="WMS20"/>
      <c r="WMW20"/>
      <c r="WNA20"/>
      <c r="WNE20"/>
      <c r="WNI20"/>
      <c r="WNM20"/>
      <c r="WNQ20"/>
      <c r="WNU20"/>
      <c r="WNY20"/>
      <c r="WOC20"/>
      <c r="WOG20"/>
      <c r="WOK20"/>
      <c r="WOO20"/>
      <c r="WOS20"/>
      <c r="WOW20"/>
      <c r="WPA20"/>
      <c r="WPE20"/>
      <c r="WPI20"/>
      <c r="WPM20"/>
      <c r="WPQ20"/>
      <c r="WPU20"/>
      <c r="WPY20"/>
      <c r="WQC20"/>
      <c r="WQG20"/>
      <c r="WQK20"/>
      <c r="WQO20"/>
      <c r="WQS20"/>
      <c r="WQW20"/>
      <c r="WRA20"/>
      <c r="WRE20"/>
      <c r="WRI20"/>
      <c r="WRM20"/>
      <c r="WRQ20"/>
      <c r="WRU20"/>
      <c r="WRY20"/>
      <c r="WSC20"/>
      <c r="WSG20"/>
      <c r="WSK20"/>
      <c r="WSO20"/>
      <c r="WSS20"/>
      <c r="WSW20"/>
      <c r="WTA20"/>
      <c r="WTE20"/>
      <c r="WTI20"/>
      <c r="WTM20"/>
      <c r="WTQ20"/>
      <c r="WTU20"/>
      <c r="WTY20"/>
      <c r="WUC20"/>
      <c r="WUG20"/>
      <c r="WUK20"/>
      <c r="WUO20"/>
      <c r="WUS20"/>
      <c r="WUW20"/>
      <c r="WVA20"/>
      <c r="WVE20"/>
      <c r="WVI20"/>
      <c r="WVM20"/>
      <c r="WVQ20"/>
      <c r="WVU20"/>
      <c r="WVY20"/>
      <c r="WWC20"/>
      <c r="WWG20"/>
      <c r="WWK20"/>
      <c r="WWO20"/>
      <c r="WWS20"/>
      <c r="WWW20"/>
      <c r="WXA20"/>
      <c r="WXE20"/>
      <c r="WXI20"/>
      <c r="WXM20"/>
      <c r="WXQ20"/>
      <c r="WXU20"/>
      <c r="WXY20"/>
      <c r="WYC20"/>
      <c r="WYG20"/>
      <c r="WYK20"/>
      <c r="WYO20"/>
      <c r="WYS20"/>
      <c r="WYW20"/>
      <c r="WZA20"/>
      <c r="WZE20"/>
      <c r="WZI20"/>
      <c r="WZM20"/>
      <c r="WZQ20"/>
      <c r="WZU20"/>
      <c r="WZY20"/>
      <c r="XAC20"/>
      <c r="XAG20"/>
      <c r="XAK20"/>
      <c r="XAO20"/>
      <c r="XAS20"/>
      <c r="XAW20"/>
      <c r="XBA20"/>
      <c r="XBE20"/>
      <c r="XBI20"/>
      <c r="XBM20"/>
      <c r="XBQ20"/>
      <c r="XBU20"/>
      <c r="XBY20"/>
      <c r="XCC20"/>
      <c r="XCG20"/>
      <c r="XCK20"/>
      <c r="XCO20"/>
      <c r="XCS20"/>
      <c r="XCW20"/>
      <c r="XDA20"/>
      <c r="XDE20"/>
      <c r="XDI20"/>
      <c r="XDM20"/>
      <c r="XDQ20"/>
      <c r="XDU20"/>
      <c r="XDY20"/>
      <c r="XEC20"/>
      <c r="XEG20"/>
      <c r="XEK20"/>
      <c r="XEO20"/>
      <c r="XES20"/>
      <c r="XEW20"/>
      <c r="XFA20"/>
    </row>
    <row r="21" spans="1:1021 1025:2045 2049:3069 3073:4093 4097:5117 5121:6141 6145:7165 7169:8189 8193:9213 9217:10237 10241:11261 11265:12285 12289:13309 13313:14333 14337:15357 15361:16381" s="1" customFormat="1" x14ac:dyDescent="0.35">
      <c r="A21" s="21">
        <v>1</v>
      </c>
      <c r="B21" s="21">
        <v>17</v>
      </c>
      <c r="C21" s="1" t="str">
        <f xml:space="preserve"> IF('Master Player List'!L19=1,'Master Player List'!C19,"")</f>
        <v/>
      </c>
      <c r="D21" s="1" t="str">
        <f xml:space="preserve"> IF('Master Player List'!L19=1,'Master Player List'!F19,"")</f>
        <v/>
      </c>
      <c r="E21" s="21" t="str">
        <f xml:space="preserve"> IF('Master Player List'!L19=1,'Master Player List'!I19,"")</f>
        <v/>
      </c>
      <c r="F21" s="22"/>
      <c r="I21" s="21"/>
      <c r="J21" s="22"/>
      <c r="M21"/>
      <c r="N21"/>
      <c r="Q21"/>
      <c r="U21"/>
      <c r="Y21"/>
      <c r="AC21"/>
      <c r="AG21"/>
      <c r="AK21"/>
      <c r="AO21"/>
      <c r="AS21"/>
      <c r="AW21"/>
      <c r="BA21"/>
      <c r="BE21"/>
      <c r="BI21"/>
      <c r="BM21"/>
      <c r="BQ21"/>
      <c r="BU21"/>
      <c r="BY21"/>
      <c r="CC21"/>
      <c r="CG21"/>
      <c r="CK21"/>
      <c r="CO21"/>
      <c r="CS21"/>
      <c r="CW21"/>
      <c r="DA21"/>
      <c r="DE21"/>
      <c r="DI21"/>
      <c r="DM21"/>
      <c r="DQ21"/>
      <c r="DU21"/>
      <c r="DY21"/>
      <c r="EC21"/>
      <c r="EG21"/>
      <c r="EK21"/>
      <c r="EO21"/>
      <c r="ES21"/>
      <c r="EW21"/>
      <c r="FA21"/>
      <c r="FE21"/>
      <c r="FI21"/>
      <c r="FM21"/>
      <c r="FQ21"/>
      <c r="FU21"/>
      <c r="FY21"/>
      <c r="GC21"/>
      <c r="GG21"/>
      <c r="GK21"/>
      <c r="GO21"/>
      <c r="GS21"/>
      <c r="GW21"/>
      <c r="HA21"/>
      <c r="HE21"/>
      <c r="HI21"/>
      <c r="HM21"/>
      <c r="HQ21"/>
      <c r="HU21"/>
      <c r="HY21"/>
      <c r="IC21"/>
      <c r="IG21"/>
      <c r="IK21"/>
      <c r="IO21"/>
      <c r="IS21"/>
      <c r="IW21"/>
      <c r="JA21"/>
      <c r="JE21"/>
      <c r="JI21"/>
      <c r="JM21"/>
      <c r="JQ21"/>
      <c r="JU21"/>
      <c r="JY21"/>
      <c r="KC21"/>
      <c r="KG21"/>
      <c r="KK21"/>
      <c r="KO21"/>
      <c r="KS21"/>
      <c r="KW21"/>
      <c r="LA21"/>
      <c r="LE21"/>
      <c r="LI21"/>
      <c r="LM21"/>
      <c r="LQ21"/>
      <c r="LU21"/>
      <c r="LY21"/>
      <c r="MC21"/>
      <c r="MG21"/>
      <c r="MK21"/>
      <c r="MO21"/>
      <c r="MS21"/>
      <c r="MW21"/>
      <c r="NA21"/>
      <c r="NE21"/>
      <c r="NI21"/>
      <c r="NM21"/>
      <c r="NQ21"/>
      <c r="NU21"/>
      <c r="NY21"/>
      <c r="OC21"/>
      <c r="OG21"/>
      <c r="OK21"/>
      <c r="OO21"/>
      <c r="OS21"/>
      <c r="OW21"/>
      <c r="PA21"/>
      <c r="PE21"/>
      <c r="PI21"/>
      <c r="PM21"/>
      <c r="PQ21"/>
      <c r="PU21"/>
      <c r="PY21"/>
      <c r="QC21"/>
      <c r="QG21"/>
      <c r="QK21"/>
      <c r="QO21"/>
      <c r="QS21"/>
      <c r="QW21"/>
      <c r="RA21"/>
      <c r="RE21"/>
      <c r="RI21"/>
      <c r="RM21"/>
      <c r="RQ21"/>
      <c r="RU21"/>
      <c r="RY21"/>
      <c r="SC21"/>
      <c r="SG21"/>
      <c r="SK21"/>
      <c r="SO21"/>
      <c r="SS21"/>
      <c r="SW21"/>
      <c r="TA21"/>
      <c r="TE21"/>
      <c r="TI21"/>
      <c r="TM21"/>
      <c r="TQ21"/>
      <c r="TU21"/>
      <c r="TY21"/>
      <c r="UC21"/>
      <c r="UG21"/>
      <c r="UK21"/>
      <c r="UO21"/>
      <c r="US21"/>
      <c r="UW21"/>
      <c r="VA21"/>
      <c r="VE21"/>
      <c r="VI21"/>
      <c r="VM21"/>
      <c r="VQ21"/>
      <c r="VU21"/>
      <c r="VY21"/>
      <c r="WC21"/>
      <c r="WG21"/>
      <c r="WK21"/>
      <c r="WO21"/>
      <c r="WS21"/>
      <c r="WW21"/>
      <c r="XA21"/>
      <c r="XE21"/>
      <c r="XI21"/>
      <c r="XM21"/>
      <c r="XQ21"/>
      <c r="XU21"/>
      <c r="XY21"/>
      <c r="YC21"/>
      <c r="YG21"/>
      <c r="YK21"/>
      <c r="YO21"/>
      <c r="YS21"/>
      <c r="YW21"/>
      <c r="ZA21"/>
      <c r="ZE21"/>
      <c r="ZI21"/>
      <c r="ZM21"/>
      <c r="ZQ21"/>
      <c r="ZU21"/>
      <c r="ZY21"/>
      <c r="AAC21"/>
      <c r="AAG21"/>
      <c r="AAK21"/>
      <c r="AAO21"/>
      <c r="AAS21"/>
      <c r="AAW21"/>
      <c r="ABA21"/>
      <c r="ABE21"/>
      <c r="ABI21"/>
      <c r="ABM21"/>
      <c r="ABQ21"/>
      <c r="ABU21"/>
      <c r="ABY21"/>
      <c r="ACC21"/>
      <c r="ACG21"/>
      <c r="ACK21"/>
      <c r="ACO21"/>
      <c r="ACS21"/>
      <c r="ACW21"/>
      <c r="ADA21"/>
      <c r="ADE21"/>
      <c r="ADI21"/>
      <c r="ADM21"/>
      <c r="ADQ21"/>
      <c r="ADU21"/>
      <c r="ADY21"/>
      <c r="AEC21"/>
      <c r="AEG21"/>
      <c r="AEK21"/>
      <c r="AEO21"/>
      <c r="AES21"/>
      <c r="AEW21"/>
      <c r="AFA21"/>
      <c r="AFE21"/>
      <c r="AFI21"/>
      <c r="AFM21"/>
      <c r="AFQ21"/>
      <c r="AFU21"/>
      <c r="AFY21"/>
      <c r="AGC21"/>
      <c r="AGG21"/>
      <c r="AGK21"/>
      <c r="AGO21"/>
      <c r="AGS21"/>
      <c r="AGW21"/>
      <c r="AHA21"/>
      <c r="AHE21"/>
      <c r="AHI21"/>
      <c r="AHM21"/>
      <c r="AHQ21"/>
      <c r="AHU21"/>
      <c r="AHY21"/>
      <c r="AIC21"/>
      <c r="AIG21"/>
      <c r="AIK21"/>
      <c r="AIO21"/>
      <c r="AIS21"/>
      <c r="AIW21"/>
      <c r="AJA21"/>
      <c r="AJE21"/>
      <c r="AJI21"/>
      <c r="AJM21"/>
      <c r="AJQ21"/>
      <c r="AJU21"/>
      <c r="AJY21"/>
      <c r="AKC21"/>
      <c r="AKG21"/>
      <c r="AKK21"/>
      <c r="AKO21"/>
      <c r="AKS21"/>
      <c r="AKW21"/>
      <c r="ALA21"/>
      <c r="ALE21"/>
      <c r="ALI21"/>
      <c r="ALM21"/>
      <c r="ALQ21"/>
      <c r="ALU21"/>
      <c r="ALY21"/>
      <c r="AMC21"/>
      <c r="AMG21"/>
      <c r="AMK21"/>
      <c r="AMO21"/>
      <c r="AMS21"/>
      <c r="AMW21"/>
      <c r="ANA21"/>
      <c r="ANE21"/>
      <c r="ANI21"/>
      <c r="ANM21"/>
      <c r="ANQ21"/>
      <c r="ANU21"/>
      <c r="ANY21"/>
      <c r="AOC21"/>
      <c r="AOG21"/>
      <c r="AOK21"/>
      <c r="AOO21"/>
      <c r="AOS21"/>
      <c r="AOW21"/>
      <c r="APA21"/>
      <c r="APE21"/>
      <c r="API21"/>
      <c r="APM21"/>
      <c r="APQ21"/>
      <c r="APU21"/>
      <c r="APY21"/>
      <c r="AQC21"/>
      <c r="AQG21"/>
      <c r="AQK21"/>
      <c r="AQO21"/>
      <c r="AQS21"/>
      <c r="AQW21"/>
      <c r="ARA21"/>
      <c r="ARE21"/>
      <c r="ARI21"/>
      <c r="ARM21"/>
      <c r="ARQ21"/>
      <c r="ARU21"/>
      <c r="ARY21"/>
      <c r="ASC21"/>
      <c r="ASG21"/>
      <c r="ASK21"/>
      <c r="ASO21"/>
      <c r="ASS21"/>
      <c r="ASW21"/>
      <c r="ATA21"/>
      <c r="ATE21"/>
      <c r="ATI21"/>
      <c r="ATM21"/>
      <c r="ATQ21"/>
      <c r="ATU21"/>
      <c r="ATY21"/>
      <c r="AUC21"/>
      <c r="AUG21"/>
      <c r="AUK21"/>
      <c r="AUO21"/>
      <c r="AUS21"/>
      <c r="AUW21"/>
      <c r="AVA21"/>
      <c r="AVE21"/>
      <c r="AVI21"/>
      <c r="AVM21"/>
      <c r="AVQ21"/>
      <c r="AVU21"/>
      <c r="AVY21"/>
      <c r="AWC21"/>
      <c r="AWG21"/>
      <c r="AWK21"/>
      <c r="AWO21"/>
      <c r="AWS21"/>
      <c r="AWW21"/>
      <c r="AXA21"/>
      <c r="AXE21"/>
      <c r="AXI21"/>
      <c r="AXM21"/>
      <c r="AXQ21"/>
      <c r="AXU21"/>
      <c r="AXY21"/>
      <c r="AYC21"/>
      <c r="AYG21"/>
      <c r="AYK21"/>
      <c r="AYO21"/>
      <c r="AYS21"/>
      <c r="AYW21"/>
      <c r="AZA21"/>
      <c r="AZE21"/>
      <c r="AZI21"/>
      <c r="AZM21"/>
      <c r="AZQ21"/>
      <c r="AZU21"/>
      <c r="AZY21"/>
      <c r="BAC21"/>
      <c r="BAG21"/>
      <c r="BAK21"/>
      <c r="BAO21"/>
      <c r="BAS21"/>
      <c r="BAW21"/>
      <c r="BBA21"/>
      <c r="BBE21"/>
      <c r="BBI21"/>
      <c r="BBM21"/>
      <c r="BBQ21"/>
      <c r="BBU21"/>
      <c r="BBY21"/>
      <c r="BCC21"/>
      <c r="BCG21"/>
      <c r="BCK21"/>
      <c r="BCO21"/>
      <c r="BCS21"/>
      <c r="BCW21"/>
      <c r="BDA21"/>
      <c r="BDE21"/>
      <c r="BDI21"/>
      <c r="BDM21"/>
      <c r="BDQ21"/>
      <c r="BDU21"/>
      <c r="BDY21"/>
      <c r="BEC21"/>
      <c r="BEG21"/>
      <c r="BEK21"/>
      <c r="BEO21"/>
      <c r="BES21"/>
      <c r="BEW21"/>
      <c r="BFA21"/>
      <c r="BFE21"/>
      <c r="BFI21"/>
      <c r="BFM21"/>
      <c r="BFQ21"/>
      <c r="BFU21"/>
      <c r="BFY21"/>
      <c r="BGC21"/>
      <c r="BGG21"/>
      <c r="BGK21"/>
      <c r="BGO21"/>
      <c r="BGS21"/>
      <c r="BGW21"/>
      <c r="BHA21"/>
      <c r="BHE21"/>
      <c r="BHI21"/>
      <c r="BHM21"/>
      <c r="BHQ21"/>
      <c r="BHU21"/>
      <c r="BHY21"/>
      <c r="BIC21"/>
      <c r="BIG21"/>
      <c r="BIK21"/>
      <c r="BIO21"/>
      <c r="BIS21"/>
      <c r="BIW21"/>
      <c r="BJA21"/>
      <c r="BJE21"/>
      <c r="BJI21"/>
      <c r="BJM21"/>
      <c r="BJQ21"/>
      <c r="BJU21"/>
      <c r="BJY21"/>
      <c r="BKC21"/>
      <c r="BKG21"/>
      <c r="BKK21"/>
      <c r="BKO21"/>
      <c r="BKS21"/>
      <c r="BKW21"/>
      <c r="BLA21"/>
      <c r="BLE21"/>
      <c r="BLI21"/>
      <c r="BLM21"/>
      <c r="BLQ21"/>
      <c r="BLU21"/>
      <c r="BLY21"/>
      <c r="BMC21"/>
      <c r="BMG21"/>
      <c r="BMK21"/>
      <c r="BMO21"/>
      <c r="BMS21"/>
      <c r="BMW21"/>
      <c r="BNA21"/>
      <c r="BNE21"/>
      <c r="BNI21"/>
      <c r="BNM21"/>
      <c r="BNQ21"/>
      <c r="BNU21"/>
      <c r="BNY21"/>
      <c r="BOC21"/>
      <c r="BOG21"/>
      <c r="BOK21"/>
      <c r="BOO21"/>
      <c r="BOS21"/>
      <c r="BOW21"/>
      <c r="BPA21"/>
      <c r="BPE21"/>
      <c r="BPI21"/>
      <c r="BPM21"/>
      <c r="BPQ21"/>
      <c r="BPU21"/>
      <c r="BPY21"/>
      <c r="BQC21"/>
      <c r="BQG21"/>
      <c r="BQK21"/>
      <c r="BQO21"/>
      <c r="BQS21"/>
      <c r="BQW21"/>
      <c r="BRA21"/>
      <c r="BRE21"/>
      <c r="BRI21"/>
      <c r="BRM21"/>
      <c r="BRQ21"/>
      <c r="BRU21"/>
      <c r="BRY21"/>
      <c r="BSC21"/>
      <c r="BSG21"/>
      <c r="BSK21"/>
      <c r="BSO21"/>
      <c r="BSS21"/>
      <c r="BSW21"/>
      <c r="BTA21"/>
      <c r="BTE21"/>
      <c r="BTI21"/>
      <c r="BTM21"/>
      <c r="BTQ21"/>
      <c r="BTU21"/>
      <c r="BTY21"/>
      <c r="BUC21"/>
      <c r="BUG21"/>
      <c r="BUK21"/>
      <c r="BUO21"/>
      <c r="BUS21"/>
      <c r="BUW21"/>
      <c r="BVA21"/>
      <c r="BVE21"/>
      <c r="BVI21"/>
      <c r="BVM21"/>
      <c r="BVQ21"/>
      <c r="BVU21"/>
      <c r="BVY21"/>
      <c r="BWC21"/>
      <c r="BWG21"/>
      <c r="BWK21"/>
      <c r="BWO21"/>
      <c r="BWS21"/>
      <c r="BWW21"/>
      <c r="BXA21"/>
      <c r="BXE21"/>
      <c r="BXI21"/>
      <c r="BXM21"/>
      <c r="BXQ21"/>
      <c r="BXU21"/>
      <c r="BXY21"/>
      <c r="BYC21"/>
      <c r="BYG21"/>
      <c r="BYK21"/>
      <c r="BYO21"/>
      <c r="BYS21"/>
      <c r="BYW21"/>
      <c r="BZA21"/>
      <c r="BZE21"/>
      <c r="BZI21"/>
      <c r="BZM21"/>
      <c r="BZQ21"/>
      <c r="BZU21"/>
      <c r="BZY21"/>
      <c r="CAC21"/>
      <c r="CAG21"/>
      <c r="CAK21"/>
      <c r="CAO21"/>
      <c r="CAS21"/>
      <c r="CAW21"/>
      <c r="CBA21"/>
      <c r="CBE21"/>
      <c r="CBI21"/>
      <c r="CBM21"/>
      <c r="CBQ21"/>
      <c r="CBU21"/>
      <c r="CBY21"/>
      <c r="CCC21"/>
      <c r="CCG21"/>
      <c r="CCK21"/>
      <c r="CCO21"/>
      <c r="CCS21"/>
      <c r="CCW21"/>
      <c r="CDA21"/>
      <c r="CDE21"/>
      <c r="CDI21"/>
      <c r="CDM21"/>
      <c r="CDQ21"/>
      <c r="CDU21"/>
      <c r="CDY21"/>
      <c r="CEC21"/>
      <c r="CEG21"/>
      <c r="CEK21"/>
      <c r="CEO21"/>
      <c r="CES21"/>
      <c r="CEW21"/>
      <c r="CFA21"/>
      <c r="CFE21"/>
      <c r="CFI21"/>
      <c r="CFM21"/>
      <c r="CFQ21"/>
      <c r="CFU21"/>
      <c r="CFY21"/>
      <c r="CGC21"/>
      <c r="CGG21"/>
      <c r="CGK21"/>
      <c r="CGO21"/>
      <c r="CGS21"/>
      <c r="CGW21"/>
      <c r="CHA21"/>
      <c r="CHE21"/>
      <c r="CHI21"/>
      <c r="CHM21"/>
      <c r="CHQ21"/>
      <c r="CHU21"/>
      <c r="CHY21"/>
      <c r="CIC21"/>
      <c r="CIG21"/>
      <c r="CIK21"/>
      <c r="CIO21"/>
      <c r="CIS21"/>
      <c r="CIW21"/>
      <c r="CJA21"/>
      <c r="CJE21"/>
      <c r="CJI21"/>
      <c r="CJM21"/>
      <c r="CJQ21"/>
      <c r="CJU21"/>
      <c r="CJY21"/>
      <c r="CKC21"/>
      <c r="CKG21"/>
      <c r="CKK21"/>
      <c r="CKO21"/>
      <c r="CKS21"/>
      <c r="CKW21"/>
      <c r="CLA21"/>
      <c r="CLE21"/>
      <c r="CLI21"/>
      <c r="CLM21"/>
      <c r="CLQ21"/>
      <c r="CLU21"/>
      <c r="CLY21"/>
      <c r="CMC21"/>
      <c r="CMG21"/>
      <c r="CMK21"/>
      <c r="CMO21"/>
      <c r="CMS21"/>
      <c r="CMW21"/>
      <c r="CNA21"/>
      <c r="CNE21"/>
      <c r="CNI21"/>
      <c r="CNM21"/>
      <c r="CNQ21"/>
      <c r="CNU21"/>
      <c r="CNY21"/>
      <c r="COC21"/>
      <c r="COG21"/>
      <c r="COK21"/>
      <c r="COO21"/>
      <c r="COS21"/>
      <c r="COW21"/>
      <c r="CPA21"/>
      <c r="CPE21"/>
      <c r="CPI21"/>
      <c r="CPM21"/>
      <c r="CPQ21"/>
      <c r="CPU21"/>
      <c r="CPY21"/>
      <c r="CQC21"/>
      <c r="CQG21"/>
      <c r="CQK21"/>
      <c r="CQO21"/>
      <c r="CQS21"/>
      <c r="CQW21"/>
      <c r="CRA21"/>
      <c r="CRE21"/>
      <c r="CRI21"/>
      <c r="CRM21"/>
      <c r="CRQ21"/>
      <c r="CRU21"/>
      <c r="CRY21"/>
      <c r="CSC21"/>
      <c r="CSG21"/>
      <c r="CSK21"/>
      <c r="CSO21"/>
      <c r="CSS21"/>
      <c r="CSW21"/>
      <c r="CTA21"/>
      <c r="CTE21"/>
      <c r="CTI21"/>
      <c r="CTM21"/>
      <c r="CTQ21"/>
      <c r="CTU21"/>
      <c r="CTY21"/>
      <c r="CUC21"/>
      <c r="CUG21"/>
      <c r="CUK21"/>
      <c r="CUO21"/>
      <c r="CUS21"/>
      <c r="CUW21"/>
      <c r="CVA21"/>
      <c r="CVE21"/>
      <c r="CVI21"/>
      <c r="CVM21"/>
      <c r="CVQ21"/>
      <c r="CVU21"/>
      <c r="CVY21"/>
      <c r="CWC21"/>
      <c r="CWG21"/>
      <c r="CWK21"/>
      <c r="CWO21"/>
      <c r="CWS21"/>
      <c r="CWW21"/>
      <c r="CXA21"/>
      <c r="CXE21"/>
      <c r="CXI21"/>
      <c r="CXM21"/>
      <c r="CXQ21"/>
      <c r="CXU21"/>
      <c r="CXY21"/>
      <c r="CYC21"/>
      <c r="CYG21"/>
      <c r="CYK21"/>
      <c r="CYO21"/>
      <c r="CYS21"/>
      <c r="CYW21"/>
      <c r="CZA21"/>
      <c r="CZE21"/>
      <c r="CZI21"/>
      <c r="CZM21"/>
      <c r="CZQ21"/>
      <c r="CZU21"/>
      <c r="CZY21"/>
      <c r="DAC21"/>
      <c r="DAG21"/>
      <c r="DAK21"/>
      <c r="DAO21"/>
      <c r="DAS21"/>
      <c r="DAW21"/>
      <c r="DBA21"/>
      <c r="DBE21"/>
      <c r="DBI21"/>
      <c r="DBM21"/>
      <c r="DBQ21"/>
      <c r="DBU21"/>
      <c r="DBY21"/>
      <c r="DCC21"/>
      <c r="DCG21"/>
      <c r="DCK21"/>
      <c r="DCO21"/>
      <c r="DCS21"/>
      <c r="DCW21"/>
      <c r="DDA21"/>
      <c r="DDE21"/>
      <c r="DDI21"/>
      <c r="DDM21"/>
      <c r="DDQ21"/>
      <c r="DDU21"/>
      <c r="DDY21"/>
      <c r="DEC21"/>
      <c r="DEG21"/>
      <c r="DEK21"/>
      <c r="DEO21"/>
      <c r="DES21"/>
      <c r="DEW21"/>
      <c r="DFA21"/>
      <c r="DFE21"/>
      <c r="DFI21"/>
      <c r="DFM21"/>
      <c r="DFQ21"/>
      <c r="DFU21"/>
      <c r="DFY21"/>
      <c r="DGC21"/>
      <c r="DGG21"/>
      <c r="DGK21"/>
      <c r="DGO21"/>
      <c r="DGS21"/>
      <c r="DGW21"/>
      <c r="DHA21"/>
      <c r="DHE21"/>
      <c r="DHI21"/>
      <c r="DHM21"/>
      <c r="DHQ21"/>
      <c r="DHU21"/>
      <c r="DHY21"/>
      <c r="DIC21"/>
      <c r="DIG21"/>
      <c r="DIK21"/>
      <c r="DIO21"/>
      <c r="DIS21"/>
      <c r="DIW21"/>
      <c r="DJA21"/>
      <c r="DJE21"/>
      <c r="DJI21"/>
      <c r="DJM21"/>
      <c r="DJQ21"/>
      <c r="DJU21"/>
      <c r="DJY21"/>
      <c r="DKC21"/>
      <c r="DKG21"/>
      <c r="DKK21"/>
      <c r="DKO21"/>
      <c r="DKS21"/>
      <c r="DKW21"/>
      <c r="DLA21"/>
      <c r="DLE21"/>
      <c r="DLI21"/>
      <c r="DLM21"/>
      <c r="DLQ21"/>
      <c r="DLU21"/>
      <c r="DLY21"/>
      <c r="DMC21"/>
      <c r="DMG21"/>
      <c r="DMK21"/>
      <c r="DMO21"/>
      <c r="DMS21"/>
      <c r="DMW21"/>
      <c r="DNA21"/>
      <c r="DNE21"/>
      <c r="DNI21"/>
      <c r="DNM21"/>
      <c r="DNQ21"/>
      <c r="DNU21"/>
      <c r="DNY21"/>
      <c r="DOC21"/>
      <c r="DOG21"/>
      <c r="DOK21"/>
      <c r="DOO21"/>
      <c r="DOS21"/>
      <c r="DOW21"/>
      <c r="DPA21"/>
      <c r="DPE21"/>
      <c r="DPI21"/>
      <c r="DPM21"/>
      <c r="DPQ21"/>
      <c r="DPU21"/>
      <c r="DPY21"/>
      <c r="DQC21"/>
      <c r="DQG21"/>
      <c r="DQK21"/>
      <c r="DQO21"/>
      <c r="DQS21"/>
      <c r="DQW21"/>
      <c r="DRA21"/>
      <c r="DRE21"/>
      <c r="DRI21"/>
      <c r="DRM21"/>
      <c r="DRQ21"/>
      <c r="DRU21"/>
      <c r="DRY21"/>
      <c r="DSC21"/>
      <c r="DSG21"/>
      <c r="DSK21"/>
      <c r="DSO21"/>
      <c r="DSS21"/>
      <c r="DSW21"/>
      <c r="DTA21"/>
      <c r="DTE21"/>
      <c r="DTI21"/>
      <c r="DTM21"/>
      <c r="DTQ21"/>
      <c r="DTU21"/>
      <c r="DTY21"/>
      <c r="DUC21"/>
      <c r="DUG21"/>
      <c r="DUK21"/>
      <c r="DUO21"/>
      <c r="DUS21"/>
      <c r="DUW21"/>
      <c r="DVA21"/>
      <c r="DVE21"/>
      <c r="DVI21"/>
      <c r="DVM21"/>
      <c r="DVQ21"/>
      <c r="DVU21"/>
      <c r="DVY21"/>
      <c r="DWC21"/>
      <c r="DWG21"/>
      <c r="DWK21"/>
      <c r="DWO21"/>
      <c r="DWS21"/>
      <c r="DWW21"/>
      <c r="DXA21"/>
      <c r="DXE21"/>
      <c r="DXI21"/>
      <c r="DXM21"/>
      <c r="DXQ21"/>
      <c r="DXU21"/>
      <c r="DXY21"/>
      <c r="DYC21"/>
      <c r="DYG21"/>
      <c r="DYK21"/>
      <c r="DYO21"/>
      <c r="DYS21"/>
      <c r="DYW21"/>
      <c r="DZA21"/>
      <c r="DZE21"/>
      <c r="DZI21"/>
      <c r="DZM21"/>
      <c r="DZQ21"/>
      <c r="DZU21"/>
      <c r="DZY21"/>
      <c r="EAC21"/>
      <c r="EAG21"/>
      <c r="EAK21"/>
      <c r="EAO21"/>
      <c r="EAS21"/>
      <c r="EAW21"/>
      <c r="EBA21"/>
      <c r="EBE21"/>
      <c r="EBI21"/>
      <c r="EBM21"/>
      <c r="EBQ21"/>
      <c r="EBU21"/>
      <c r="EBY21"/>
      <c r="ECC21"/>
      <c r="ECG21"/>
      <c r="ECK21"/>
      <c r="ECO21"/>
      <c r="ECS21"/>
      <c r="ECW21"/>
      <c r="EDA21"/>
      <c r="EDE21"/>
      <c r="EDI21"/>
      <c r="EDM21"/>
      <c r="EDQ21"/>
      <c r="EDU21"/>
      <c r="EDY21"/>
      <c r="EEC21"/>
      <c r="EEG21"/>
      <c r="EEK21"/>
      <c r="EEO21"/>
      <c r="EES21"/>
      <c r="EEW21"/>
      <c r="EFA21"/>
      <c r="EFE21"/>
      <c r="EFI21"/>
      <c r="EFM21"/>
      <c r="EFQ21"/>
      <c r="EFU21"/>
      <c r="EFY21"/>
      <c r="EGC21"/>
      <c r="EGG21"/>
      <c r="EGK21"/>
      <c r="EGO21"/>
      <c r="EGS21"/>
      <c r="EGW21"/>
      <c r="EHA21"/>
      <c r="EHE21"/>
      <c r="EHI21"/>
      <c r="EHM21"/>
      <c r="EHQ21"/>
      <c r="EHU21"/>
      <c r="EHY21"/>
      <c r="EIC21"/>
      <c r="EIG21"/>
      <c r="EIK21"/>
      <c r="EIO21"/>
      <c r="EIS21"/>
      <c r="EIW21"/>
      <c r="EJA21"/>
      <c r="EJE21"/>
      <c r="EJI21"/>
      <c r="EJM21"/>
      <c r="EJQ21"/>
      <c r="EJU21"/>
      <c r="EJY21"/>
      <c r="EKC21"/>
      <c r="EKG21"/>
      <c r="EKK21"/>
      <c r="EKO21"/>
      <c r="EKS21"/>
      <c r="EKW21"/>
      <c r="ELA21"/>
      <c r="ELE21"/>
      <c r="ELI21"/>
      <c r="ELM21"/>
      <c r="ELQ21"/>
      <c r="ELU21"/>
      <c r="ELY21"/>
      <c r="EMC21"/>
      <c r="EMG21"/>
      <c r="EMK21"/>
      <c r="EMO21"/>
      <c r="EMS21"/>
      <c r="EMW21"/>
      <c r="ENA21"/>
      <c r="ENE21"/>
      <c r="ENI21"/>
      <c r="ENM21"/>
      <c r="ENQ21"/>
      <c r="ENU21"/>
      <c r="ENY21"/>
      <c r="EOC21"/>
      <c r="EOG21"/>
      <c r="EOK21"/>
      <c r="EOO21"/>
      <c r="EOS21"/>
      <c r="EOW21"/>
      <c r="EPA21"/>
      <c r="EPE21"/>
      <c r="EPI21"/>
      <c r="EPM21"/>
      <c r="EPQ21"/>
      <c r="EPU21"/>
      <c r="EPY21"/>
      <c r="EQC21"/>
      <c r="EQG21"/>
      <c r="EQK21"/>
      <c r="EQO21"/>
      <c r="EQS21"/>
      <c r="EQW21"/>
      <c r="ERA21"/>
      <c r="ERE21"/>
      <c r="ERI21"/>
      <c r="ERM21"/>
      <c r="ERQ21"/>
      <c r="ERU21"/>
      <c r="ERY21"/>
      <c r="ESC21"/>
      <c r="ESG21"/>
      <c r="ESK21"/>
      <c r="ESO21"/>
      <c r="ESS21"/>
      <c r="ESW21"/>
      <c r="ETA21"/>
      <c r="ETE21"/>
      <c r="ETI21"/>
      <c r="ETM21"/>
      <c r="ETQ21"/>
      <c r="ETU21"/>
      <c r="ETY21"/>
      <c r="EUC21"/>
      <c r="EUG21"/>
      <c r="EUK21"/>
      <c r="EUO21"/>
      <c r="EUS21"/>
      <c r="EUW21"/>
      <c r="EVA21"/>
      <c r="EVE21"/>
      <c r="EVI21"/>
      <c r="EVM21"/>
      <c r="EVQ21"/>
      <c r="EVU21"/>
      <c r="EVY21"/>
      <c r="EWC21"/>
      <c r="EWG21"/>
      <c r="EWK21"/>
      <c r="EWO21"/>
      <c r="EWS21"/>
      <c r="EWW21"/>
      <c r="EXA21"/>
      <c r="EXE21"/>
      <c r="EXI21"/>
      <c r="EXM21"/>
      <c r="EXQ21"/>
      <c r="EXU21"/>
      <c r="EXY21"/>
      <c r="EYC21"/>
      <c r="EYG21"/>
      <c r="EYK21"/>
      <c r="EYO21"/>
      <c r="EYS21"/>
      <c r="EYW21"/>
      <c r="EZA21"/>
      <c r="EZE21"/>
      <c r="EZI21"/>
      <c r="EZM21"/>
      <c r="EZQ21"/>
      <c r="EZU21"/>
      <c r="EZY21"/>
      <c r="FAC21"/>
      <c r="FAG21"/>
      <c r="FAK21"/>
      <c r="FAO21"/>
      <c r="FAS21"/>
      <c r="FAW21"/>
      <c r="FBA21"/>
      <c r="FBE21"/>
      <c r="FBI21"/>
      <c r="FBM21"/>
      <c r="FBQ21"/>
      <c r="FBU21"/>
      <c r="FBY21"/>
      <c r="FCC21"/>
      <c r="FCG21"/>
      <c r="FCK21"/>
      <c r="FCO21"/>
      <c r="FCS21"/>
      <c r="FCW21"/>
      <c r="FDA21"/>
      <c r="FDE21"/>
      <c r="FDI21"/>
      <c r="FDM21"/>
      <c r="FDQ21"/>
      <c r="FDU21"/>
      <c r="FDY21"/>
      <c r="FEC21"/>
      <c r="FEG21"/>
      <c r="FEK21"/>
      <c r="FEO21"/>
      <c r="FES21"/>
      <c r="FEW21"/>
      <c r="FFA21"/>
      <c r="FFE21"/>
      <c r="FFI21"/>
      <c r="FFM21"/>
      <c r="FFQ21"/>
      <c r="FFU21"/>
      <c r="FFY21"/>
      <c r="FGC21"/>
      <c r="FGG21"/>
      <c r="FGK21"/>
      <c r="FGO21"/>
      <c r="FGS21"/>
      <c r="FGW21"/>
      <c r="FHA21"/>
      <c r="FHE21"/>
      <c r="FHI21"/>
      <c r="FHM21"/>
      <c r="FHQ21"/>
      <c r="FHU21"/>
      <c r="FHY21"/>
      <c r="FIC21"/>
      <c r="FIG21"/>
      <c r="FIK21"/>
      <c r="FIO21"/>
      <c r="FIS21"/>
      <c r="FIW21"/>
      <c r="FJA21"/>
      <c r="FJE21"/>
      <c r="FJI21"/>
      <c r="FJM21"/>
      <c r="FJQ21"/>
      <c r="FJU21"/>
      <c r="FJY21"/>
      <c r="FKC21"/>
      <c r="FKG21"/>
      <c r="FKK21"/>
      <c r="FKO21"/>
      <c r="FKS21"/>
      <c r="FKW21"/>
      <c r="FLA21"/>
      <c r="FLE21"/>
      <c r="FLI21"/>
      <c r="FLM21"/>
      <c r="FLQ21"/>
      <c r="FLU21"/>
      <c r="FLY21"/>
      <c r="FMC21"/>
      <c r="FMG21"/>
      <c r="FMK21"/>
      <c r="FMO21"/>
      <c r="FMS21"/>
      <c r="FMW21"/>
      <c r="FNA21"/>
      <c r="FNE21"/>
      <c r="FNI21"/>
      <c r="FNM21"/>
      <c r="FNQ21"/>
      <c r="FNU21"/>
      <c r="FNY21"/>
      <c r="FOC21"/>
      <c r="FOG21"/>
      <c r="FOK21"/>
      <c r="FOO21"/>
      <c r="FOS21"/>
      <c r="FOW21"/>
      <c r="FPA21"/>
      <c r="FPE21"/>
      <c r="FPI21"/>
      <c r="FPM21"/>
      <c r="FPQ21"/>
      <c r="FPU21"/>
      <c r="FPY21"/>
      <c r="FQC21"/>
      <c r="FQG21"/>
      <c r="FQK21"/>
      <c r="FQO21"/>
      <c r="FQS21"/>
      <c r="FQW21"/>
      <c r="FRA21"/>
      <c r="FRE21"/>
      <c r="FRI21"/>
      <c r="FRM21"/>
      <c r="FRQ21"/>
      <c r="FRU21"/>
      <c r="FRY21"/>
      <c r="FSC21"/>
      <c r="FSG21"/>
      <c r="FSK21"/>
      <c r="FSO21"/>
      <c r="FSS21"/>
      <c r="FSW21"/>
      <c r="FTA21"/>
      <c r="FTE21"/>
      <c r="FTI21"/>
      <c r="FTM21"/>
      <c r="FTQ21"/>
      <c r="FTU21"/>
      <c r="FTY21"/>
      <c r="FUC21"/>
      <c r="FUG21"/>
      <c r="FUK21"/>
      <c r="FUO21"/>
      <c r="FUS21"/>
      <c r="FUW21"/>
      <c r="FVA21"/>
      <c r="FVE21"/>
      <c r="FVI21"/>
      <c r="FVM21"/>
      <c r="FVQ21"/>
      <c r="FVU21"/>
      <c r="FVY21"/>
      <c r="FWC21"/>
      <c r="FWG21"/>
      <c r="FWK21"/>
      <c r="FWO21"/>
      <c r="FWS21"/>
      <c r="FWW21"/>
      <c r="FXA21"/>
      <c r="FXE21"/>
      <c r="FXI21"/>
      <c r="FXM21"/>
      <c r="FXQ21"/>
      <c r="FXU21"/>
      <c r="FXY21"/>
      <c r="FYC21"/>
      <c r="FYG21"/>
      <c r="FYK21"/>
      <c r="FYO21"/>
      <c r="FYS21"/>
      <c r="FYW21"/>
      <c r="FZA21"/>
      <c r="FZE21"/>
      <c r="FZI21"/>
      <c r="FZM21"/>
      <c r="FZQ21"/>
      <c r="FZU21"/>
      <c r="FZY21"/>
      <c r="GAC21"/>
      <c r="GAG21"/>
      <c r="GAK21"/>
      <c r="GAO21"/>
      <c r="GAS21"/>
      <c r="GAW21"/>
      <c r="GBA21"/>
      <c r="GBE21"/>
      <c r="GBI21"/>
      <c r="GBM21"/>
      <c r="GBQ21"/>
      <c r="GBU21"/>
      <c r="GBY21"/>
      <c r="GCC21"/>
      <c r="GCG21"/>
      <c r="GCK21"/>
      <c r="GCO21"/>
      <c r="GCS21"/>
      <c r="GCW21"/>
      <c r="GDA21"/>
      <c r="GDE21"/>
      <c r="GDI21"/>
      <c r="GDM21"/>
      <c r="GDQ21"/>
      <c r="GDU21"/>
      <c r="GDY21"/>
      <c r="GEC21"/>
      <c r="GEG21"/>
      <c r="GEK21"/>
      <c r="GEO21"/>
      <c r="GES21"/>
      <c r="GEW21"/>
      <c r="GFA21"/>
      <c r="GFE21"/>
      <c r="GFI21"/>
      <c r="GFM21"/>
      <c r="GFQ21"/>
      <c r="GFU21"/>
      <c r="GFY21"/>
      <c r="GGC21"/>
      <c r="GGG21"/>
      <c r="GGK21"/>
      <c r="GGO21"/>
      <c r="GGS21"/>
      <c r="GGW21"/>
      <c r="GHA21"/>
      <c r="GHE21"/>
      <c r="GHI21"/>
      <c r="GHM21"/>
      <c r="GHQ21"/>
      <c r="GHU21"/>
      <c r="GHY21"/>
      <c r="GIC21"/>
      <c r="GIG21"/>
      <c r="GIK21"/>
      <c r="GIO21"/>
      <c r="GIS21"/>
      <c r="GIW21"/>
      <c r="GJA21"/>
      <c r="GJE21"/>
      <c r="GJI21"/>
      <c r="GJM21"/>
      <c r="GJQ21"/>
      <c r="GJU21"/>
      <c r="GJY21"/>
      <c r="GKC21"/>
      <c r="GKG21"/>
      <c r="GKK21"/>
      <c r="GKO21"/>
      <c r="GKS21"/>
      <c r="GKW21"/>
      <c r="GLA21"/>
      <c r="GLE21"/>
      <c r="GLI21"/>
      <c r="GLM21"/>
      <c r="GLQ21"/>
      <c r="GLU21"/>
      <c r="GLY21"/>
      <c r="GMC21"/>
      <c r="GMG21"/>
      <c r="GMK21"/>
      <c r="GMO21"/>
      <c r="GMS21"/>
      <c r="GMW21"/>
      <c r="GNA21"/>
      <c r="GNE21"/>
      <c r="GNI21"/>
      <c r="GNM21"/>
      <c r="GNQ21"/>
      <c r="GNU21"/>
      <c r="GNY21"/>
      <c r="GOC21"/>
      <c r="GOG21"/>
      <c r="GOK21"/>
      <c r="GOO21"/>
      <c r="GOS21"/>
      <c r="GOW21"/>
      <c r="GPA21"/>
      <c r="GPE21"/>
      <c r="GPI21"/>
      <c r="GPM21"/>
      <c r="GPQ21"/>
      <c r="GPU21"/>
      <c r="GPY21"/>
      <c r="GQC21"/>
      <c r="GQG21"/>
      <c r="GQK21"/>
      <c r="GQO21"/>
      <c r="GQS21"/>
      <c r="GQW21"/>
      <c r="GRA21"/>
      <c r="GRE21"/>
      <c r="GRI21"/>
      <c r="GRM21"/>
      <c r="GRQ21"/>
      <c r="GRU21"/>
      <c r="GRY21"/>
      <c r="GSC21"/>
      <c r="GSG21"/>
      <c r="GSK21"/>
      <c r="GSO21"/>
      <c r="GSS21"/>
      <c r="GSW21"/>
      <c r="GTA21"/>
      <c r="GTE21"/>
      <c r="GTI21"/>
      <c r="GTM21"/>
      <c r="GTQ21"/>
      <c r="GTU21"/>
      <c r="GTY21"/>
      <c r="GUC21"/>
      <c r="GUG21"/>
      <c r="GUK21"/>
      <c r="GUO21"/>
      <c r="GUS21"/>
      <c r="GUW21"/>
      <c r="GVA21"/>
      <c r="GVE21"/>
      <c r="GVI21"/>
      <c r="GVM21"/>
      <c r="GVQ21"/>
      <c r="GVU21"/>
      <c r="GVY21"/>
      <c r="GWC21"/>
      <c r="GWG21"/>
      <c r="GWK21"/>
      <c r="GWO21"/>
      <c r="GWS21"/>
      <c r="GWW21"/>
      <c r="GXA21"/>
      <c r="GXE21"/>
      <c r="GXI21"/>
      <c r="GXM21"/>
      <c r="GXQ21"/>
      <c r="GXU21"/>
      <c r="GXY21"/>
      <c r="GYC21"/>
      <c r="GYG21"/>
      <c r="GYK21"/>
      <c r="GYO21"/>
      <c r="GYS21"/>
      <c r="GYW21"/>
      <c r="GZA21"/>
      <c r="GZE21"/>
      <c r="GZI21"/>
      <c r="GZM21"/>
      <c r="GZQ21"/>
      <c r="GZU21"/>
      <c r="GZY21"/>
      <c r="HAC21"/>
      <c r="HAG21"/>
      <c r="HAK21"/>
      <c r="HAO21"/>
      <c r="HAS21"/>
      <c r="HAW21"/>
      <c r="HBA21"/>
      <c r="HBE21"/>
      <c r="HBI21"/>
      <c r="HBM21"/>
      <c r="HBQ21"/>
      <c r="HBU21"/>
      <c r="HBY21"/>
      <c r="HCC21"/>
      <c r="HCG21"/>
      <c r="HCK21"/>
      <c r="HCO21"/>
      <c r="HCS21"/>
      <c r="HCW21"/>
      <c r="HDA21"/>
      <c r="HDE21"/>
      <c r="HDI21"/>
      <c r="HDM21"/>
      <c r="HDQ21"/>
      <c r="HDU21"/>
      <c r="HDY21"/>
      <c r="HEC21"/>
      <c r="HEG21"/>
      <c r="HEK21"/>
      <c r="HEO21"/>
      <c r="HES21"/>
      <c r="HEW21"/>
      <c r="HFA21"/>
      <c r="HFE21"/>
      <c r="HFI21"/>
      <c r="HFM21"/>
      <c r="HFQ21"/>
      <c r="HFU21"/>
      <c r="HFY21"/>
      <c r="HGC21"/>
      <c r="HGG21"/>
      <c r="HGK21"/>
      <c r="HGO21"/>
      <c r="HGS21"/>
      <c r="HGW21"/>
      <c r="HHA21"/>
      <c r="HHE21"/>
      <c r="HHI21"/>
      <c r="HHM21"/>
      <c r="HHQ21"/>
      <c r="HHU21"/>
      <c r="HHY21"/>
      <c r="HIC21"/>
      <c r="HIG21"/>
      <c r="HIK21"/>
      <c r="HIO21"/>
      <c r="HIS21"/>
      <c r="HIW21"/>
      <c r="HJA21"/>
      <c r="HJE21"/>
      <c r="HJI21"/>
      <c r="HJM21"/>
      <c r="HJQ21"/>
      <c r="HJU21"/>
      <c r="HJY21"/>
      <c r="HKC21"/>
      <c r="HKG21"/>
      <c r="HKK21"/>
      <c r="HKO21"/>
      <c r="HKS21"/>
      <c r="HKW21"/>
      <c r="HLA21"/>
      <c r="HLE21"/>
      <c r="HLI21"/>
      <c r="HLM21"/>
      <c r="HLQ21"/>
      <c r="HLU21"/>
      <c r="HLY21"/>
      <c r="HMC21"/>
      <c r="HMG21"/>
      <c r="HMK21"/>
      <c r="HMO21"/>
      <c r="HMS21"/>
      <c r="HMW21"/>
      <c r="HNA21"/>
      <c r="HNE21"/>
      <c r="HNI21"/>
      <c r="HNM21"/>
      <c r="HNQ21"/>
      <c r="HNU21"/>
      <c r="HNY21"/>
      <c r="HOC21"/>
      <c r="HOG21"/>
      <c r="HOK21"/>
      <c r="HOO21"/>
      <c r="HOS21"/>
      <c r="HOW21"/>
      <c r="HPA21"/>
      <c r="HPE21"/>
      <c r="HPI21"/>
      <c r="HPM21"/>
      <c r="HPQ21"/>
      <c r="HPU21"/>
      <c r="HPY21"/>
      <c r="HQC21"/>
      <c r="HQG21"/>
      <c r="HQK21"/>
      <c r="HQO21"/>
      <c r="HQS21"/>
      <c r="HQW21"/>
      <c r="HRA21"/>
      <c r="HRE21"/>
      <c r="HRI21"/>
      <c r="HRM21"/>
      <c r="HRQ21"/>
      <c r="HRU21"/>
      <c r="HRY21"/>
      <c r="HSC21"/>
      <c r="HSG21"/>
      <c r="HSK21"/>
      <c r="HSO21"/>
      <c r="HSS21"/>
      <c r="HSW21"/>
      <c r="HTA21"/>
      <c r="HTE21"/>
      <c r="HTI21"/>
      <c r="HTM21"/>
      <c r="HTQ21"/>
      <c r="HTU21"/>
      <c r="HTY21"/>
      <c r="HUC21"/>
      <c r="HUG21"/>
      <c r="HUK21"/>
      <c r="HUO21"/>
      <c r="HUS21"/>
      <c r="HUW21"/>
      <c r="HVA21"/>
      <c r="HVE21"/>
      <c r="HVI21"/>
      <c r="HVM21"/>
      <c r="HVQ21"/>
      <c r="HVU21"/>
      <c r="HVY21"/>
      <c r="HWC21"/>
      <c r="HWG21"/>
      <c r="HWK21"/>
      <c r="HWO21"/>
      <c r="HWS21"/>
      <c r="HWW21"/>
      <c r="HXA21"/>
      <c r="HXE21"/>
      <c r="HXI21"/>
      <c r="HXM21"/>
      <c r="HXQ21"/>
      <c r="HXU21"/>
      <c r="HXY21"/>
      <c r="HYC21"/>
      <c r="HYG21"/>
      <c r="HYK21"/>
      <c r="HYO21"/>
      <c r="HYS21"/>
      <c r="HYW21"/>
      <c r="HZA21"/>
      <c r="HZE21"/>
      <c r="HZI21"/>
      <c r="HZM21"/>
      <c r="HZQ21"/>
      <c r="HZU21"/>
      <c r="HZY21"/>
      <c r="IAC21"/>
      <c r="IAG21"/>
      <c r="IAK21"/>
      <c r="IAO21"/>
      <c r="IAS21"/>
      <c r="IAW21"/>
      <c r="IBA21"/>
      <c r="IBE21"/>
      <c r="IBI21"/>
      <c r="IBM21"/>
      <c r="IBQ21"/>
      <c r="IBU21"/>
      <c r="IBY21"/>
      <c r="ICC21"/>
      <c r="ICG21"/>
      <c r="ICK21"/>
      <c r="ICO21"/>
      <c r="ICS21"/>
      <c r="ICW21"/>
      <c r="IDA21"/>
      <c r="IDE21"/>
      <c r="IDI21"/>
      <c r="IDM21"/>
      <c r="IDQ21"/>
      <c r="IDU21"/>
      <c r="IDY21"/>
      <c r="IEC21"/>
      <c r="IEG21"/>
      <c r="IEK21"/>
      <c r="IEO21"/>
      <c r="IES21"/>
      <c r="IEW21"/>
      <c r="IFA21"/>
      <c r="IFE21"/>
      <c r="IFI21"/>
      <c r="IFM21"/>
      <c r="IFQ21"/>
      <c r="IFU21"/>
      <c r="IFY21"/>
      <c r="IGC21"/>
      <c r="IGG21"/>
      <c r="IGK21"/>
      <c r="IGO21"/>
      <c r="IGS21"/>
      <c r="IGW21"/>
      <c r="IHA21"/>
      <c r="IHE21"/>
      <c r="IHI21"/>
      <c r="IHM21"/>
      <c r="IHQ21"/>
      <c r="IHU21"/>
      <c r="IHY21"/>
      <c r="IIC21"/>
      <c r="IIG21"/>
      <c r="IIK21"/>
      <c r="IIO21"/>
      <c r="IIS21"/>
      <c r="IIW21"/>
      <c r="IJA21"/>
      <c r="IJE21"/>
      <c r="IJI21"/>
      <c r="IJM21"/>
      <c r="IJQ21"/>
      <c r="IJU21"/>
      <c r="IJY21"/>
      <c r="IKC21"/>
      <c r="IKG21"/>
      <c r="IKK21"/>
      <c r="IKO21"/>
      <c r="IKS21"/>
      <c r="IKW21"/>
      <c r="ILA21"/>
      <c r="ILE21"/>
      <c r="ILI21"/>
      <c r="ILM21"/>
      <c r="ILQ21"/>
      <c r="ILU21"/>
      <c r="ILY21"/>
      <c r="IMC21"/>
      <c r="IMG21"/>
      <c r="IMK21"/>
      <c r="IMO21"/>
      <c r="IMS21"/>
      <c r="IMW21"/>
      <c r="INA21"/>
      <c r="INE21"/>
      <c r="INI21"/>
      <c r="INM21"/>
      <c r="INQ21"/>
      <c r="INU21"/>
      <c r="INY21"/>
      <c r="IOC21"/>
      <c r="IOG21"/>
      <c r="IOK21"/>
      <c r="IOO21"/>
      <c r="IOS21"/>
      <c r="IOW21"/>
      <c r="IPA21"/>
      <c r="IPE21"/>
      <c r="IPI21"/>
      <c r="IPM21"/>
      <c r="IPQ21"/>
      <c r="IPU21"/>
      <c r="IPY21"/>
      <c r="IQC21"/>
      <c r="IQG21"/>
      <c r="IQK21"/>
      <c r="IQO21"/>
      <c r="IQS21"/>
      <c r="IQW21"/>
      <c r="IRA21"/>
      <c r="IRE21"/>
      <c r="IRI21"/>
      <c r="IRM21"/>
      <c r="IRQ21"/>
      <c r="IRU21"/>
      <c r="IRY21"/>
      <c r="ISC21"/>
      <c r="ISG21"/>
      <c r="ISK21"/>
      <c r="ISO21"/>
      <c r="ISS21"/>
      <c r="ISW21"/>
      <c r="ITA21"/>
      <c r="ITE21"/>
      <c r="ITI21"/>
      <c r="ITM21"/>
      <c r="ITQ21"/>
      <c r="ITU21"/>
      <c r="ITY21"/>
      <c r="IUC21"/>
      <c r="IUG21"/>
      <c r="IUK21"/>
      <c r="IUO21"/>
      <c r="IUS21"/>
      <c r="IUW21"/>
      <c r="IVA21"/>
      <c r="IVE21"/>
      <c r="IVI21"/>
      <c r="IVM21"/>
      <c r="IVQ21"/>
      <c r="IVU21"/>
      <c r="IVY21"/>
      <c r="IWC21"/>
      <c r="IWG21"/>
      <c r="IWK21"/>
      <c r="IWO21"/>
      <c r="IWS21"/>
      <c r="IWW21"/>
      <c r="IXA21"/>
      <c r="IXE21"/>
      <c r="IXI21"/>
      <c r="IXM21"/>
      <c r="IXQ21"/>
      <c r="IXU21"/>
      <c r="IXY21"/>
      <c r="IYC21"/>
      <c r="IYG21"/>
      <c r="IYK21"/>
      <c r="IYO21"/>
      <c r="IYS21"/>
      <c r="IYW21"/>
      <c r="IZA21"/>
      <c r="IZE21"/>
      <c r="IZI21"/>
      <c r="IZM21"/>
      <c r="IZQ21"/>
      <c r="IZU21"/>
      <c r="IZY21"/>
      <c r="JAC21"/>
      <c r="JAG21"/>
      <c r="JAK21"/>
      <c r="JAO21"/>
      <c r="JAS21"/>
      <c r="JAW21"/>
      <c r="JBA21"/>
      <c r="JBE21"/>
      <c r="JBI21"/>
      <c r="JBM21"/>
      <c r="JBQ21"/>
      <c r="JBU21"/>
      <c r="JBY21"/>
      <c r="JCC21"/>
      <c r="JCG21"/>
      <c r="JCK21"/>
      <c r="JCO21"/>
      <c r="JCS21"/>
      <c r="JCW21"/>
      <c r="JDA21"/>
      <c r="JDE21"/>
      <c r="JDI21"/>
      <c r="JDM21"/>
      <c r="JDQ21"/>
      <c r="JDU21"/>
      <c r="JDY21"/>
      <c r="JEC21"/>
      <c r="JEG21"/>
      <c r="JEK21"/>
      <c r="JEO21"/>
      <c r="JES21"/>
      <c r="JEW21"/>
      <c r="JFA21"/>
      <c r="JFE21"/>
      <c r="JFI21"/>
      <c r="JFM21"/>
      <c r="JFQ21"/>
      <c r="JFU21"/>
      <c r="JFY21"/>
      <c r="JGC21"/>
      <c r="JGG21"/>
      <c r="JGK21"/>
      <c r="JGO21"/>
      <c r="JGS21"/>
      <c r="JGW21"/>
      <c r="JHA21"/>
      <c r="JHE21"/>
      <c r="JHI21"/>
      <c r="JHM21"/>
      <c r="JHQ21"/>
      <c r="JHU21"/>
      <c r="JHY21"/>
      <c r="JIC21"/>
      <c r="JIG21"/>
      <c r="JIK21"/>
      <c r="JIO21"/>
      <c r="JIS21"/>
      <c r="JIW21"/>
      <c r="JJA21"/>
      <c r="JJE21"/>
      <c r="JJI21"/>
      <c r="JJM21"/>
      <c r="JJQ21"/>
      <c r="JJU21"/>
      <c r="JJY21"/>
      <c r="JKC21"/>
      <c r="JKG21"/>
      <c r="JKK21"/>
      <c r="JKO21"/>
      <c r="JKS21"/>
      <c r="JKW21"/>
      <c r="JLA21"/>
      <c r="JLE21"/>
      <c r="JLI21"/>
      <c r="JLM21"/>
      <c r="JLQ21"/>
      <c r="JLU21"/>
      <c r="JLY21"/>
      <c r="JMC21"/>
      <c r="JMG21"/>
      <c r="JMK21"/>
      <c r="JMO21"/>
      <c r="JMS21"/>
      <c r="JMW21"/>
      <c r="JNA21"/>
      <c r="JNE21"/>
      <c r="JNI21"/>
      <c r="JNM21"/>
      <c r="JNQ21"/>
      <c r="JNU21"/>
      <c r="JNY21"/>
      <c r="JOC21"/>
      <c r="JOG21"/>
      <c r="JOK21"/>
      <c r="JOO21"/>
      <c r="JOS21"/>
      <c r="JOW21"/>
      <c r="JPA21"/>
      <c r="JPE21"/>
      <c r="JPI21"/>
      <c r="JPM21"/>
      <c r="JPQ21"/>
      <c r="JPU21"/>
      <c r="JPY21"/>
      <c r="JQC21"/>
      <c r="JQG21"/>
      <c r="JQK21"/>
      <c r="JQO21"/>
      <c r="JQS21"/>
      <c r="JQW21"/>
      <c r="JRA21"/>
      <c r="JRE21"/>
      <c r="JRI21"/>
      <c r="JRM21"/>
      <c r="JRQ21"/>
      <c r="JRU21"/>
      <c r="JRY21"/>
      <c r="JSC21"/>
      <c r="JSG21"/>
      <c r="JSK21"/>
      <c r="JSO21"/>
      <c r="JSS21"/>
      <c r="JSW21"/>
      <c r="JTA21"/>
      <c r="JTE21"/>
      <c r="JTI21"/>
      <c r="JTM21"/>
      <c r="JTQ21"/>
      <c r="JTU21"/>
      <c r="JTY21"/>
      <c r="JUC21"/>
      <c r="JUG21"/>
      <c r="JUK21"/>
      <c r="JUO21"/>
      <c r="JUS21"/>
      <c r="JUW21"/>
      <c r="JVA21"/>
      <c r="JVE21"/>
      <c r="JVI21"/>
      <c r="JVM21"/>
      <c r="JVQ21"/>
      <c r="JVU21"/>
      <c r="JVY21"/>
      <c r="JWC21"/>
      <c r="JWG21"/>
      <c r="JWK21"/>
      <c r="JWO21"/>
      <c r="JWS21"/>
      <c r="JWW21"/>
      <c r="JXA21"/>
      <c r="JXE21"/>
      <c r="JXI21"/>
      <c r="JXM21"/>
      <c r="JXQ21"/>
      <c r="JXU21"/>
      <c r="JXY21"/>
      <c r="JYC21"/>
      <c r="JYG21"/>
      <c r="JYK21"/>
      <c r="JYO21"/>
      <c r="JYS21"/>
      <c r="JYW21"/>
      <c r="JZA21"/>
      <c r="JZE21"/>
      <c r="JZI21"/>
      <c r="JZM21"/>
      <c r="JZQ21"/>
      <c r="JZU21"/>
      <c r="JZY21"/>
      <c r="KAC21"/>
      <c r="KAG21"/>
      <c r="KAK21"/>
      <c r="KAO21"/>
      <c r="KAS21"/>
      <c r="KAW21"/>
      <c r="KBA21"/>
      <c r="KBE21"/>
      <c r="KBI21"/>
      <c r="KBM21"/>
      <c r="KBQ21"/>
      <c r="KBU21"/>
      <c r="KBY21"/>
      <c r="KCC21"/>
      <c r="KCG21"/>
      <c r="KCK21"/>
      <c r="KCO21"/>
      <c r="KCS21"/>
      <c r="KCW21"/>
      <c r="KDA21"/>
      <c r="KDE21"/>
      <c r="KDI21"/>
      <c r="KDM21"/>
      <c r="KDQ21"/>
      <c r="KDU21"/>
      <c r="KDY21"/>
      <c r="KEC21"/>
      <c r="KEG21"/>
      <c r="KEK21"/>
      <c r="KEO21"/>
      <c r="KES21"/>
      <c r="KEW21"/>
      <c r="KFA21"/>
      <c r="KFE21"/>
      <c r="KFI21"/>
      <c r="KFM21"/>
      <c r="KFQ21"/>
      <c r="KFU21"/>
      <c r="KFY21"/>
      <c r="KGC21"/>
      <c r="KGG21"/>
      <c r="KGK21"/>
      <c r="KGO21"/>
      <c r="KGS21"/>
      <c r="KGW21"/>
      <c r="KHA21"/>
      <c r="KHE21"/>
      <c r="KHI21"/>
      <c r="KHM21"/>
      <c r="KHQ21"/>
      <c r="KHU21"/>
      <c r="KHY21"/>
      <c r="KIC21"/>
      <c r="KIG21"/>
      <c r="KIK21"/>
      <c r="KIO21"/>
      <c r="KIS21"/>
      <c r="KIW21"/>
      <c r="KJA21"/>
      <c r="KJE21"/>
      <c r="KJI21"/>
      <c r="KJM21"/>
      <c r="KJQ21"/>
      <c r="KJU21"/>
      <c r="KJY21"/>
      <c r="KKC21"/>
      <c r="KKG21"/>
      <c r="KKK21"/>
      <c r="KKO21"/>
      <c r="KKS21"/>
      <c r="KKW21"/>
      <c r="KLA21"/>
      <c r="KLE21"/>
      <c r="KLI21"/>
      <c r="KLM21"/>
      <c r="KLQ21"/>
      <c r="KLU21"/>
      <c r="KLY21"/>
      <c r="KMC21"/>
      <c r="KMG21"/>
      <c r="KMK21"/>
      <c r="KMO21"/>
      <c r="KMS21"/>
      <c r="KMW21"/>
      <c r="KNA21"/>
      <c r="KNE21"/>
      <c r="KNI21"/>
      <c r="KNM21"/>
      <c r="KNQ21"/>
      <c r="KNU21"/>
      <c r="KNY21"/>
      <c r="KOC21"/>
      <c r="KOG21"/>
      <c r="KOK21"/>
      <c r="KOO21"/>
      <c r="KOS21"/>
      <c r="KOW21"/>
      <c r="KPA21"/>
      <c r="KPE21"/>
      <c r="KPI21"/>
      <c r="KPM21"/>
      <c r="KPQ21"/>
      <c r="KPU21"/>
      <c r="KPY21"/>
      <c r="KQC21"/>
      <c r="KQG21"/>
      <c r="KQK21"/>
      <c r="KQO21"/>
      <c r="KQS21"/>
      <c r="KQW21"/>
      <c r="KRA21"/>
      <c r="KRE21"/>
      <c r="KRI21"/>
      <c r="KRM21"/>
      <c r="KRQ21"/>
      <c r="KRU21"/>
      <c r="KRY21"/>
      <c r="KSC21"/>
      <c r="KSG21"/>
      <c r="KSK21"/>
      <c r="KSO21"/>
      <c r="KSS21"/>
      <c r="KSW21"/>
      <c r="KTA21"/>
      <c r="KTE21"/>
      <c r="KTI21"/>
      <c r="KTM21"/>
      <c r="KTQ21"/>
      <c r="KTU21"/>
      <c r="KTY21"/>
      <c r="KUC21"/>
      <c r="KUG21"/>
      <c r="KUK21"/>
      <c r="KUO21"/>
      <c r="KUS21"/>
      <c r="KUW21"/>
      <c r="KVA21"/>
      <c r="KVE21"/>
      <c r="KVI21"/>
      <c r="KVM21"/>
      <c r="KVQ21"/>
      <c r="KVU21"/>
      <c r="KVY21"/>
      <c r="KWC21"/>
      <c r="KWG21"/>
      <c r="KWK21"/>
      <c r="KWO21"/>
      <c r="KWS21"/>
      <c r="KWW21"/>
      <c r="KXA21"/>
      <c r="KXE21"/>
      <c r="KXI21"/>
      <c r="KXM21"/>
      <c r="KXQ21"/>
      <c r="KXU21"/>
      <c r="KXY21"/>
      <c r="KYC21"/>
      <c r="KYG21"/>
      <c r="KYK21"/>
      <c r="KYO21"/>
      <c r="KYS21"/>
      <c r="KYW21"/>
      <c r="KZA21"/>
      <c r="KZE21"/>
      <c r="KZI21"/>
      <c r="KZM21"/>
      <c r="KZQ21"/>
      <c r="KZU21"/>
      <c r="KZY21"/>
      <c r="LAC21"/>
      <c r="LAG21"/>
      <c r="LAK21"/>
      <c r="LAO21"/>
      <c r="LAS21"/>
      <c r="LAW21"/>
      <c r="LBA21"/>
      <c r="LBE21"/>
      <c r="LBI21"/>
      <c r="LBM21"/>
      <c r="LBQ21"/>
      <c r="LBU21"/>
      <c r="LBY21"/>
      <c r="LCC21"/>
      <c r="LCG21"/>
      <c r="LCK21"/>
      <c r="LCO21"/>
      <c r="LCS21"/>
      <c r="LCW21"/>
      <c r="LDA21"/>
      <c r="LDE21"/>
      <c r="LDI21"/>
      <c r="LDM21"/>
      <c r="LDQ21"/>
      <c r="LDU21"/>
      <c r="LDY21"/>
      <c r="LEC21"/>
      <c r="LEG21"/>
      <c r="LEK21"/>
      <c r="LEO21"/>
      <c r="LES21"/>
      <c r="LEW21"/>
      <c r="LFA21"/>
      <c r="LFE21"/>
      <c r="LFI21"/>
      <c r="LFM21"/>
      <c r="LFQ21"/>
      <c r="LFU21"/>
      <c r="LFY21"/>
      <c r="LGC21"/>
      <c r="LGG21"/>
      <c r="LGK21"/>
      <c r="LGO21"/>
      <c r="LGS21"/>
      <c r="LGW21"/>
      <c r="LHA21"/>
      <c r="LHE21"/>
      <c r="LHI21"/>
      <c r="LHM21"/>
      <c r="LHQ21"/>
      <c r="LHU21"/>
      <c r="LHY21"/>
      <c r="LIC21"/>
      <c r="LIG21"/>
      <c r="LIK21"/>
      <c r="LIO21"/>
      <c r="LIS21"/>
      <c r="LIW21"/>
      <c r="LJA21"/>
      <c r="LJE21"/>
      <c r="LJI21"/>
      <c r="LJM21"/>
      <c r="LJQ21"/>
      <c r="LJU21"/>
      <c r="LJY21"/>
      <c r="LKC21"/>
      <c r="LKG21"/>
      <c r="LKK21"/>
      <c r="LKO21"/>
      <c r="LKS21"/>
      <c r="LKW21"/>
      <c r="LLA21"/>
      <c r="LLE21"/>
      <c r="LLI21"/>
      <c r="LLM21"/>
      <c r="LLQ21"/>
      <c r="LLU21"/>
      <c r="LLY21"/>
      <c r="LMC21"/>
      <c r="LMG21"/>
      <c r="LMK21"/>
      <c r="LMO21"/>
      <c r="LMS21"/>
      <c r="LMW21"/>
      <c r="LNA21"/>
      <c r="LNE21"/>
      <c r="LNI21"/>
      <c r="LNM21"/>
      <c r="LNQ21"/>
      <c r="LNU21"/>
      <c r="LNY21"/>
      <c r="LOC21"/>
      <c r="LOG21"/>
      <c r="LOK21"/>
      <c r="LOO21"/>
      <c r="LOS21"/>
      <c r="LOW21"/>
      <c r="LPA21"/>
      <c r="LPE21"/>
      <c r="LPI21"/>
      <c r="LPM21"/>
      <c r="LPQ21"/>
      <c r="LPU21"/>
      <c r="LPY21"/>
      <c r="LQC21"/>
      <c r="LQG21"/>
      <c r="LQK21"/>
      <c r="LQO21"/>
      <c r="LQS21"/>
      <c r="LQW21"/>
      <c r="LRA21"/>
      <c r="LRE21"/>
      <c r="LRI21"/>
      <c r="LRM21"/>
      <c r="LRQ21"/>
      <c r="LRU21"/>
      <c r="LRY21"/>
      <c r="LSC21"/>
      <c r="LSG21"/>
      <c r="LSK21"/>
      <c r="LSO21"/>
      <c r="LSS21"/>
      <c r="LSW21"/>
      <c r="LTA21"/>
      <c r="LTE21"/>
      <c r="LTI21"/>
      <c r="LTM21"/>
      <c r="LTQ21"/>
      <c r="LTU21"/>
      <c r="LTY21"/>
      <c r="LUC21"/>
      <c r="LUG21"/>
      <c r="LUK21"/>
      <c r="LUO21"/>
      <c r="LUS21"/>
      <c r="LUW21"/>
      <c r="LVA21"/>
      <c r="LVE21"/>
      <c r="LVI21"/>
      <c r="LVM21"/>
      <c r="LVQ21"/>
      <c r="LVU21"/>
      <c r="LVY21"/>
      <c r="LWC21"/>
      <c r="LWG21"/>
      <c r="LWK21"/>
      <c r="LWO21"/>
      <c r="LWS21"/>
      <c r="LWW21"/>
      <c r="LXA21"/>
      <c r="LXE21"/>
      <c r="LXI21"/>
      <c r="LXM21"/>
      <c r="LXQ21"/>
      <c r="LXU21"/>
      <c r="LXY21"/>
      <c r="LYC21"/>
      <c r="LYG21"/>
      <c r="LYK21"/>
      <c r="LYO21"/>
      <c r="LYS21"/>
      <c r="LYW21"/>
      <c r="LZA21"/>
      <c r="LZE21"/>
      <c r="LZI21"/>
      <c r="LZM21"/>
      <c r="LZQ21"/>
      <c r="LZU21"/>
      <c r="LZY21"/>
      <c r="MAC21"/>
      <c r="MAG21"/>
      <c r="MAK21"/>
      <c r="MAO21"/>
      <c r="MAS21"/>
      <c r="MAW21"/>
      <c r="MBA21"/>
      <c r="MBE21"/>
      <c r="MBI21"/>
      <c r="MBM21"/>
      <c r="MBQ21"/>
      <c r="MBU21"/>
      <c r="MBY21"/>
      <c r="MCC21"/>
      <c r="MCG21"/>
      <c r="MCK21"/>
      <c r="MCO21"/>
      <c r="MCS21"/>
      <c r="MCW21"/>
      <c r="MDA21"/>
      <c r="MDE21"/>
      <c r="MDI21"/>
      <c r="MDM21"/>
      <c r="MDQ21"/>
      <c r="MDU21"/>
      <c r="MDY21"/>
      <c r="MEC21"/>
      <c r="MEG21"/>
      <c r="MEK21"/>
      <c r="MEO21"/>
      <c r="MES21"/>
      <c r="MEW21"/>
      <c r="MFA21"/>
      <c r="MFE21"/>
      <c r="MFI21"/>
      <c r="MFM21"/>
      <c r="MFQ21"/>
      <c r="MFU21"/>
      <c r="MFY21"/>
      <c r="MGC21"/>
      <c r="MGG21"/>
      <c r="MGK21"/>
      <c r="MGO21"/>
      <c r="MGS21"/>
      <c r="MGW21"/>
      <c r="MHA21"/>
      <c r="MHE21"/>
      <c r="MHI21"/>
      <c r="MHM21"/>
      <c r="MHQ21"/>
      <c r="MHU21"/>
      <c r="MHY21"/>
      <c r="MIC21"/>
      <c r="MIG21"/>
      <c r="MIK21"/>
      <c r="MIO21"/>
      <c r="MIS21"/>
      <c r="MIW21"/>
      <c r="MJA21"/>
      <c r="MJE21"/>
      <c r="MJI21"/>
      <c r="MJM21"/>
      <c r="MJQ21"/>
      <c r="MJU21"/>
      <c r="MJY21"/>
      <c r="MKC21"/>
      <c r="MKG21"/>
      <c r="MKK21"/>
      <c r="MKO21"/>
      <c r="MKS21"/>
      <c r="MKW21"/>
      <c r="MLA21"/>
      <c r="MLE21"/>
      <c r="MLI21"/>
      <c r="MLM21"/>
      <c r="MLQ21"/>
      <c r="MLU21"/>
      <c r="MLY21"/>
      <c r="MMC21"/>
      <c r="MMG21"/>
      <c r="MMK21"/>
      <c r="MMO21"/>
      <c r="MMS21"/>
      <c r="MMW21"/>
      <c r="MNA21"/>
      <c r="MNE21"/>
      <c r="MNI21"/>
      <c r="MNM21"/>
      <c r="MNQ21"/>
      <c r="MNU21"/>
      <c r="MNY21"/>
      <c r="MOC21"/>
      <c r="MOG21"/>
      <c r="MOK21"/>
      <c r="MOO21"/>
      <c r="MOS21"/>
      <c r="MOW21"/>
      <c r="MPA21"/>
      <c r="MPE21"/>
      <c r="MPI21"/>
      <c r="MPM21"/>
      <c r="MPQ21"/>
      <c r="MPU21"/>
      <c r="MPY21"/>
      <c r="MQC21"/>
      <c r="MQG21"/>
      <c r="MQK21"/>
      <c r="MQO21"/>
      <c r="MQS21"/>
      <c r="MQW21"/>
      <c r="MRA21"/>
      <c r="MRE21"/>
      <c r="MRI21"/>
      <c r="MRM21"/>
      <c r="MRQ21"/>
      <c r="MRU21"/>
      <c r="MRY21"/>
      <c r="MSC21"/>
      <c r="MSG21"/>
      <c r="MSK21"/>
      <c r="MSO21"/>
      <c r="MSS21"/>
      <c r="MSW21"/>
      <c r="MTA21"/>
      <c r="MTE21"/>
      <c r="MTI21"/>
      <c r="MTM21"/>
      <c r="MTQ21"/>
      <c r="MTU21"/>
      <c r="MTY21"/>
      <c r="MUC21"/>
      <c r="MUG21"/>
      <c r="MUK21"/>
      <c r="MUO21"/>
      <c r="MUS21"/>
      <c r="MUW21"/>
      <c r="MVA21"/>
      <c r="MVE21"/>
      <c r="MVI21"/>
      <c r="MVM21"/>
      <c r="MVQ21"/>
      <c r="MVU21"/>
      <c r="MVY21"/>
      <c r="MWC21"/>
      <c r="MWG21"/>
      <c r="MWK21"/>
      <c r="MWO21"/>
      <c r="MWS21"/>
      <c r="MWW21"/>
      <c r="MXA21"/>
      <c r="MXE21"/>
      <c r="MXI21"/>
      <c r="MXM21"/>
      <c r="MXQ21"/>
      <c r="MXU21"/>
      <c r="MXY21"/>
      <c r="MYC21"/>
      <c r="MYG21"/>
      <c r="MYK21"/>
      <c r="MYO21"/>
      <c r="MYS21"/>
      <c r="MYW21"/>
      <c r="MZA21"/>
      <c r="MZE21"/>
      <c r="MZI21"/>
      <c r="MZM21"/>
      <c r="MZQ21"/>
      <c r="MZU21"/>
      <c r="MZY21"/>
      <c r="NAC21"/>
      <c r="NAG21"/>
      <c r="NAK21"/>
      <c r="NAO21"/>
      <c r="NAS21"/>
      <c r="NAW21"/>
      <c r="NBA21"/>
      <c r="NBE21"/>
      <c r="NBI21"/>
      <c r="NBM21"/>
      <c r="NBQ21"/>
      <c r="NBU21"/>
      <c r="NBY21"/>
      <c r="NCC21"/>
      <c r="NCG21"/>
      <c r="NCK21"/>
      <c r="NCO21"/>
      <c r="NCS21"/>
      <c r="NCW21"/>
      <c r="NDA21"/>
      <c r="NDE21"/>
      <c r="NDI21"/>
      <c r="NDM21"/>
      <c r="NDQ21"/>
      <c r="NDU21"/>
      <c r="NDY21"/>
      <c r="NEC21"/>
      <c r="NEG21"/>
      <c r="NEK21"/>
      <c r="NEO21"/>
      <c r="NES21"/>
      <c r="NEW21"/>
      <c r="NFA21"/>
      <c r="NFE21"/>
      <c r="NFI21"/>
      <c r="NFM21"/>
      <c r="NFQ21"/>
      <c r="NFU21"/>
      <c r="NFY21"/>
      <c r="NGC21"/>
      <c r="NGG21"/>
      <c r="NGK21"/>
      <c r="NGO21"/>
      <c r="NGS21"/>
      <c r="NGW21"/>
      <c r="NHA21"/>
      <c r="NHE21"/>
      <c r="NHI21"/>
      <c r="NHM21"/>
      <c r="NHQ21"/>
      <c r="NHU21"/>
      <c r="NHY21"/>
      <c r="NIC21"/>
      <c r="NIG21"/>
      <c r="NIK21"/>
      <c r="NIO21"/>
      <c r="NIS21"/>
      <c r="NIW21"/>
      <c r="NJA21"/>
      <c r="NJE21"/>
      <c r="NJI21"/>
      <c r="NJM21"/>
      <c r="NJQ21"/>
      <c r="NJU21"/>
      <c r="NJY21"/>
      <c r="NKC21"/>
      <c r="NKG21"/>
      <c r="NKK21"/>
      <c r="NKO21"/>
      <c r="NKS21"/>
      <c r="NKW21"/>
      <c r="NLA21"/>
      <c r="NLE21"/>
      <c r="NLI21"/>
      <c r="NLM21"/>
      <c r="NLQ21"/>
      <c r="NLU21"/>
      <c r="NLY21"/>
      <c r="NMC21"/>
      <c r="NMG21"/>
      <c r="NMK21"/>
      <c r="NMO21"/>
      <c r="NMS21"/>
      <c r="NMW21"/>
      <c r="NNA21"/>
      <c r="NNE21"/>
      <c r="NNI21"/>
      <c r="NNM21"/>
      <c r="NNQ21"/>
      <c r="NNU21"/>
      <c r="NNY21"/>
      <c r="NOC21"/>
      <c r="NOG21"/>
      <c r="NOK21"/>
      <c r="NOO21"/>
      <c r="NOS21"/>
      <c r="NOW21"/>
      <c r="NPA21"/>
      <c r="NPE21"/>
      <c r="NPI21"/>
      <c r="NPM21"/>
      <c r="NPQ21"/>
      <c r="NPU21"/>
      <c r="NPY21"/>
      <c r="NQC21"/>
      <c r="NQG21"/>
      <c r="NQK21"/>
      <c r="NQO21"/>
      <c r="NQS21"/>
      <c r="NQW21"/>
      <c r="NRA21"/>
      <c r="NRE21"/>
      <c r="NRI21"/>
      <c r="NRM21"/>
      <c r="NRQ21"/>
      <c r="NRU21"/>
      <c r="NRY21"/>
      <c r="NSC21"/>
      <c r="NSG21"/>
      <c r="NSK21"/>
      <c r="NSO21"/>
      <c r="NSS21"/>
      <c r="NSW21"/>
      <c r="NTA21"/>
      <c r="NTE21"/>
      <c r="NTI21"/>
      <c r="NTM21"/>
      <c r="NTQ21"/>
      <c r="NTU21"/>
      <c r="NTY21"/>
      <c r="NUC21"/>
      <c r="NUG21"/>
      <c r="NUK21"/>
      <c r="NUO21"/>
      <c r="NUS21"/>
      <c r="NUW21"/>
      <c r="NVA21"/>
      <c r="NVE21"/>
      <c r="NVI21"/>
      <c r="NVM21"/>
      <c r="NVQ21"/>
      <c r="NVU21"/>
      <c r="NVY21"/>
      <c r="NWC21"/>
      <c r="NWG21"/>
      <c r="NWK21"/>
      <c r="NWO21"/>
      <c r="NWS21"/>
      <c r="NWW21"/>
      <c r="NXA21"/>
      <c r="NXE21"/>
      <c r="NXI21"/>
      <c r="NXM21"/>
      <c r="NXQ21"/>
      <c r="NXU21"/>
      <c r="NXY21"/>
      <c r="NYC21"/>
      <c r="NYG21"/>
      <c r="NYK21"/>
      <c r="NYO21"/>
      <c r="NYS21"/>
      <c r="NYW21"/>
      <c r="NZA21"/>
      <c r="NZE21"/>
      <c r="NZI21"/>
      <c r="NZM21"/>
      <c r="NZQ21"/>
      <c r="NZU21"/>
      <c r="NZY21"/>
      <c r="OAC21"/>
      <c r="OAG21"/>
      <c r="OAK21"/>
      <c r="OAO21"/>
      <c r="OAS21"/>
      <c r="OAW21"/>
      <c r="OBA21"/>
      <c r="OBE21"/>
      <c r="OBI21"/>
      <c r="OBM21"/>
      <c r="OBQ21"/>
      <c r="OBU21"/>
      <c r="OBY21"/>
      <c r="OCC21"/>
      <c r="OCG21"/>
      <c r="OCK21"/>
      <c r="OCO21"/>
      <c r="OCS21"/>
      <c r="OCW21"/>
      <c r="ODA21"/>
      <c r="ODE21"/>
      <c r="ODI21"/>
      <c r="ODM21"/>
      <c r="ODQ21"/>
      <c r="ODU21"/>
      <c r="ODY21"/>
      <c r="OEC21"/>
      <c r="OEG21"/>
      <c r="OEK21"/>
      <c r="OEO21"/>
      <c r="OES21"/>
      <c r="OEW21"/>
      <c r="OFA21"/>
      <c r="OFE21"/>
      <c r="OFI21"/>
      <c r="OFM21"/>
      <c r="OFQ21"/>
      <c r="OFU21"/>
      <c r="OFY21"/>
      <c r="OGC21"/>
      <c r="OGG21"/>
      <c r="OGK21"/>
      <c r="OGO21"/>
      <c r="OGS21"/>
      <c r="OGW21"/>
      <c r="OHA21"/>
      <c r="OHE21"/>
      <c r="OHI21"/>
      <c r="OHM21"/>
      <c r="OHQ21"/>
      <c r="OHU21"/>
      <c r="OHY21"/>
      <c r="OIC21"/>
      <c r="OIG21"/>
      <c r="OIK21"/>
      <c r="OIO21"/>
      <c r="OIS21"/>
      <c r="OIW21"/>
      <c r="OJA21"/>
      <c r="OJE21"/>
      <c r="OJI21"/>
      <c r="OJM21"/>
      <c r="OJQ21"/>
      <c r="OJU21"/>
      <c r="OJY21"/>
      <c r="OKC21"/>
      <c r="OKG21"/>
      <c r="OKK21"/>
      <c r="OKO21"/>
      <c r="OKS21"/>
      <c r="OKW21"/>
      <c r="OLA21"/>
      <c r="OLE21"/>
      <c r="OLI21"/>
      <c r="OLM21"/>
      <c r="OLQ21"/>
      <c r="OLU21"/>
      <c r="OLY21"/>
      <c r="OMC21"/>
      <c r="OMG21"/>
      <c r="OMK21"/>
      <c r="OMO21"/>
      <c r="OMS21"/>
      <c r="OMW21"/>
      <c r="ONA21"/>
      <c r="ONE21"/>
      <c r="ONI21"/>
      <c r="ONM21"/>
      <c r="ONQ21"/>
      <c r="ONU21"/>
      <c r="ONY21"/>
      <c r="OOC21"/>
      <c r="OOG21"/>
      <c r="OOK21"/>
      <c r="OOO21"/>
      <c r="OOS21"/>
      <c r="OOW21"/>
      <c r="OPA21"/>
      <c r="OPE21"/>
      <c r="OPI21"/>
      <c r="OPM21"/>
      <c r="OPQ21"/>
      <c r="OPU21"/>
      <c r="OPY21"/>
      <c r="OQC21"/>
      <c r="OQG21"/>
      <c r="OQK21"/>
      <c r="OQO21"/>
      <c r="OQS21"/>
      <c r="OQW21"/>
      <c r="ORA21"/>
      <c r="ORE21"/>
      <c r="ORI21"/>
      <c r="ORM21"/>
      <c r="ORQ21"/>
      <c r="ORU21"/>
      <c r="ORY21"/>
      <c r="OSC21"/>
      <c r="OSG21"/>
      <c r="OSK21"/>
      <c r="OSO21"/>
      <c r="OSS21"/>
      <c r="OSW21"/>
      <c r="OTA21"/>
      <c r="OTE21"/>
      <c r="OTI21"/>
      <c r="OTM21"/>
      <c r="OTQ21"/>
      <c r="OTU21"/>
      <c r="OTY21"/>
      <c r="OUC21"/>
      <c r="OUG21"/>
      <c r="OUK21"/>
      <c r="OUO21"/>
      <c r="OUS21"/>
      <c r="OUW21"/>
      <c r="OVA21"/>
      <c r="OVE21"/>
      <c r="OVI21"/>
      <c r="OVM21"/>
      <c r="OVQ21"/>
      <c r="OVU21"/>
      <c r="OVY21"/>
      <c r="OWC21"/>
      <c r="OWG21"/>
      <c r="OWK21"/>
      <c r="OWO21"/>
      <c r="OWS21"/>
      <c r="OWW21"/>
      <c r="OXA21"/>
      <c r="OXE21"/>
      <c r="OXI21"/>
      <c r="OXM21"/>
      <c r="OXQ21"/>
      <c r="OXU21"/>
      <c r="OXY21"/>
      <c r="OYC21"/>
      <c r="OYG21"/>
      <c r="OYK21"/>
      <c r="OYO21"/>
      <c r="OYS21"/>
      <c r="OYW21"/>
      <c r="OZA21"/>
      <c r="OZE21"/>
      <c r="OZI21"/>
      <c r="OZM21"/>
      <c r="OZQ21"/>
      <c r="OZU21"/>
      <c r="OZY21"/>
      <c r="PAC21"/>
      <c r="PAG21"/>
      <c r="PAK21"/>
      <c r="PAO21"/>
      <c r="PAS21"/>
      <c r="PAW21"/>
      <c r="PBA21"/>
      <c r="PBE21"/>
      <c r="PBI21"/>
      <c r="PBM21"/>
      <c r="PBQ21"/>
      <c r="PBU21"/>
      <c r="PBY21"/>
      <c r="PCC21"/>
      <c r="PCG21"/>
      <c r="PCK21"/>
      <c r="PCO21"/>
      <c r="PCS21"/>
      <c r="PCW21"/>
      <c r="PDA21"/>
      <c r="PDE21"/>
      <c r="PDI21"/>
      <c r="PDM21"/>
      <c r="PDQ21"/>
      <c r="PDU21"/>
      <c r="PDY21"/>
      <c r="PEC21"/>
      <c r="PEG21"/>
      <c r="PEK21"/>
      <c r="PEO21"/>
      <c r="PES21"/>
      <c r="PEW21"/>
      <c r="PFA21"/>
      <c r="PFE21"/>
      <c r="PFI21"/>
      <c r="PFM21"/>
      <c r="PFQ21"/>
      <c r="PFU21"/>
      <c r="PFY21"/>
      <c r="PGC21"/>
      <c r="PGG21"/>
      <c r="PGK21"/>
      <c r="PGO21"/>
      <c r="PGS21"/>
      <c r="PGW21"/>
      <c r="PHA21"/>
      <c r="PHE21"/>
      <c r="PHI21"/>
      <c r="PHM21"/>
      <c r="PHQ21"/>
      <c r="PHU21"/>
      <c r="PHY21"/>
      <c r="PIC21"/>
      <c r="PIG21"/>
      <c r="PIK21"/>
      <c r="PIO21"/>
      <c r="PIS21"/>
      <c r="PIW21"/>
      <c r="PJA21"/>
      <c r="PJE21"/>
      <c r="PJI21"/>
      <c r="PJM21"/>
      <c r="PJQ21"/>
      <c r="PJU21"/>
      <c r="PJY21"/>
      <c r="PKC21"/>
      <c r="PKG21"/>
      <c r="PKK21"/>
      <c r="PKO21"/>
      <c r="PKS21"/>
      <c r="PKW21"/>
      <c r="PLA21"/>
      <c r="PLE21"/>
      <c r="PLI21"/>
      <c r="PLM21"/>
      <c r="PLQ21"/>
      <c r="PLU21"/>
      <c r="PLY21"/>
      <c r="PMC21"/>
      <c r="PMG21"/>
      <c r="PMK21"/>
      <c r="PMO21"/>
      <c r="PMS21"/>
      <c r="PMW21"/>
      <c r="PNA21"/>
      <c r="PNE21"/>
      <c r="PNI21"/>
      <c r="PNM21"/>
      <c r="PNQ21"/>
      <c r="PNU21"/>
      <c r="PNY21"/>
      <c r="POC21"/>
      <c r="POG21"/>
      <c r="POK21"/>
      <c r="POO21"/>
      <c r="POS21"/>
      <c r="POW21"/>
      <c r="PPA21"/>
      <c r="PPE21"/>
      <c r="PPI21"/>
      <c r="PPM21"/>
      <c r="PPQ21"/>
      <c r="PPU21"/>
      <c r="PPY21"/>
      <c r="PQC21"/>
      <c r="PQG21"/>
      <c r="PQK21"/>
      <c r="PQO21"/>
      <c r="PQS21"/>
      <c r="PQW21"/>
      <c r="PRA21"/>
      <c r="PRE21"/>
      <c r="PRI21"/>
      <c r="PRM21"/>
      <c r="PRQ21"/>
      <c r="PRU21"/>
      <c r="PRY21"/>
      <c r="PSC21"/>
      <c r="PSG21"/>
      <c r="PSK21"/>
      <c r="PSO21"/>
      <c r="PSS21"/>
      <c r="PSW21"/>
      <c r="PTA21"/>
      <c r="PTE21"/>
      <c r="PTI21"/>
      <c r="PTM21"/>
      <c r="PTQ21"/>
      <c r="PTU21"/>
      <c r="PTY21"/>
      <c r="PUC21"/>
      <c r="PUG21"/>
      <c r="PUK21"/>
      <c r="PUO21"/>
      <c r="PUS21"/>
      <c r="PUW21"/>
      <c r="PVA21"/>
      <c r="PVE21"/>
      <c r="PVI21"/>
      <c r="PVM21"/>
      <c r="PVQ21"/>
      <c r="PVU21"/>
      <c r="PVY21"/>
      <c r="PWC21"/>
      <c r="PWG21"/>
      <c r="PWK21"/>
      <c r="PWO21"/>
      <c r="PWS21"/>
      <c r="PWW21"/>
      <c r="PXA21"/>
      <c r="PXE21"/>
      <c r="PXI21"/>
      <c r="PXM21"/>
      <c r="PXQ21"/>
      <c r="PXU21"/>
      <c r="PXY21"/>
      <c r="PYC21"/>
      <c r="PYG21"/>
      <c r="PYK21"/>
      <c r="PYO21"/>
      <c r="PYS21"/>
      <c r="PYW21"/>
      <c r="PZA21"/>
      <c r="PZE21"/>
      <c r="PZI21"/>
      <c r="PZM21"/>
      <c r="PZQ21"/>
      <c r="PZU21"/>
      <c r="PZY21"/>
      <c r="QAC21"/>
      <c r="QAG21"/>
      <c r="QAK21"/>
      <c r="QAO21"/>
      <c r="QAS21"/>
      <c r="QAW21"/>
      <c r="QBA21"/>
      <c r="QBE21"/>
      <c r="QBI21"/>
      <c r="QBM21"/>
      <c r="QBQ21"/>
      <c r="QBU21"/>
      <c r="QBY21"/>
      <c r="QCC21"/>
      <c r="QCG21"/>
      <c r="QCK21"/>
      <c r="QCO21"/>
      <c r="QCS21"/>
      <c r="QCW21"/>
      <c r="QDA21"/>
      <c r="QDE21"/>
      <c r="QDI21"/>
      <c r="QDM21"/>
      <c r="QDQ21"/>
      <c r="QDU21"/>
      <c r="QDY21"/>
      <c r="QEC21"/>
      <c r="QEG21"/>
      <c r="QEK21"/>
      <c r="QEO21"/>
      <c r="QES21"/>
      <c r="QEW21"/>
      <c r="QFA21"/>
      <c r="QFE21"/>
      <c r="QFI21"/>
      <c r="QFM21"/>
      <c r="QFQ21"/>
      <c r="QFU21"/>
      <c r="QFY21"/>
      <c r="QGC21"/>
      <c r="QGG21"/>
      <c r="QGK21"/>
      <c r="QGO21"/>
      <c r="QGS21"/>
      <c r="QGW21"/>
      <c r="QHA21"/>
      <c r="QHE21"/>
      <c r="QHI21"/>
      <c r="QHM21"/>
      <c r="QHQ21"/>
      <c r="QHU21"/>
      <c r="QHY21"/>
      <c r="QIC21"/>
      <c r="QIG21"/>
      <c r="QIK21"/>
      <c r="QIO21"/>
      <c r="QIS21"/>
      <c r="QIW21"/>
      <c r="QJA21"/>
      <c r="QJE21"/>
      <c r="QJI21"/>
      <c r="QJM21"/>
      <c r="QJQ21"/>
      <c r="QJU21"/>
      <c r="QJY21"/>
      <c r="QKC21"/>
      <c r="QKG21"/>
      <c r="QKK21"/>
      <c r="QKO21"/>
      <c r="QKS21"/>
      <c r="QKW21"/>
      <c r="QLA21"/>
      <c r="QLE21"/>
      <c r="QLI21"/>
      <c r="QLM21"/>
      <c r="QLQ21"/>
      <c r="QLU21"/>
      <c r="QLY21"/>
      <c r="QMC21"/>
      <c r="QMG21"/>
      <c r="QMK21"/>
      <c r="QMO21"/>
      <c r="QMS21"/>
      <c r="QMW21"/>
      <c r="QNA21"/>
      <c r="QNE21"/>
      <c r="QNI21"/>
      <c r="QNM21"/>
      <c r="QNQ21"/>
      <c r="QNU21"/>
      <c r="QNY21"/>
      <c r="QOC21"/>
      <c r="QOG21"/>
      <c r="QOK21"/>
      <c r="QOO21"/>
      <c r="QOS21"/>
      <c r="QOW21"/>
      <c r="QPA21"/>
      <c r="QPE21"/>
      <c r="QPI21"/>
      <c r="QPM21"/>
      <c r="QPQ21"/>
      <c r="QPU21"/>
      <c r="QPY21"/>
      <c r="QQC21"/>
      <c r="QQG21"/>
      <c r="QQK21"/>
      <c r="QQO21"/>
      <c r="QQS21"/>
      <c r="QQW21"/>
      <c r="QRA21"/>
      <c r="QRE21"/>
      <c r="QRI21"/>
      <c r="QRM21"/>
      <c r="QRQ21"/>
      <c r="QRU21"/>
      <c r="QRY21"/>
      <c r="QSC21"/>
      <c r="QSG21"/>
      <c r="QSK21"/>
      <c r="QSO21"/>
      <c r="QSS21"/>
      <c r="QSW21"/>
      <c r="QTA21"/>
      <c r="QTE21"/>
      <c r="QTI21"/>
      <c r="QTM21"/>
      <c r="QTQ21"/>
      <c r="QTU21"/>
      <c r="QTY21"/>
      <c r="QUC21"/>
      <c r="QUG21"/>
      <c r="QUK21"/>
      <c r="QUO21"/>
      <c r="QUS21"/>
      <c r="QUW21"/>
      <c r="QVA21"/>
      <c r="QVE21"/>
      <c r="QVI21"/>
      <c r="QVM21"/>
      <c r="QVQ21"/>
      <c r="QVU21"/>
      <c r="QVY21"/>
      <c r="QWC21"/>
      <c r="QWG21"/>
      <c r="QWK21"/>
      <c r="QWO21"/>
      <c r="QWS21"/>
      <c r="QWW21"/>
      <c r="QXA21"/>
      <c r="QXE21"/>
      <c r="QXI21"/>
      <c r="QXM21"/>
      <c r="QXQ21"/>
      <c r="QXU21"/>
      <c r="QXY21"/>
      <c r="QYC21"/>
      <c r="QYG21"/>
      <c r="QYK21"/>
      <c r="QYO21"/>
      <c r="QYS21"/>
      <c r="QYW21"/>
      <c r="QZA21"/>
      <c r="QZE21"/>
      <c r="QZI21"/>
      <c r="QZM21"/>
      <c r="QZQ21"/>
      <c r="QZU21"/>
      <c r="QZY21"/>
      <c r="RAC21"/>
      <c r="RAG21"/>
      <c r="RAK21"/>
      <c r="RAO21"/>
      <c r="RAS21"/>
      <c r="RAW21"/>
      <c r="RBA21"/>
      <c r="RBE21"/>
      <c r="RBI21"/>
      <c r="RBM21"/>
      <c r="RBQ21"/>
      <c r="RBU21"/>
      <c r="RBY21"/>
      <c r="RCC21"/>
      <c r="RCG21"/>
      <c r="RCK21"/>
      <c r="RCO21"/>
      <c r="RCS21"/>
      <c r="RCW21"/>
      <c r="RDA21"/>
      <c r="RDE21"/>
      <c r="RDI21"/>
      <c r="RDM21"/>
      <c r="RDQ21"/>
      <c r="RDU21"/>
      <c r="RDY21"/>
      <c r="REC21"/>
      <c r="REG21"/>
      <c r="REK21"/>
      <c r="REO21"/>
      <c r="RES21"/>
      <c r="REW21"/>
      <c r="RFA21"/>
      <c r="RFE21"/>
      <c r="RFI21"/>
      <c r="RFM21"/>
      <c r="RFQ21"/>
      <c r="RFU21"/>
      <c r="RFY21"/>
      <c r="RGC21"/>
      <c r="RGG21"/>
      <c r="RGK21"/>
      <c r="RGO21"/>
      <c r="RGS21"/>
      <c r="RGW21"/>
      <c r="RHA21"/>
      <c r="RHE21"/>
      <c r="RHI21"/>
      <c r="RHM21"/>
      <c r="RHQ21"/>
      <c r="RHU21"/>
      <c r="RHY21"/>
      <c r="RIC21"/>
      <c r="RIG21"/>
      <c r="RIK21"/>
      <c r="RIO21"/>
      <c r="RIS21"/>
      <c r="RIW21"/>
      <c r="RJA21"/>
      <c r="RJE21"/>
      <c r="RJI21"/>
      <c r="RJM21"/>
      <c r="RJQ21"/>
      <c r="RJU21"/>
      <c r="RJY21"/>
      <c r="RKC21"/>
      <c r="RKG21"/>
      <c r="RKK21"/>
      <c r="RKO21"/>
      <c r="RKS21"/>
      <c r="RKW21"/>
      <c r="RLA21"/>
      <c r="RLE21"/>
      <c r="RLI21"/>
      <c r="RLM21"/>
      <c r="RLQ21"/>
      <c r="RLU21"/>
      <c r="RLY21"/>
      <c r="RMC21"/>
      <c r="RMG21"/>
      <c r="RMK21"/>
      <c r="RMO21"/>
      <c r="RMS21"/>
      <c r="RMW21"/>
      <c r="RNA21"/>
      <c r="RNE21"/>
      <c r="RNI21"/>
      <c r="RNM21"/>
      <c r="RNQ21"/>
      <c r="RNU21"/>
      <c r="RNY21"/>
      <c r="ROC21"/>
      <c r="ROG21"/>
      <c r="ROK21"/>
      <c r="ROO21"/>
      <c r="ROS21"/>
      <c r="ROW21"/>
      <c r="RPA21"/>
      <c r="RPE21"/>
      <c r="RPI21"/>
      <c r="RPM21"/>
      <c r="RPQ21"/>
      <c r="RPU21"/>
      <c r="RPY21"/>
      <c r="RQC21"/>
      <c r="RQG21"/>
      <c r="RQK21"/>
      <c r="RQO21"/>
      <c r="RQS21"/>
      <c r="RQW21"/>
      <c r="RRA21"/>
      <c r="RRE21"/>
      <c r="RRI21"/>
      <c r="RRM21"/>
      <c r="RRQ21"/>
      <c r="RRU21"/>
      <c r="RRY21"/>
      <c r="RSC21"/>
      <c r="RSG21"/>
      <c r="RSK21"/>
      <c r="RSO21"/>
      <c r="RSS21"/>
      <c r="RSW21"/>
      <c r="RTA21"/>
      <c r="RTE21"/>
      <c r="RTI21"/>
      <c r="RTM21"/>
      <c r="RTQ21"/>
      <c r="RTU21"/>
      <c r="RTY21"/>
      <c r="RUC21"/>
      <c r="RUG21"/>
      <c r="RUK21"/>
      <c r="RUO21"/>
      <c r="RUS21"/>
      <c r="RUW21"/>
      <c r="RVA21"/>
      <c r="RVE21"/>
      <c r="RVI21"/>
      <c r="RVM21"/>
      <c r="RVQ21"/>
      <c r="RVU21"/>
      <c r="RVY21"/>
      <c r="RWC21"/>
      <c r="RWG21"/>
      <c r="RWK21"/>
      <c r="RWO21"/>
      <c r="RWS21"/>
      <c r="RWW21"/>
      <c r="RXA21"/>
      <c r="RXE21"/>
      <c r="RXI21"/>
      <c r="RXM21"/>
      <c r="RXQ21"/>
      <c r="RXU21"/>
      <c r="RXY21"/>
      <c r="RYC21"/>
      <c r="RYG21"/>
      <c r="RYK21"/>
      <c r="RYO21"/>
      <c r="RYS21"/>
      <c r="RYW21"/>
      <c r="RZA21"/>
      <c r="RZE21"/>
      <c r="RZI21"/>
      <c r="RZM21"/>
      <c r="RZQ21"/>
      <c r="RZU21"/>
      <c r="RZY21"/>
      <c r="SAC21"/>
      <c r="SAG21"/>
      <c r="SAK21"/>
      <c r="SAO21"/>
      <c r="SAS21"/>
      <c r="SAW21"/>
      <c r="SBA21"/>
      <c r="SBE21"/>
      <c r="SBI21"/>
      <c r="SBM21"/>
      <c r="SBQ21"/>
      <c r="SBU21"/>
      <c r="SBY21"/>
      <c r="SCC21"/>
      <c r="SCG21"/>
      <c r="SCK21"/>
      <c r="SCO21"/>
      <c r="SCS21"/>
      <c r="SCW21"/>
      <c r="SDA21"/>
      <c r="SDE21"/>
      <c r="SDI21"/>
      <c r="SDM21"/>
      <c r="SDQ21"/>
      <c r="SDU21"/>
      <c r="SDY21"/>
      <c r="SEC21"/>
      <c r="SEG21"/>
      <c r="SEK21"/>
      <c r="SEO21"/>
      <c r="SES21"/>
      <c r="SEW21"/>
      <c r="SFA21"/>
      <c r="SFE21"/>
      <c r="SFI21"/>
      <c r="SFM21"/>
      <c r="SFQ21"/>
      <c r="SFU21"/>
      <c r="SFY21"/>
      <c r="SGC21"/>
      <c r="SGG21"/>
      <c r="SGK21"/>
      <c r="SGO21"/>
      <c r="SGS21"/>
      <c r="SGW21"/>
      <c r="SHA21"/>
      <c r="SHE21"/>
      <c r="SHI21"/>
      <c r="SHM21"/>
      <c r="SHQ21"/>
      <c r="SHU21"/>
      <c r="SHY21"/>
      <c r="SIC21"/>
      <c r="SIG21"/>
      <c r="SIK21"/>
      <c r="SIO21"/>
      <c r="SIS21"/>
      <c r="SIW21"/>
      <c r="SJA21"/>
      <c r="SJE21"/>
      <c r="SJI21"/>
      <c r="SJM21"/>
      <c r="SJQ21"/>
      <c r="SJU21"/>
      <c r="SJY21"/>
      <c r="SKC21"/>
      <c r="SKG21"/>
      <c r="SKK21"/>
      <c r="SKO21"/>
      <c r="SKS21"/>
      <c r="SKW21"/>
      <c r="SLA21"/>
      <c r="SLE21"/>
      <c r="SLI21"/>
      <c r="SLM21"/>
      <c r="SLQ21"/>
      <c r="SLU21"/>
      <c r="SLY21"/>
      <c r="SMC21"/>
      <c r="SMG21"/>
      <c r="SMK21"/>
      <c r="SMO21"/>
      <c r="SMS21"/>
      <c r="SMW21"/>
      <c r="SNA21"/>
      <c r="SNE21"/>
      <c r="SNI21"/>
      <c r="SNM21"/>
      <c r="SNQ21"/>
      <c r="SNU21"/>
      <c r="SNY21"/>
      <c r="SOC21"/>
      <c r="SOG21"/>
      <c r="SOK21"/>
      <c r="SOO21"/>
      <c r="SOS21"/>
      <c r="SOW21"/>
      <c r="SPA21"/>
      <c r="SPE21"/>
      <c r="SPI21"/>
      <c r="SPM21"/>
      <c r="SPQ21"/>
      <c r="SPU21"/>
      <c r="SPY21"/>
      <c r="SQC21"/>
      <c r="SQG21"/>
      <c r="SQK21"/>
      <c r="SQO21"/>
      <c r="SQS21"/>
      <c r="SQW21"/>
      <c r="SRA21"/>
      <c r="SRE21"/>
      <c r="SRI21"/>
      <c r="SRM21"/>
      <c r="SRQ21"/>
      <c r="SRU21"/>
      <c r="SRY21"/>
      <c r="SSC21"/>
      <c r="SSG21"/>
      <c r="SSK21"/>
      <c r="SSO21"/>
      <c r="SSS21"/>
      <c r="SSW21"/>
      <c r="STA21"/>
      <c r="STE21"/>
      <c r="STI21"/>
      <c r="STM21"/>
      <c r="STQ21"/>
      <c r="STU21"/>
      <c r="STY21"/>
      <c r="SUC21"/>
      <c r="SUG21"/>
      <c r="SUK21"/>
      <c r="SUO21"/>
      <c r="SUS21"/>
      <c r="SUW21"/>
      <c r="SVA21"/>
      <c r="SVE21"/>
      <c r="SVI21"/>
      <c r="SVM21"/>
      <c r="SVQ21"/>
      <c r="SVU21"/>
      <c r="SVY21"/>
      <c r="SWC21"/>
      <c r="SWG21"/>
      <c r="SWK21"/>
      <c r="SWO21"/>
      <c r="SWS21"/>
      <c r="SWW21"/>
      <c r="SXA21"/>
      <c r="SXE21"/>
      <c r="SXI21"/>
      <c r="SXM21"/>
      <c r="SXQ21"/>
      <c r="SXU21"/>
      <c r="SXY21"/>
      <c r="SYC21"/>
      <c r="SYG21"/>
      <c r="SYK21"/>
      <c r="SYO21"/>
      <c r="SYS21"/>
      <c r="SYW21"/>
      <c r="SZA21"/>
      <c r="SZE21"/>
      <c r="SZI21"/>
      <c r="SZM21"/>
      <c r="SZQ21"/>
      <c r="SZU21"/>
      <c r="SZY21"/>
      <c r="TAC21"/>
      <c r="TAG21"/>
      <c r="TAK21"/>
      <c r="TAO21"/>
      <c r="TAS21"/>
      <c r="TAW21"/>
      <c r="TBA21"/>
      <c r="TBE21"/>
      <c r="TBI21"/>
      <c r="TBM21"/>
      <c r="TBQ21"/>
      <c r="TBU21"/>
      <c r="TBY21"/>
      <c r="TCC21"/>
      <c r="TCG21"/>
      <c r="TCK21"/>
      <c r="TCO21"/>
      <c r="TCS21"/>
      <c r="TCW21"/>
      <c r="TDA21"/>
      <c r="TDE21"/>
      <c r="TDI21"/>
      <c r="TDM21"/>
      <c r="TDQ21"/>
      <c r="TDU21"/>
      <c r="TDY21"/>
      <c r="TEC21"/>
      <c r="TEG21"/>
      <c r="TEK21"/>
      <c r="TEO21"/>
      <c r="TES21"/>
      <c r="TEW21"/>
      <c r="TFA21"/>
      <c r="TFE21"/>
      <c r="TFI21"/>
      <c r="TFM21"/>
      <c r="TFQ21"/>
      <c r="TFU21"/>
      <c r="TFY21"/>
      <c r="TGC21"/>
      <c r="TGG21"/>
      <c r="TGK21"/>
      <c r="TGO21"/>
      <c r="TGS21"/>
      <c r="TGW21"/>
      <c r="THA21"/>
      <c r="THE21"/>
      <c r="THI21"/>
      <c r="THM21"/>
      <c r="THQ21"/>
      <c r="THU21"/>
      <c r="THY21"/>
      <c r="TIC21"/>
      <c r="TIG21"/>
      <c r="TIK21"/>
      <c r="TIO21"/>
      <c r="TIS21"/>
      <c r="TIW21"/>
      <c r="TJA21"/>
      <c r="TJE21"/>
      <c r="TJI21"/>
      <c r="TJM21"/>
      <c r="TJQ21"/>
      <c r="TJU21"/>
      <c r="TJY21"/>
      <c r="TKC21"/>
      <c r="TKG21"/>
      <c r="TKK21"/>
      <c r="TKO21"/>
      <c r="TKS21"/>
      <c r="TKW21"/>
      <c r="TLA21"/>
      <c r="TLE21"/>
      <c r="TLI21"/>
      <c r="TLM21"/>
      <c r="TLQ21"/>
      <c r="TLU21"/>
      <c r="TLY21"/>
      <c r="TMC21"/>
      <c r="TMG21"/>
      <c r="TMK21"/>
      <c r="TMO21"/>
      <c r="TMS21"/>
      <c r="TMW21"/>
      <c r="TNA21"/>
      <c r="TNE21"/>
      <c r="TNI21"/>
      <c r="TNM21"/>
      <c r="TNQ21"/>
      <c r="TNU21"/>
      <c r="TNY21"/>
      <c r="TOC21"/>
      <c r="TOG21"/>
      <c r="TOK21"/>
      <c r="TOO21"/>
      <c r="TOS21"/>
      <c r="TOW21"/>
      <c r="TPA21"/>
      <c r="TPE21"/>
      <c r="TPI21"/>
      <c r="TPM21"/>
      <c r="TPQ21"/>
      <c r="TPU21"/>
      <c r="TPY21"/>
      <c r="TQC21"/>
      <c r="TQG21"/>
      <c r="TQK21"/>
      <c r="TQO21"/>
      <c r="TQS21"/>
      <c r="TQW21"/>
      <c r="TRA21"/>
      <c r="TRE21"/>
      <c r="TRI21"/>
      <c r="TRM21"/>
      <c r="TRQ21"/>
      <c r="TRU21"/>
      <c r="TRY21"/>
      <c r="TSC21"/>
      <c r="TSG21"/>
      <c r="TSK21"/>
      <c r="TSO21"/>
      <c r="TSS21"/>
      <c r="TSW21"/>
      <c r="TTA21"/>
      <c r="TTE21"/>
      <c r="TTI21"/>
      <c r="TTM21"/>
      <c r="TTQ21"/>
      <c r="TTU21"/>
      <c r="TTY21"/>
      <c r="TUC21"/>
      <c r="TUG21"/>
      <c r="TUK21"/>
      <c r="TUO21"/>
      <c r="TUS21"/>
      <c r="TUW21"/>
      <c r="TVA21"/>
      <c r="TVE21"/>
      <c r="TVI21"/>
      <c r="TVM21"/>
      <c r="TVQ21"/>
      <c r="TVU21"/>
      <c r="TVY21"/>
      <c r="TWC21"/>
      <c r="TWG21"/>
      <c r="TWK21"/>
      <c r="TWO21"/>
      <c r="TWS21"/>
      <c r="TWW21"/>
      <c r="TXA21"/>
      <c r="TXE21"/>
      <c r="TXI21"/>
      <c r="TXM21"/>
      <c r="TXQ21"/>
      <c r="TXU21"/>
      <c r="TXY21"/>
      <c r="TYC21"/>
      <c r="TYG21"/>
      <c r="TYK21"/>
      <c r="TYO21"/>
      <c r="TYS21"/>
      <c r="TYW21"/>
      <c r="TZA21"/>
      <c r="TZE21"/>
      <c r="TZI21"/>
      <c r="TZM21"/>
      <c r="TZQ21"/>
      <c r="TZU21"/>
      <c r="TZY21"/>
      <c r="UAC21"/>
      <c r="UAG21"/>
      <c r="UAK21"/>
      <c r="UAO21"/>
      <c r="UAS21"/>
      <c r="UAW21"/>
      <c r="UBA21"/>
      <c r="UBE21"/>
      <c r="UBI21"/>
      <c r="UBM21"/>
      <c r="UBQ21"/>
      <c r="UBU21"/>
      <c r="UBY21"/>
      <c r="UCC21"/>
      <c r="UCG21"/>
      <c r="UCK21"/>
      <c r="UCO21"/>
      <c r="UCS21"/>
      <c r="UCW21"/>
      <c r="UDA21"/>
      <c r="UDE21"/>
      <c r="UDI21"/>
      <c r="UDM21"/>
      <c r="UDQ21"/>
      <c r="UDU21"/>
      <c r="UDY21"/>
      <c r="UEC21"/>
      <c r="UEG21"/>
      <c r="UEK21"/>
      <c r="UEO21"/>
      <c r="UES21"/>
      <c r="UEW21"/>
      <c r="UFA21"/>
      <c r="UFE21"/>
      <c r="UFI21"/>
      <c r="UFM21"/>
      <c r="UFQ21"/>
      <c r="UFU21"/>
      <c r="UFY21"/>
      <c r="UGC21"/>
      <c r="UGG21"/>
      <c r="UGK21"/>
      <c r="UGO21"/>
      <c r="UGS21"/>
      <c r="UGW21"/>
      <c r="UHA21"/>
      <c r="UHE21"/>
      <c r="UHI21"/>
      <c r="UHM21"/>
      <c r="UHQ21"/>
      <c r="UHU21"/>
      <c r="UHY21"/>
      <c r="UIC21"/>
      <c r="UIG21"/>
      <c r="UIK21"/>
      <c r="UIO21"/>
      <c r="UIS21"/>
      <c r="UIW21"/>
      <c r="UJA21"/>
      <c r="UJE21"/>
      <c r="UJI21"/>
      <c r="UJM21"/>
      <c r="UJQ21"/>
      <c r="UJU21"/>
      <c r="UJY21"/>
      <c r="UKC21"/>
      <c r="UKG21"/>
      <c r="UKK21"/>
      <c r="UKO21"/>
      <c r="UKS21"/>
      <c r="UKW21"/>
      <c r="ULA21"/>
      <c r="ULE21"/>
      <c r="ULI21"/>
      <c r="ULM21"/>
      <c r="ULQ21"/>
      <c r="ULU21"/>
      <c r="ULY21"/>
      <c r="UMC21"/>
      <c r="UMG21"/>
      <c r="UMK21"/>
      <c r="UMO21"/>
      <c r="UMS21"/>
      <c r="UMW21"/>
      <c r="UNA21"/>
      <c r="UNE21"/>
      <c r="UNI21"/>
      <c r="UNM21"/>
      <c r="UNQ21"/>
      <c r="UNU21"/>
      <c r="UNY21"/>
      <c r="UOC21"/>
      <c r="UOG21"/>
      <c r="UOK21"/>
      <c r="UOO21"/>
      <c r="UOS21"/>
      <c r="UOW21"/>
      <c r="UPA21"/>
      <c r="UPE21"/>
      <c r="UPI21"/>
      <c r="UPM21"/>
      <c r="UPQ21"/>
      <c r="UPU21"/>
      <c r="UPY21"/>
      <c r="UQC21"/>
      <c r="UQG21"/>
      <c r="UQK21"/>
      <c r="UQO21"/>
      <c r="UQS21"/>
      <c r="UQW21"/>
      <c r="URA21"/>
      <c r="URE21"/>
      <c r="URI21"/>
      <c r="URM21"/>
      <c r="URQ21"/>
      <c r="URU21"/>
      <c r="URY21"/>
      <c r="USC21"/>
      <c r="USG21"/>
      <c r="USK21"/>
      <c r="USO21"/>
      <c r="USS21"/>
      <c r="USW21"/>
      <c r="UTA21"/>
      <c r="UTE21"/>
      <c r="UTI21"/>
      <c r="UTM21"/>
      <c r="UTQ21"/>
      <c r="UTU21"/>
      <c r="UTY21"/>
      <c r="UUC21"/>
      <c r="UUG21"/>
      <c r="UUK21"/>
      <c r="UUO21"/>
      <c r="UUS21"/>
      <c r="UUW21"/>
      <c r="UVA21"/>
      <c r="UVE21"/>
      <c r="UVI21"/>
      <c r="UVM21"/>
      <c r="UVQ21"/>
      <c r="UVU21"/>
      <c r="UVY21"/>
      <c r="UWC21"/>
      <c r="UWG21"/>
      <c r="UWK21"/>
      <c r="UWO21"/>
      <c r="UWS21"/>
      <c r="UWW21"/>
      <c r="UXA21"/>
      <c r="UXE21"/>
      <c r="UXI21"/>
      <c r="UXM21"/>
      <c r="UXQ21"/>
      <c r="UXU21"/>
      <c r="UXY21"/>
      <c r="UYC21"/>
      <c r="UYG21"/>
      <c r="UYK21"/>
      <c r="UYO21"/>
      <c r="UYS21"/>
      <c r="UYW21"/>
      <c r="UZA21"/>
      <c r="UZE21"/>
      <c r="UZI21"/>
      <c r="UZM21"/>
      <c r="UZQ21"/>
      <c r="UZU21"/>
      <c r="UZY21"/>
      <c r="VAC21"/>
      <c r="VAG21"/>
      <c r="VAK21"/>
      <c r="VAO21"/>
      <c r="VAS21"/>
      <c r="VAW21"/>
      <c r="VBA21"/>
      <c r="VBE21"/>
      <c r="VBI21"/>
      <c r="VBM21"/>
      <c r="VBQ21"/>
      <c r="VBU21"/>
      <c r="VBY21"/>
      <c r="VCC21"/>
      <c r="VCG21"/>
      <c r="VCK21"/>
      <c r="VCO21"/>
      <c r="VCS21"/>
      <c r="VCW21"/>
      <c r="VDA21"/>
      <c r="VDE21"/>
      <c r="VDI21"/>
      <c r="VDM21"/>
      <c r="VDQ21"/>
      <c r="VDU21"/>
      <c r="VDY21"/>
      <c r="VEC21"/>
      <c r="VEG21"/>
      <c r="VEK21"/>
      <c r="VEO21"/>
      <c r="VES21"/>
      <c r="VEW21"/>
      <c r="VFA21"/>
      <c r="VFE21"/>
      <c r="VFI21"/>
      <c r="VFM21"/>
      <c r="VFQ21"/>
      <c r="VFU21"/>
      <c r="VFY21"/>
      <c r="VGC21"/>
      <c r="VGG21"/>
      <c r="VGK21"/>
      <c r="VGO21"/>
      <c r="VGS21"/>
      <c r="VGW21"/>
      <c r="VHA21"/>
      <c r="VHE21"/>
      <c r="VHI21"/>
      <c r="VHM21"/>
      <c r="VHQ21"/>
      <c r="VHU21"/>
      <c r="VHY21"/>
      <c r="VIC21"/>
      <c r="VIG21"/>
      <c r="VIK21"/>
      <c r="VIO21"/>
      <c r="VIS21"/>
      <c r="VIW21"/>
      <c r="VJA21"/>
      <c r="VJE21"/>
      <c r="VJI21"/>
      <c r="VJM21"/>
      <c r="VJQ21"/>
      <c r="VJU21"/>
      <c r="VJY21"/>
      <c r="VKC21"/>
      <c r="VKG21"/>
      <c r="VKK21"/>
      <c r="VKO21"/>
      <c r="VKS21"/>
      <c r="VKW21"/>
      <c r="VLA21"/>
      <c r="VLE21"/>
      <c r="VLI21"/>
      <c r="VLM21"/>
      <c r="VLQ21"/>
      <c r="VLU21"/>
      <c r="VLY21"/>
      <c r="VMC21"/>
      <c r="VMG21"/>
      <c r="VMK21"/>
      <c r="VMO21"/>
      <c r="VMS21"/>
      <c r="VMW21"/>
      <c r="VNA21"/>
      <c r="VNE21"/>
      <c r="VNI21"/>
      <c r="VNM21"/>
      <c r="VNQ21"/>
      <c r="VNU21"/>
      <c r="VNY21"/>
      <c r="VOC21"/>
      <c r="VOG21"/>
      <c r="VOK21"/>
      <c r="VOO21"/>
      <c r="VOS21"/>
      <c r="VOW21"/>
      <c r="VPA21"/>
      <c r="VPE21"/>
      <c r="VPI21"/>
      <c r="VPM21"/>
      <c r="VPQ21"/>
      <c r="VPU21"/>
      <c r="VPY21"/>
      <c r="VQC21"/>
      <c r="VQG21"/>
      <c r="VQK21"/>
      <c r="VQO21"/>
      <c r="VQS21"/>
      <c r="VQW21"/>
      <c r="VRA21"/>
      <c r="VRE21"/>
      <c r="VRI21"/>
      <c r="VRM21"/>
      <c r="VRQ21"/>
      <c r="VRU21"/>
      <c r="VRY21"/>
      <c r="VSC21"/>
      <c r="VSG21"/>
      <c r="VSK21"/>
      <c r="VSO21"/>
      <c r="VSS21"/>
      <c r="VSW21"/>
      <c r="VTA21"/>
      <c r="VTE21"/>
      <c r="VTI21"/>
      <c r="VTM21"/>
      <c r="VTQ21"/>
      <c r="VTU21"/>
      <c r="VTY21"/>
      <c r="VUC21"/>
      <c r="VUG21"/>
      <c r="VUK21"/>
      <c r="VUO21"/>
      <c r="VUS21"/>
      <c r="VUW21"/>
      <c r="VVA21"/>
      <c r="VVE21"/>
      <c r="VVI21"/>
      <c r="VVM21"/>
      <c r="VVQ21"/>
      <c r="VVU21"/>
      <c r="VVY21"/>
      <c r="VWC21"/>
      <c r="VWG21"/>
      <c r="VWK21"/>
      <c r="VWO21"/>
      <c r="VWS21"/>
      <c r="VWW21"/>
      <c r="VXA21"/>
      <c r="VXE21"/>
      <c r="VXI21"/>
      <c r="VXM21"/>
      <c r="VXQ21"/>
      <c r="VXU21"/>
      <c r="VXY21"/>
      <c r="VYC21"/>
      <c r="VYG21"/>
      <c r="VYK21"/>
      <c r="VYO21"/>
      <c r="VYS21"/>
      <c r="VYW21"/>
      <c r="VZA21"/>
      <c r="VZE21"/>
      <c r="VZI21"/>
      <c r="VZM21"/>
      <c r="VZQ21"/>
      <c r="VZU21"/>
      <c r="VZY21"/>
      <c r="WAC21"/>
      <c r="WAG21"/>
      <c r="WAK21"/>
      <c r="WAO21"/>
      <c r="WAS21"/>
      <c r="WAW21"/>
      <c r="WBA21"/>
      <c r="WBE21"/>
      <c r="WBI21"/>
      <c r="WBM21"/>
      <c r="WBQ21"/>
      <c r="WBU21"/>
      <c r="WBY21"/>
      <c r="WCC21"/>
      <c r="WCG21"/>
      <c r="WCK21"/>
      <c r="WCO21"/>
      <c r="WCS21"/>
      <c r="WCW21"/>
      <c r="WDA21"/>
      <c r="WDE21"/>
      <c r="WDI21"/>
      <c r="WDM21"/>
      <c r="WDQ21"/>
      <c r="WDU21"/>
      <c r="WDY21"/>
      <c r="WEC21"/>
      <c r="WEG21"/>
      <c r="WEK21"/>
      <c r="WEO21"/>
      <c r="WES21"/>
      <c r="WEW21"/>
      <c r="WFA21"/>
      <c r="WFE21"/>
      <c r="WFI21"/>
      <c r="WFM21"/>
      <c r="WFQ21"/>
      <c r="WFU21"/>
      <c r="WFY21"/>
      <c r="WGC21"/>
      <c r="WGG21"/>
      <c r="WGK21"/>
      <c r="WGO21"/>
      <c r="WGS21"/>
      <c r="WGW21"/>
      <c r="WHA21"/>
      <c r="WHE21"/>
      <c r="WHI21"/>
      <c r="WHM21"/>
      <c r="WHQ21"/>
      <c r="WHU21"/>
      <c r="WHY21"/>
      <c r="WIC21"/>
      <c r="WIG21"/>
      <c r="WIK21"/>
      <c r="WIO21"/>
      <c r="WIS21"/>
      <c r="WIW21"/>
      <c r="WJA21"/>
      <c r="WJE21"/>
      <c r="WJI21"/>
      <c r="WJM21"/>
      <c r="WJQ21"/>
      <c r="WJU21"/>
      <c r="WJY21"/>
      <c r="WKC21"/>
      <c r="WKG21"/>
      <c r="WKK21"/>
      <c r="WKO21"/>
      <c r="WKS21"/>
      <c r="WKW21"/>
      <c r="WLA21"/>
      <c r="WLE21"/>
      <c r="WLI21"/>
      <c r="WLM21"/>
      <c r="WLQ21"/>
      <c r="WLU21"/>
      <c r="WLY21"/>
      <c r="WMC21"/>
      <c r="WMG21"/>
      <c r="WMK21"/>
      <c r="WMO21"/>
      <c r="WMS21"/>
      <c r="WMW21"/>
      <c r="WNA21"/>
      <c r="WNE21"/>
      <c r="WNI21"/>
      <c r="WNM21"/>
      <c r="WNQ21"/>
      <c r="WNU21"/>
      <c r="WNY21"/>
      <c r="WOC21"/>
      <c r="WOG21"/>
      <c r="WOK21"/>
      <c r="WOO21"/>
      <c r="WOS21"/>
      <c r="WOW21"/>
      <c r="WPA21"/>
      <c r="WPE21"/>
      <c r="WPI21"/>
      <c r="WPM21"/>
      <c r="WPQ21"/>
      <c r="WPU21"/>
      <c r="WPY21"/>
      <c r="WQC21"/>
      <c r="WQG21"/>
      <c r="WQK21"/>
      <c r="WQO21"/>
      <c r="WQS21"/>
      <c r="WQW21"/>
      <c r="WRA21"/>
      <c r="WRE21"/>
      <c r="WRI21"/>
      <c r="WRM21"/>
      <c r="WRQ21"/>
      <c r="WRU21"/>
      <c r="WRY21"/>
      <c r="WSC21"/>
      <c r="WSG21"/>
      <c r="WSK21"/>
      <c r="WSO21"/>
      <c r="WSS21"/>
      <c r="WSW21"/>
      <c r="WTA21"/>
      <c r="WTE21"/>
      <c r="WTI21"/>
      <c r="WTM21"/>
      <c r="WTQ21"/>
      <c r="WTU21"/>
      <c r="WTY21"/>
      <c r="WUC21"/>
      <c r="WUG21"/>
      <c r="WUK21"/>
      <c r="WUO21"/>
      <c r="WUS21"/>
      <c r="WUW21"/>
      <c r="WVA21"/>
      <c r="WVE21"/>
      <c r="WVI21"/>
      <c r="WVM21"/>
      <c r="WVQ21"/>
      <c r="WVU21"/>
      <c r="WVY21"/>
      <c r="WWC21"/>
      <c r="WWG21"/>
      <c r="WWK21"/>
      <c r="WWO21"/>
      <c r="WWS21"/>
      <c r="WWW21"/>
      <c r="WXA21"/>
      <c r="WXE21"/>
      <c r="WXI21"/>
      <c r="WXM21"/>
      <c r="WXQ21"/>
      <c r="WXU21"/>
      <c r="WXY21"/>
      <c r="WYC21"/>
      <c r="WYG21"/>
      <c r="WYK21"/>
      <c r="WYO21"/>
      <c r="WYS21"/>
      <c r="WYW21"/>
      <c r="WZA21"/>
      <c r="WZE21"/>
      <c r="WZI21"/>
      <c r="WZM21"/>
      <c r="WZQ21"/>
      <c r="WZU21"/>
      <c r="WZY21"/>
      <c r="XAC21"/>
      <c r="XAG21"/>
      <c r="XAK21"/>
      <c r="XAO21"/>
      <c r="XAS21"/>
      <c r="XAW21"/>
      <c r="XBA21"/>
      <c r="XBE21"/>
      <c r="XBI21"/>
      <c r="XBM21"/>
      <c r="XBQ21"/>
      <c r="XBU21"/>
      <c r="XBY21"/>
      <c r="XCC21"/>
      <c r="XCG21"/>
      <c r="XCK21"/>
      <c r="XCO21"/>
      <c r="XCS21"/>
      <c r="XCW21"/>
      <c r="XDA21"/>
      <c r="XDE21"/>
      <c r="XDI21"/>
      <c r="XDM21"/>
      <c r="XDQ21"/>
      <c r="XDU21"/>
      <c r="XDY21"/>
      <c r="XEC21"/>
      <c r="XEG21"/>
      <c r="XEK21"/>
      <c r="XEO21"/>
      <c r="XES21"/>
      <c r="XEW21"/>
      <c r="XFA21"/>
    </row>
    <row r="22" spans="1:1021 1025:2045 2049:3069 3073:4093 4097:5117 5121:6141 6145:7165 7169:8189 8193:9213 9217:10237 10241:11261 11265:12285 12289:13309 13313:14333 14337:15357 15361:16381" s="1" customFormat="1" x14ac:dyDescent="0.35">
      <c r="A22" s="21">
        <v>1</v>
      </c>
      <c r="B22" s="21">
        <v>18</v>
      </c>
      <c r="C22" s="1" t="str">
        <f xml:space="preserve"> IF('Master Player List'!L20=1,'Master Player List'!C20,"")</f>
        <v/>
      </c>
      <c r="D22" s="1" t="str">
        <f xml:space="preserve"> IF('Master Player List'!L20=1,'Master Player List'!F20,"")</f>
        <v/>
      </c>
      <c r="E22" s="21" t="str">
        <f xml:space="preserve"> IF('Master Player List'!L20=1,'Master Player List'!I20,"")</f>
        <v/>
      </c>
      <c r="F22" s="22"/>
      <c r="I22" s="21"/>
      <c r="J22" s="22"/>
      <c r="M22"/>
      <c r="N22"/>
      <c r="Q22"/>
      <c r="U22"/>
      <c r="Y22"/>
      <c r="AC22"/>
      <c r="AG22"/>
      <c r="AK22"/>
      <c r="AO22"/>
      <c r="AS22"/>
      <c r="AW22"/>
      <c r="BA22"/>
      <c r="BE22"/>
      <c r="BI22"/>
      <c r="BM22"/>
      <c r="BQ22"/>
      <c r="BU22"/>
      <c r="BY22"/>
      <c r="CC22"/>
      <c r="CG22"/>
      <c r="CK22"/>
      <c r="CO22"/>
      <c r="CS22"/>
      <c r="CW22"/>
      <c r="DA22"/>
      <c r="DE22"/>
      <c r="DI22"/>
      <c r="DM22"/>
      <c r="DQ22"/>
      <c r="DU22"/>
      <c r="DY22"/>
      <c r="EC22"/>
      <c r="EG22"/>
      <c r="EK22"/>
      <c r="EO22"/>
      <c r="ES22"/>
      <c r="EW22"/>
      <c r="FA22"/>
      <c r="FE22"/>
      <c r="FI22"/>
      <c r="FM22"/>
      <c r="FQ22"/>
      <c r="FU22"/>
      <c r="FY22"/>
      <c r="GC22"/>
      <c r="GG22"/>
      <c r="GK22"/>
      <c r="GO22"/>
      <c r="GS22"/>
      <c r="GW22"/>
      <c r="HA22"/>
      <c r="HE22"/>
      <c r="HI22"/>
      <c r="HM22"/>
      <c r="HQ22"/>
      <c r="HU22"/>
      <c r="HY22"/>
      <c r="IC22"/>
      <c r="IG22"/>
      <c r="IK22"/>
      <c r="IO22"/>
      <c r="IS22"/>
      <c r="IW22"/>
      <c r="JA22"/>
      <c r="JE22"/>
      <c r="JI22"/>
      <c r="JM22"/>
      <c r="JQ22"/>
      <c r="JU22"/>
      <c r="JY22"/>
      <c r="KC22"/>
      <c r="KG22"/>
      <c r="KK22"/>
      <c r="KO22"/>
      <c r="KS22"/>
      <c r="KW22"/>
      <c r="LA22"/>
      <c r="LE22"/>
      <c r="LI22"/>
      <c r="LM22"/>
      <c r="LQ22"/>
      <c r="LU22"/>
      <c r="LY22"/>
      <c r="MC22"/>
      <c r="MG22"/>
      <c r="MK22"/>
      <c r="MO22"/>
      <c r="MS22"/>
      <c r="MW22"/>
      <c r="NA22"/>
      <c r="NE22"/>
      <c r="NI22"/>
      <c r="NM22"/>
      <c r="NQ22"/>
      <c r="NU22"/>
      <c r="NY22"/>
      <c r="OC22"/>
      <c r="OG22"/>
      <c r="OK22"/>
      <c r="OO22"/>
      <c r="OS22"/>
      <c r="OW22"/>
      <c r="PA22"/>
      <c r="PE22"/>
      <c r="PI22"/>
      <c r="PM22"/>
      <c r="PQ22"/>
      <c r="PU22"/>
      <c r="PY22"/>
      <c r="QC22"/>
      <c r="QG22"/>
      <c r="QK22"/>
      <c r="QO22"/>
      <c r="QS22"/>
      <c r="QW22"/>
      <c r="RA22"/>
      <c r="RE22"/>
      <c r="RI22"/>
      <c r="RM22"/>
      <c r="RQ22"/>
      <c r="RU22"/>
      <c r="RY22"/>
      <c r="SC22"/>
      <c r="SG22"/>
      <c r="SK22"/>
      <c r="SO22"/>
      <c r="SS22"/>
      <c r="SW22"/>
      <c r="TA22"/>
      <c r="TE22"/>
      <c r="TI22"/>
      <c r="TM22"/>
      <c r="TQ22"/>
      <c r="TU22"/>
      <c r="TY22"/>
      <c r="UC22"/>
      <c r="UG22"/>
      <c r="UK22"/>
      <c r="UO22"/>
      <c r="US22"/>
      <c r="UW22"/>
      <c r="VA22"/>
      <c r="VE22"/>
      <c r="VI22"/>
      <c r="VM22"/>
      <c r="VQ22"/>
      <c r="VU22"/>
      <c r="VY22"/>
      <c r="WC22"/>
      <c r="WG22"/>
      <c r="WK22"/>
      <c r="WO22"/>
      <c r="WS22"/>
      <c r="WW22"/>
      <c r="XA22"/>
      <c r="XE22"/>
      <c r="XI22"/>
      <c r="XM22"/>
      <c r="XQ22"/>
      <c r="XU22"/>
      <c r="XY22"/>
      <c r="YC22"/>
      <c r="YG22"/>
      <c r="YK22"/>
      <c r="YO22"/>
      <c r="YS22"/>
      <c r="YW22"/>
      <c r="ZA22"/>
      <c r="ZE22"/>
      <c r="ZI22"/>
      <c r="ZM22"/>
      <c r="ZQ22"/>
      <c r="ZU22"/>
      <c r="ZY22"/>
      <c r="AAC22"/>
      <c r="AAG22"/>
      <c r="AAK22"/>
      <c r="AAO22"/>
      <c r="AAS22"/>
      <c r="AAW22"/>
      <c r="ABA22"/>
      <c r="ABE22"/>
      <c r="ABI22"/>
      <c r="ABM22"/>
      <c r="ABQ22"/>
      <c r="ABU22"/>
      <c r="ABY22"/>
      <c r="ACC22"/>
      <c r="ACG22"/>
      <c r="ACK22"/>
      <c r="ACO22"/>
      <c r="ACS22"/>
      <c r="ACW22"/>
      <c r="ADA22"/>
      <c r="ADE22"/>
      <c r="ADI22"/>
      <c r="ADM22"/>
      <c r="ADQ22"/>
      <c r="ADU22"/>
      <c r="ADY22"/>
      <c r="AEC22"/>
      <c r="AEG22"/>
      <c r="AEK22"/>
      <c r="AEO22"/>
      <c r="AES22"/>
      <c r="AEW22"/>
      <c r="AFA22"/>
      <c r="AFE22"/>
      <c r="AFI22"/>
      <c r="AFM22"/>
      <c r="AFQ22"/>
      <c r="AFU22"/>
      <c r="AFY22"/>
      <c r="AGC22"/>
      <c r="AGG22"/>
      <c r="AGK22"/>
      <c r="AGO22"/>
      <c r="AGS22"/>
      <c r="AGW22"/>
      <c r="AHA22"/>
      <c r="AHE22"/>
      <c r="AHI22"/>
      <c r="AHM22"/>
      <c r="AHQ22"/>
      <c r="AHU22"/>
      <c r="AHY22"/>
      <c r="AIC22"/>
      <c r="AIG22"/>
      <c r="AIK22"/>
      <c r="AIO22"/>
      <c r="AIS22"/>
      <c r="AIW22"/>
      <c r="AJA22"/>
      <c r="AJE22"/>
      <c r="AJI22"/>
      <c r="AJM22"/>
      <c r="AJQ22"/>
      <c r="AJU22"/>
      <c r="AJY22"/>
      <c r="AKC22"/>
      <c r="AKG22"/>
      <c r="AKK22"/>
      <c r="AKO22"/>
      <c r="AKS22"/>
      <c r="AKW22"/>
      <c r="ALA22"/>
      <c r="ALE22"/>
      <c r="ALI22"/>
      <c r="ALM22"/>
      <c r="ALQ22"/>
      <c r="ALU22"/>
      <c r="ALY22"/>
      <c r="AMC22"/>
      <c r="AMG22"/>
      <c r="AMK22"/>
      <c r="AMO22"/>
      <c r="AMS22"/>
      <c r="AMW22"/>
      <c r="ANA22"/>
      <c r="ANE22"/>
      <c r="ANI22"/>
      <c r="ANM22"/>
      <c r="ANQ22"/>
      <c r="ANU22"/>
      <c r="ANY22"/>
      <c r="AOC22"/>
      <c r="AOG22"/>
      <c r="AOK22"/>
      <c r="AOO22"/>
      <c r="AOS22"/>
      <c r="AOW22"/>
      <c r="APA22"/>
      <c r="APE22"/>
      <c r="API22"/>
      <c r="APM22"/>
      <c r="APQ22"/>
      <c r="APU22"/>
      <c r="APY22"/>
      <c r="AQC22"/>
      <c r="AQG22"/>
      <c r="AQK22"/>
      <c r="AQO22"/>
      <c r="AQS22"/>
      <c r="AQW22"/>
      <c r="ARA22"/>
      <c r="ARE22"/>
      <c r="ARI22"/>
      <c r="ARM22"/>
      <c r="ARQ22"/>
      <c r="ARU22"/>
      <c r="ARY22"/>
      <c r="ASC22"/>
      <c r="ASG22"/>
      <c r="ASK22"/>
      <c r="ASO22"/>
      <c r="ASS22"/>
      <c r="ASW22"/>
      <c r="ATA22"/>
      <c r="ATE22"/>
      <c r="ATI22"/>
      <c r="ATM22"/>
      <c r="ATQ22"/>
      <c r="ATU22"/>
      <c r="ATY22"/>
      <c r="AUC22"/>
      <c r="AUG22"/>
      <c r="AUK22"/>
      <c r="AUO22"/>
      <c r="AUS22"/>
      <c r="AUW22"/>
      <c r="AVA22"/>
      <c r="AVE22"/>
      <c r="AVI22"/>
      <c r="AVM22"/>
      <c r="AVQ22"/>
      <c r="AVU22"/>
      <c r="AVY22"/>
      <c r="AWC22"/>
      <c r="AWG22"/>
      <c r="AWK22"/>
      <c r="AWO22"/>
      <c r="AWS22"/>
      <c r="AWW22"/>
      <c r="AXA22"/>
      <c r="AXE22"/>
      <c r="AXI22"/>
      <c r="AXM22"/>
      <c r="AXQ22"/>
      <c r="AXU22"/>
      <c r="AXY22"/>
      <c r="AYC22"/>
      <c r="AYG22"/>
      <c r="AYK22"/>
      <c r="AYO22"/>
      <c r="AYS22"/>
      <c r="AYW22"/>
      <c r="AZA22"/>
      <c r="AZE22"/>
      <c r="AZI22"/>
      <c r="AZM22"/>
      <c r="AZQ22"/>
      <c r="AZU22"/>
      <c r="AZY22"/>
      <c r="BAC22"/>
      <c r="BAG22"/>
      <c r="BAK22"/>
      <c r="BAO22"/>
      <c r="BAS22"/>
      <c r="BAW22"/>
      <c r="BBA22"/>
      <c r="BBE22"/>
      <c r="BBI22"/>
      <c r="BBM22"/>
      <c r="BBQ22"/>
      <c r="BBU22"/>
      <c r="BBY22"/>
      <c r="BCC22"/>
      <c r="BCG22"/>
      <c r="BCK22"/>
      <c r="BCO22"/>
      <c r="BCS22"/>
      <c r="BCW22"/>
      <c r="BDA22"/>
      <c r="BDE22"/>
      <c r="BDI22"/>
      <c r="BDM22"/>
      <c r="BDQ22"/>
      <c r="BDU22"/>
      <c r="BDY22"/>
      <c r="BEC22"/>
      <c r="BEG22"/>
      <c r="BEK22"/>
      <c r="BEO22"/>
      <c r="BES22"/>
      <c r="BEW22"/>
      <c r="BFA22"/>
      <c r="BFE22"/>
      <c r="BFI22"/>
      <c r="BFM22"/>
      <c r="BFQ22"/>
      <c r="BFU22"/>
      <c r="BFY22"/>
      <c r="BGC22"/>
      <c r="BGG22"/>
      <c r="BGK22"/>
      <c r="BGO22"/>
      <c r="BGS22"/>
      <c r="BGW22"/>
      <c r="BHA22"/>
      <c r="BHE22"/>
      <c r="BHI22"/>
      <c r="BHM22"/>
      <c r="BHQ22"/>
      <c r="BHU22"/>
      <c r="BHY22"/>
      <c r="BIC22"/>
      <c r="BIG22"/>
      <c r="BIK22"/>
      <c r="BIO22"/>
      <c r="BIS22"/>
      <c r="BIW22"/>
      <c r="BJA22"/>
      <c r="BJE22"/>
      <c r="BJI22"/>
      <c r="BJM22"/>
      <c r="BJQ22"/>
      <c r="BJU22"/>
      <c r="BJY22"/>
      <c r="BKC22"/>
      <c r="BKG22"/>
      <c r="BKK22"/>
      <c r="BKO22"/>
      <c r="BKS22"/>
      <c r="BKW22"/>
      <c r="BLA22"/>
      <c r="BLE22"/>
      <c r="BLI22"/>
      <c r="BLM22"/>
      <c r="BLQ22"/>
      <c r="BLU22"/>
      <c r="BLY22"/>
      <c r="BMC22"/>
      <c r="BMG22"/>
      <c r="BMK22"/>
      <c r="BMO22"/>
      <c r="BMS22"/>
      <c r="BMW22"/>
      <c r="BNA22"/>
      <c r="BNE22"/>
      <c r="BNI22"/>
      <c r="BNM22"/>
      <c r="BNQ22"/>
      <c r="BNU22"/>
      <c r="BNY22"/>
      <c r="BOC22"/>
      <c r="BOG22"/>
      <c r="BOK22"/>
      <c r="BOO22"/>
      <c r="BOS22"/>
      <c r="BOW22"/>
      <c r="BPA22"/>
      <c r="BPE22"/>
      <c r="BPI22"/>
      <c r="BPM22"/>
      <c r="BPQ22"/>
      <c r="BPU22"/>
      <c r="BPY22"/>
      <c r="BQC22"/>
      <c r="BQG22"/>
      <c r="BQK22"/>
      <c r="BQO22"/>
      <c r="BQS22"/>
      <c r="BQW22"/>
      <c r="BRA22"/>
      <c r="BRE22"/>
      <c r="BRI22"/>
      <c r="BRM22"/>
      <c r="BRQ22"/>
      <c r="BRU22"/>
      <c r="BRY22"/>
      <c r="BSC22"/>
      <c r="BSG22"/>
      <c r="BSK22"/>
      <c r="BSO22"/>
      <c r="BSS22"/>
      <c r="BSW22"/>
      <c r="BTA22"/>
      <c r="BTE22"/>
      <c r="BTI22"/>
      <c r="BTM22"/>
      <c r="BTQ22"/>
      <c r="BTU22"/>
      <c r="BTY22"/>
      <c r="BUC22"/>
      <c r="BUG22"/>
      <c r="BUK22"/>
      <c r="BUO22"/>
      <c r="BUS22"/>
      <c r="BUW22"/>
      <c r="BVA22"/>
      <c r="BVE22"/>
      <c r="BVI22"/>
      <c r="BVM22"/>
      <c r="BVQ22"/>
      <c r="BVU22"/>
      <c r="BVY22"/>
      <c r="BWC22"/>
      <c r="BWG22"/>
      <c r="BWK22"/>
      <c r="BWO22"/>
      <c r="BWS22"/>
      <c r="BWW22"/>
      <c r="BXA22"/>
      <c r="BXE22"/>
      <c r="BXI22"/>
      <c r="BXM22"/>
      <c r="BXQ22"/>
      <c r="BXU22"/>
      <c r="BXY22"/>
      <c r="BYC22"/>
      <c r="BYG22"/>
      <c r="BYK22"/>
      <c r="BYO22"/>
      <c r="BYS22"/>
      <c r="BYW22"/>
      <c r="BZA22"/>
      <c r="BZE22"/>
      <c r="BZI22"/>
      <c r="BZM22"/>
      <c r="BZQ22"/>
      <c r="BZU22"/>
      <c r="BZY22"/>
      <c r="CAC22"/>
      <c r="CAG22"/>
      <c r="CAK22"/>
      <c r="CAO22"/>
      <c r="CAS22"/>
      <c r="CAW22"/>
      <c r="CBA22"/>
      <c r="CBE22"/>
      <c r="CBI22"/>
      <c r="CBM22"/>
      <c r="CBQ22"/>
      <c r="CBU22"/>
      <c r="CBY22"/>
      <c r="CCC22"/>
      <c r="CCG22"/>
      <c r="CCK22"/>
      <c r="CCO22"/>
      <c r="CCS22"/>
      <c r="CCW22"/>
      <c r="CDA22"/>
      <c r="CDE22"/>
      <c r="CDI22"/>
      <c r="CDM22"/>
      <c r="CDQ22"/>
      <c r="CDU22"/>
      <c r="CDY22"/>
      <c r="CEC22"/>
      <c r="CEG22"/>
      <c r="CEK22"/>
      <c r="CEO22"/>
      <c r="CES22"/>
      <c r="CEW22"/>
      <c r="CFA22"/>
      <c r="CFE22"/>
      <c r="CFI22"/>
      <c r="CFM22"/>
      <c r="CFQ22"/>
      <c r="CFU22"/>
      <c r="CFY22"/>
      <c r="CGC22"/>
      <c r="CGG22"/>
      <c r="CGK22"/>
      <c r="CGO22"/>
      <c r="CGS22"/>
      <c r="CGW22"/>
      <c r="CHA22"/>
      <c r="CHE22"/>
      <c r="CHI22"/>
      <c r="CHM22"/>
      <c r="CHQ22"/>
      <c r="CHU22"/>
      <c r="CHY22"/>
      <c r="CIC22"/>
      <c r="CIG22"/>
      <c r="CIK22"/>
      <c r="CIO22"/>
      <c r="CIS22"/>
      <c r="CIW22"/>
      <c r="CJA22"/>
      <c r="CJE22"/>
      <c r="CJI22"/>
      <c r="CJM22"/>
      <c r="CJQ22"/>
      <c r="CJU22"/>
      <c r="CJY22"/>
      <c r="CKC22"/>
      <c r="CKG22"/>
      <c r="CKK22"/>
      <c r="CKO22"/>
      <c r="CKS22"/>
      <c r="CKW22"/>
      <c r="CLA22"/>
      <c r="CLE22"/>
      <c r="CLI22"/>
      <c r="CLM22"/>
      <c r="CLQ22"/>
      <c r="CLU22"/>
      <c r="CLY22"/>
      <c r="CMC22"/>
      <c r="CMG22"/>
      <c r="CMK22"/>
      <c r="CMO22"/>
      <c r="CMS22"/>
      <c r="CMW22"/>
      <c r="CNA22"/>
      <c r="CNE22"/>
      <c r="CNI22"/>
      <c r="CNM22"/>
      <c r="CNQ22"/>
      <c r="CNU22"/>
      <c r="CNY22"/>
      <c r="COC22"/>
      <c r="COG22"/>
      <c r="COK22"/>
      <c r="COO22"/>
      <c r="COS22"/>
      <c r="COW22"/>
      <c r="CPA22"/>
      <c r="CPE22"/>
      <c r="CPI22"/>
      <c r="CPM22"/>
      <c r="CPQ22"/>
      <c r="CPU22"/>
      <c r="CPY22"/>
      <c r="CQC22"/>
      <c r="CQG22"/>
      <c r="CQK22"/>
      <c r="CQO22"/>
      <c r="CQS22"/>
      <c r="CQW22"/>
      <c r="CRA22"/>
      <c r="CRE22"/>
      <c r="CRI22"/>
      <c r="CRM22"/>
      <c r="CRQ22"/>
      <c r="CRU22"/>
      <c r="CRY22"/>
      <c r="CSC22"/>
      <c r="CSG22"/>
      <c r="CSK22"/>
      <c r="CSO22"/>
      <c r="CSS22"/>
      <c r="CSW22"/>
      <c r="CTA22"/>
      <c r="CTE22"/>
      <c r="CTI22"/>
      <c r="CTM22"/>
      <c r="CTQ22"/>
      <c r="CTU22"/>
      <c r="CTY22"/>
      <c r="CUC22"/>
      <c r="CUG22"/>
      <c r="CUK22"/>
      <c r="CUO22"/>
      <c r="CUS22"/>
      <c r="CUW22"/>
      <c r="CVA22"/>
      <c r="CVE22"/>
      <c r="CVI22"/>
      <c r="CVM22"/>
      <c r="CVQ22"/>
      <c r="CVU22"/>
      <c r="CVY22"/>
      <c r="CWC22"/>
      <c r="CWG22"/>
      <c r="CWK22"/>
      <c r="CWO22"/>
      <c r="CWS22"/>
      <c r="CWW22"/>
      <c r="CXA22"/>
      <c r="CXE22"/>
      <c r="CXI22"/>
      <c r="CXM22"/>
      <c r="CXQ22"/>
      <c r="CXU22"/>
      <c r="CXY22"/>
      <c r="CYC22"/>
      <c r="CYG22"/>
      <c r="CYK22"/>
      <c r="CYO22"/>
      <c r="CYS22"/>
      <c r="CYW22"/>
      <c r="CZA22"/>
      <c r="CZE22"/>
      <c r="CZI22"/>
      <c r="CZM22"/>
      <c r="CZQ22"/>
      <c r="CZU22"/>
      <c r="CZY22"/>
      <c r="DAC22"/>
      <c r="DAG22"/>
      <c r="DAK22"/>
      <c r="DAO22"/>
      <c r="DAS22"/>
      <c r="DAW22"/>
      <c r="DBA22"/>
      <c r="DBE22"/>
      <c r="DBI22"/>
      <c r="DBM22"/>
      <c r="DBQ22"/>
      <c r="DBU22"/>
      <c r="DBY22"/>
      <c r="DCC22"/>
      <c r="DCG22"/>
      <c r="DCK22"/>
      <c r="DCO22"/>
      <c r="DCS22"/>
      <c r="DCW22"/>
      <c r="DDA22"/>
      <c r="DDE22"/>
      <c r="DDI22"/>
      <c r="DDM22"/>
      <c r="DDQ22"/>
      <c r="DDU22"/>
      <c r="DDY22"/>
      <c r="DEC22"/>
      <c r="DEG22"/>
      <c r="DEK22"/>
      <c r="DEO22"/>
      <c r="DES22"/>
      <c r="DEW22"/>
      <c r="DFA22"/>
      <c r="DFE22"/>
      <c r="DFI22"/>
      <c r="DFM22"/>
      <c r="DFQ22"/>
      <c r="DFU22"/>
      <c r="DFY22"/>
      <c r="DGC22"/>
      <c r="DGG22"/>
      <c r="DGK22"/>
      <c r="DGO22"/>
      <c r="DGS22"/>
      <c r="DGW22"/>
      <c r="DHA22"/>
      <c r="DHE22"/>
      <c r="DHI22"/>
      <c r="DHM22"/>
      <c r="DHQ22"/>
      <c r="DHU22"/>
      <c r="DHY22"/>
      <c r="DIC22"/>
      <c r="DIG22"/>
      <c r="DIK22"/>
      <c r="DIO22"/>
      <c r="DIS22"/>
      <c r="DIW22"/>
      <c r="DJA22"/>
      <c r="DJE22"/>
      <c r="DJI22"/>
      <c r="DJM22"/>
      <c r="DJQ22"/>
      <c r="DJU22"/>
      <c r="DJY22"/>
      <c r="DKC22"/>
      <c r="DKG22"/>
      <c r="DKK22"/>
      <c r="DKO22"/>
      <c r="DKS22"/>
      <c r="DKW22"/>
      <c r="DLA22"/>
      <c r="DLE22"/>
      <c r="DLI22"/>
      <c r="DLM22"/>
      <c r="DLQ22"/>
      <c r="DLU22"/>
      <c r="DLY22"/>
      <c r="DMC22"/>
      <c r="DMG22"/>
      <c r="DMK22"/>
      <c r="DMO22"/>
      <c r="DMS22"/>
      <c r="DMW22"/>
      <c r="DNA22"/>
      <c r="DNE22"/>
      <c r="DNI22"/>
      <c r="DNM22"/>
      <c r="DNQ22"/>
      <c r="DNU22"/>
      <c r="DNY22"/>
      <c r="DOC22"/>
      <c r="DOG22"/>
      <c r="DOK22"/>
      <c r="DOO22"/>
      <c r="DOS22"/>
      <c r="DOW22"/>
      <c r="DPA22"/>
      <c r="DPE22"/>
      <c r="DPI22"/>
      <c r="DPM22"/>
      <c r="DPQ22"/>
      <c r="DPU22"/>
      <c r="DPY22"/>
      <c r="DQC22"/>
      <c r="DQG22"/>
      <c r="DQK22"/>
      <c r="DQO22"/>
      <c r="DQS22"/>
      <c r="DQW22"/>
      <c r="DRA22"/>
      <c r="DRE22"/>
      <c r="DRI22"/>
      <c r="DRM22"/>
      <c r="DRQ22"/>
      <c r="DRU22"/>
      <c r="DRY22"/>
      <c r="DSC22"/>
      <c r="DSG22"/>
      <c r="DSK22"/>
      <c r="DSO22"/>
      <c r="DSS22"/>
      <c r="DSW22"/>
      <c r="DTA22"/>
      <c r="DTE22"/>
      <c r="DTI22"/>
      <c r="DTM22"/>
      <c r="DTQ22"/>
      <c r="DTU22"/>
      <c r="DTY22"/>
      <c r="DUC22"/>
      <c r="DUG22"/>
      <c r="DUK22"/>
      <c r="DUO22"/>
      <c r="DUS22"/>
      <c r="DUW22"/>
      <c r="DVA22"/>
      <c r="DVE22"/>
      <c r="DVI22"/>
      <c r="DVM22"/>
      <c r="DVQ22"/>
      <c r="DVU22"/>
      <c r="DVY22"/>
      <c r="DWC22"/>
      <c r="DWG22"/>
      <c r="DWK22"/>
      <c r="DWO22"/>
      <c r="DWS22"/>
      <c r="DWW22"/>
      <c r="DXA22"/>
      <c r="DXE22"/>
      <c r="DXI22"/>
      <c r="DXM22"/>
      <c r="DXQ22"/>
      <c r="DXU22"/>
      <c r="DXY22"/>
      <c r="DYC22"/>
      <c r="DYG22"/>
      <c r="DYK22"/>
      <c r="DYO22"/>
      <c r="DYS22"/>
      <c r="DYW22"/>
      <c r="DZA22"/>
      <c r="DZE22"/>
      <c r="DZI22"/>
      <c r="DZM22"/>
      <c r="DZQ22"/>
      <c r="DZU22"/>
      <c r="DZY22"/>
      <c r="EAC22"/>
      <c r="EAG22"/>
      <c r="EAK22"/>
      <c r="EAO22"/>
      <c r="EAS22"/>
      <c r="EAW22"/>
      <c r="EBA22"/>
      <c r="EBE22"/>
      <c r="EBI22"/>
      <c r="EBM22"/>
      <c r="EBQ22"/>
      <c r="EBU22"/>
      <c r="EBY22"/>
      <c r="ECC22"/>
      <c r="ECG22"/>
      <c r="ECK22"/>
      <c r="ECO22"/>
      <c r="ECS22"/>
      <c r="ECW22"/>
      <c r="EDA22"/>
      <c r="EDE22"/>
      <c r="EDI22"/>
      <c r="EDM22"/>
      <c r="EDQ22"/>
      <c r="EDU22"/>
      <c r="EDY22"/>
      <c r="EEC22"/>
      <c r="EEG22"/>
      <c r="EEK22"/>
      <c r="EEO22"/>
      <c r="EES22"/>
      <c r="EEW22"/>
      <c r="EFA22"/>
      <c r="EFE22"/>
      <c r="EFI22"/>
      <c r="EFM22"/>
      <c r="EFQ22"/>
      <c r="EFU22"/>
      <c r="EFY22"/>
      <c r="EGC22"/>
      <c r="EGG22"/>
      <c r="EGK22"/>
      <c r="EGO22"/>
      <c r="EGS22"/>
      <c r="EGW22"/>
      <c r="EHA22"/>
      <c r="EHE22"/>
      <c r="EHI22"/>
      <c r="EHM22"/>
      <c r="EHQ22"/>
      <c r="EHU22"/>
      <c r="EHY22"/>
      <c r="EIC22"/>
      <c r="EIG22"/>
      <c r="EIK22"/>
      <c r="EIO22"/>
      <c r="EIS22"/>
      <c r="EIW22"/>
      <c r="EJA22"/>
      <c r="EJE22"/>
      <c r="EJI22"/>
      <c r="EJM22"/>
      <c r="EJQ22"/>
      <c r="EJU22"/>
      <c r="EJY22"/>
      <c r="EKC22"/>
      <c r="EKG22"/>
      <c r="EKK22"/>
      <c r="EKO22"/>
      <c r="EKS22"/>
      <c r="EKW22"/>
      <c r="ELA22"/>
      <c r="ELE22"/>
      <c r="ELI22"/>
      <c r="ELM22"/>
      <c r="ELQ22"/>
      <c r="ELU22"/>
      <c r="ELY22"/>
      <c r="EMC22"/>
      <c r="EMG22"/>
      <c r="EMK22"/>
      <c r="EMO22"/>
      <c r="EMS22"/>
      <c r="EMW22"/>
      <c r="ENA22"/>
      <c r="ENE22"/>
      <c r="ENI22"/>
      <c r="ENM22"/>
      <c r="ENQ22"/>
      <c r="ENU22"/>
      <c r="ENY22"/>
      <c r="EOC22"/>
      <c r="EOG22"/>
      <c r="EOK22"/>
      <c r="EOO22"/>
      <c r="EOS22"/>
      <c r="EOW22"/>
      <c r="EPA22"/>
      <c r="EPE22"/>
      <c r="EPI22"/>
      <c r="EPM22"/>
      <c r="EPQ22"/>
      <c r="EPU22"/>
      <c r="EPY22"/>
      <c r="EQC22"/>
      <c r="EQG22"/>
      <c r="EQK22"/>
      <c r="EQO22"/>
      <c r="EQS22"/>
      <c r="EQW22"/>
      <c r="ERA22"/>
      <c r="ERE22"/>
      <c r="ERI22"/>
      <c r="ERM22"/>
      <c r="ERQ22"/>
      <c r="ERU22"/>
      <c r="ERY22"/>
      <c r="ESC22"/>
      <c r="ESG22"/>
      <c r="ESK22"/>
      <c r="ESO22"/>
      <c r="ESS22"/>
      <c r="ESW22"/>
      <c r="ETA22"/>
      <c r="ETE22"/>
      <c r="ETI22"/>
      <c r="ETM22"/>
      <c r="ETQ22"/>
      <c r="ETU22"/>
      <c r="ETY22"/>
      <c r="EUC22"/>
      <c r="EUG22"/>
      <c r="EUK22"/>
      <c r="EUO22"/>
      <c r="EUS22"/>
      <c r="EUW22"/>
      <c r="EVA22"/>
      <c r="EVE22"/>
      <c r="EVI22"/>
      <c r="EVM22"/>
      <c r="EVQ22"/>
      <c r="EVU22"/>
      <c r="EVY22"/>
      <c r="EWC22"/>
      <c r="EWG22"/>
      <c r="EWK22"/>
      <c r="EWO22"/>
      <c r="EWS22"/>
      <c r="EWW22"/>
      <c r="EXA22"/>
      <c r="EXE22"/>
      <c r="EXI22"/>
      <c r="EXM22"/>
      <c r="EXQ22"/>
      <c r="EXU22"/>
      <c r="EXY22"/>
      <c r="EYC22"/>
      <c r="EYG22"/>
      <c r="EYK22"/>
      <c r="EYO22"/>
      <c r="EYS22"/>
      <c r="EYW22"/>
      <c r="EZA22"/>
      <c r="EZE22"/>
      <c r="EZI22"/>
      <c r="EZM22"/>
      <c r="EZQ22"/>
      <c r="EZU22"/>
      <c r="EZY22"/>
      <c r="FAC22"/>
      <c r="FAG22"/>
      <c r="FAK22"/>
      <c r="FAO22"/>
      <c r="FAS22"/>
      <c r="FAW22"/>
      <c r="FBA22"/>
      <c r="FBE22"/>
      <c r="FBI22"/>
      <c r="FBM22"/>
      <c r="FBQ22"/>
      <c r="FBU22"/>
      <c r="FBY22"/>
      <c r="FCC22"/>
      <c r="FCG22"/>
      <c r="FCK22"/>
      <c r="FCO22"/>
      <c r="FCS22"/>
      <c r="FCW22"/>
      <c r="FDA22"/>
      <c r="FDE22"/>
      <c r="FDI22"/>
      <c r="FDM22"/>
      <c r="FDQ22"/>
      <c r="FDU22"/>
      <c r="FDY22"/>
      <c r="FEC22"/>
      <c r="FEG22"/>
      <c r="FEK22"/>
      <c r="FEO22"/>
      <c r="FES22"/>
      <c r="FEW22"/>
      <c r="FFA22"/>
      <c r="FFE22"/>
      <c r="FFI22"/>
      <c r="FFM22"/>
      <c r="FFQ22"/>
      <c r="FFU22"/>
      <c r="FFY22"/>
      <c r="FGC22"/>
      <c r="FGG22"/>
      <c r="FGK22"/>
      <c r="FGO22"/>
      <c r="FGS22"/>
      <c r="FGW22"/>
      <c r="FHA22"/>
      <c r="FHE22"/>
      <c r="FHI22"/>
      <c r="FHM22"/>
      <c r="FHQ22"/>
      <c r="FHU22"/>
      <c r="FHY22"/>
      <c r="FIC22"/>
      <c r="FIG22"/>
      <c r="FIK22"/>
      <c r="FIO22"/>
      <c r="FIS22"/>
      <c r="FIW22"/>
      <c r="FJA22"/>
      <c r="FJE22"/>
      <c r="FJI22"/>
      <c r="FJM22"/>
      <c r="FJQ22"/>
      <c r="FJU22"/>
      <c r="FJY22"/>
      <c r="FKC22"/>
      <c r="FKG22"/>
      <c r="FKK22"/>
      <c r="FKO22"/>
      <c r="FKS22"/>
      <c r="FKW22"/>
      <c r="FLA22"/>
      <c r="FLE22"/>
      <c r="FLI22"/>
      <c r="FLM22"/>
      <c r="FLQ22"/>
      <c r="FLU22"/>
      <c r="FLY22"/>
      <c r="FMC22"/>
      <c r="FMG22"/>
      <c r="FMK22"/>
      <c r="FMO22"/>
      <c r="FMS22"/>
      <c r="FMW22"/>
      <c r="FNA22"/>
      <c r="FNE22"/>
      <c r="FNI22"/>
      <c r="FNM22"/>
      <c r="FNQ22"/>
      <c r="FNU22"/>
      <c r="FNY22"/>
      <c r="FOC22"/>
      <c r="FOG22"/>
      <c r="FOK22"/>
      <c r="FOO22"/>
      <c r="FOS22"/>
      <c r="FOW22"/>
      <c r="FPA22"/>
      <c r="FPE22"/>
      <c r="FPI22"/>
      <c r="FPM22"/>
      <c r="FPQ22"/>
      <c r="FPU22"/>
      <c r="FPY22"/>
      <c r="FQC22"/>
      <c r="FQG22"/>
      <c r="FQK22"/>
      <c r="FQO22"/>
      <c r="FQS22"/>
      <c r="FQW22"/>
      <c r="FRA22"/>
      <c r="FRE22"/>
      <c r="FRI22"/>
      <c r="FRM22"/>
      <c r="FRQ22"/>
      <c r="FRU22"/>
      <c r="FRY22"/>
      <c r="FSC22"/>
      <c r="FSG22"/>
      <c r="FSK22"/>
      <c r="FSO22"/>
      <c r="FSS22"/>
      <c r="FSW22"/>
      <c r="FTA22"/>
      <c r="FTE22"/>
      <c r="FTI22"/>
      <c r="FTM22"/>
      <c r="FTQ22"/>
      <c r="FTU22"/>
      <c r="FTY22"/>
      <c r="FUC22"/>
      <c r="FUG22"/>
      <c r="FUK22"/>
      <c r="FUO22"/>
      <c r="FUS22"/>
      <c r="FUW22"/>
      <c r="FVA22"/>
      <c r="FVE22"/>
      <c r="FVI22"/>
      <c r="FVM22"/>
      <c r="FVQ22"/>
      <c r="FVU22"/>
      <c r="FVY22"/>
      <c r="FWC22"/>
      <c r="FWG22"/>
      <c r="FWK22"/>
      <c r="FWO22"/>
      <c r="FWS22"/>
      <c r="FWW22"/>
      <c r="FXA22"/>
      <c r="FXE22"/>
      <c r="FXI22"/>
      <c r="FXM22"/>
      <c r="FXQ22"/>
      <c r="FXU22"/>
      <c r="FXY22"/>
      <c r="FYC22"/>
      <c r="FYG22"/>
      <c r="FYK22"/>
      <c r="FYO22"/>
      <c r="FYS22"/>
      <c r="FYW22"/>
      <c r="FZA22"/>
      <c r="FZE22"/>
      <c r="FZI22"/>
      <c r="FZM22"/>
      <c r="FZQ22"/>
      <c r="FZU22"/>
      <c r="FZY22"/>
      <c r="GAC22"/>
      <c r="GAG22"/>
      <c r="GAK22"/>
      <c r="GAO22"/>
      <c r="GAS22"/>
      <c r="GAW22"/>
      <c r="GBA22"/>
      <c r="GBE22"/>
      <c r="GBI22"/>
      <c r="GBM22"/>
      <c r="GBQ22"/>
      <c r="GBU22"/>
      <c r="GBY22"/>
      <c r="GCC22"/>
      <c r="GCG22"/>
      <c r="GCK22"/>
      <c r="GCO22"/>
      <c r="GCS22"/>
      <c r="GCW22"/>
      <c r="GDA22"/>
      <c r="GDE22"/>
      <c r="GDI22"/>
      <c r="GDM22"/>
      <c r="GDQ22"/>
      <c r="GDU22"/>
      <c r="GDY22"/>
      <c r="GEC22"/>
      <c r="GEG22"/>
      <c r="GEK22"/>
      <c r="GEO22"/>
      <c r="GES22"/>
      <c r="GEW22"/>
      <c r="GFA22"/>
      <c r="GFE22"/>
      <c r="GFI22"/>
      <c r="GFM22"/>
      <c r="GFQ22"/>
      <c r="GFU22"/>
      <c r="GFY22"/>
      <c r="GGC22"/>
      <c r="GGG22"/>
      <c r="GGK22"/>
      <c r="GGO22"/>
      <c r="GGS22"/>
      <c r="GGW22"/>
      <c r="GHA22"/>
      <c r="GHE22"/>
      <c r="GHI22"/>
      <c r="GHM22"/>
      <c r="GHQ22"/>
      <c r="GHU22"/>
      <c r="GHY22"/>
      <c r="GIC22"/>
      <c r="GIG22"/>
      <c r="GIK22"/>
      <c r="GIO22"/>
      <c r="GIS22"/>
      <c r="GIW22"/>
      <c r="GJA22"/>
      <c r="GJE22"/>
      <c r="GJI22"/>
      <c r="GJM22"/>
      <c r="GJQ22"/>
      <c r="GJU22"/>
      <c r="GJY22"/>
      <c r="GKC22"/>
      <c r="GKG22"/>
      <c r="GKK22"/>
      <c r="GKO22"/>
      <c r="GKS22"/>
      <c r="GKW22"/>
      <c r="GLA22"/>
      <c r="GLE22"/>
      <c r="GLI22"/>
      <c r="GLM22"/>
      <c r="GLQ22"/>
      <c r="GLU22"/>
      <c r="GLY22"/>
      <c r="GMC22"/>
      <c r="GMG22"/>
      <c r="GMK22"/>
      <c r="GMO22"/>
      <c r="GMS22"/>
      <c r="GMW22"/>
      <c r="GNA22"/>
      <c r="GNE22"/>
      <c r="GNI22"/>
      <c r="GNM22"/>
      <c r="GNQ22"/>
      <c r="GNU22"/>
      <c r="GNY22"/>
      <c r="GOC22"/>
      <c r="GOG22"/>
      <c r="GOK22"/>
      <c r="GOO22"/>
      <c r="GOS22"/>
      <c r="GOW22"/>
      <c r="GPA22"/>
      <c r="GPE22"/>
      <c r="GPI22"/>
      <c r="GPM22"/>
      <c r="GPQ22"/>
      <c r="GPU22"/>
      <c r="GPY22"/>
      <c r="GQC22"/>
      <c r="GQG22"/>
      <c r="GQK22"/>
      <c r="GQO22"/>
      <c r="GQS22"/>
      <c r="GQW22"/>
      <c r="GRA22"/>
      <c r="GRE22"/>
      <c r="GRI22"/>
      <c r="GRM22"/>
      <c r="GRQ22"/>
      <c r="GRU22"/>
      <c r="GRY22"/>
      <c r="GSC22"/>
      <c r="GSG22"/>
      <c r="GSK22"/>
      <c r="GSO22"/>
      <c r="GSS22"/>
      <c r="GSW22"/>
      <c r="GTA22"/>
      <c r="GTE22"/>
      <c r="GTI22"/>
      <c r="GTM22"/>
      <c r="GTQ22"/>
      <c r="GTU22"/>
      <c r="GTY22"/>
      <c r="GUC22"/>
      <c r="GUG22"/>
      <c r="GUK22"/>
      <c r="GUO22"/>
      <c r="GUS22"/>
      <c r="GUW22"/>
      <c r="GVA22"/>
      <c r="GVE22"/>
      <c r="GVI22"/>
      <c r="GVM22"/>
      <c r="GVQ22"/>
      <c r="GVU22"/>
      <c r="GVY22"/>
      <c r="GWC22"/>
      <c r="GWG22"/>
      <c r="GWK22"/>
      <c r="GWO22"/>
      <c r="GWS22"/>
      <c r="GWW22"/>
      <c r="GXA22"/>
      <c r="GXE22"/>
      <c r="GXI22"/>
      <c r="GXM22"/>
      <c r="GXQ22"/>
      <c r="GXU22"/>
      <c r="GXY22"/>
      <c r="GYC22"/>
      <c r="GYG22"/>
      <c r="GYK22"/>
      <c r="GYO22"/>
      <c r="GYS22"/>
      <c r="GYW22"/>
      <c r="GZA22"/>
      <c r="GZE22"/>
      <c r="GZI22"/>
      <c r="GZM22"/>
      <c r="GZQ22"/>
      <c r="GZU22"/>
      <c r="GZY22"/>
      <c r="HAC22"/>
      <c r="HAG22"/>
      <c r="HAK22"/>
      <c r="HAO22"/>
      <c r="HAS22"/>
      <c r="HAW22"/>
      <c r="HBA22"/>
      <c r="HBE22"/>
      <c r="HBI22"/>
      <c r="HBM22"/>
      <c r="HBQ22"/>
      <c r="HBU22"/>
      <c r="HBY22"/>
      <c r="HCC22"/>
      <c r="HCG22"/>
      <c r="HCK22"/>
      <c r="HCO22"/>
      <c r="HCS22"/>
      <c r="HCW22"/>
      <c r="HDA22"/>
      <c r="HDE22"/>
      <c r="HDI22"/>
      <c r="HDM22"/>
      <c r="HDQ22"/>
      <c r="HDU22"/>
      <c r="HDY22"/>
      <c r="HEC22"/>
      <c r="HEG22"/>
      <c r="HEK22"/>
      <c r="HEO22"/>
      <c r="HES22"/>
      <c r="HEW22"/>
      <c r="HFA22"/>
      <c r="HFE22"/>
      <c r="HFI22"/>
      <c r="HFM22"/>
      <c r="HFQ22"/>
      <c r="HFU22"/>
      <c r="HFY22"/>
      <c r="HGC22"/>
      <c r="HGG22"/>
      <c r="HGK22"/>
      <c r="HGO22"/>
      <c r="HGS22"/>
      <c r="HGW22"/>
      <c r="HHA22"/>
      <c r="HHE22"/>
      <c r="HHI22"/>
      <c r="HHM22"/>
      <c r="HHQ22"/>
      <c r="HHU22"/>
      <c r="HHY22"/>
      <c r="HIC22"/>
      <c r="HIG22"/>
      <c r="HIK22"/>
      <c r="HIO22"/>
      <c r="HIS22"/>
      <c r="HIW22"/>
      <c r="HJA22"/>
      <c r="HJE22"/>
      <c r="HJI22"/>
      <c r="HJM22"/>
      <c r="HJQ22"/>
      <c r="HJU22"/>
      <c r="HJY22"/>
      <c r="HKC22"/>
      <c r="HKG22"/>
      <c r="HKK22"/>
      <c r="HKO22"/>
      <c r="HKS22"/>
      <c r="HKW22"/>
      <c r="HLA22"/>
      <c r="HLE22"/>
      <c r="HLI22"/>
      <c r="HLM22"/>
      <c r="HLQ22"/>
      <c r="HLU22"/>
      <c r="HLY22"/>
      <c r="HMC22"/>
      <c r="HMG22"/>
      <c r="HMK22"/>
      <c r="HMO22"/>
      <c r="HMS22"/>
      <c r="HMW22"/>
      <c r="HNA22"/>
      <c r="HNE22"/>
      <c r="HNI22"/>
      <c r="HNM22"/>
      <c r="HNQ22"/>
      <c r="HNU22"/>
      <c r="HNY22"/>
      <c r="HOC22"/>
      <c r="HOG22"/>
      <c r="HOK22"/>
      <c r="HOO22"/>
      <c r="HOS22"/>
      <c r="HOW22"/>
      <c r="HPA22"/>
      <c r="HPE22"/>
      <c r="HPI22"/>
      <c r="HPM22"/>
      <c r="HPQ22"/>
      <c r="HPU22"/>
      <c r="HPY22"/>
      <c r="HQC22"/>
      <c r="HQG22"/>
      <c r="HQK22"/>
      <c r="HQO22"/>
      <c r="HQS22"/>
      <c r="HQW22"/>
      <c r="HRA22"/>
      <c r="HRE22"/>
      <c r="HRI22"/>
      <c r="HRM22"/>
      <c r="HRQ22"/>
      <c r="HRU22"/>
      <c r="HRY22"/>
      <c r="HSC22"/>
      <c r="HSG22"/>
      <c r="HSK22"/>
      <c r="HSO22"/>
      <c r="HSS22"/>
      <c r="HSW22"/>
      <c r="HTA22"/>
      <c r="HTE22"/>
      <c r="HTI22"/>
      <c r="HTM22"/>
      <c r="HTQ22"/>
      <c r="HTU22"/>
      <c r="HTY22"/>
      <c r="HUC22"/>
      <c r="HUG22"/>
      <c r="HUK22"/>
      <c r="HUO22"/>
      <c r="HUS22"/>
      <c r="HUW22"/>
      <c r="HVA22"/>
      <c r="HVE22"/>
      <c r="HVI22"/>
      <c r="HVM22"/>
      <c r="HVQ22"/>
      <c r="HVU22"/>
      <c r="HVY22"/>
      <c r="HWC22"/>
      <c r="HWG22"/>
      <c r="HWK22"/>
      <c r="HWO22"/>
      <c r="HWS22"/>
      <c r="HWW22"/>
      <c r="HXA22"/>
      <c r="HXE22"/>
      <c r="HXI22"/>
      <c r="HXM22"/>
      <c r="HXQ22"/>
      <c r="HXU22"/>
      <c r="HXY22"/>
      <c r="HYC22"/>
      <c r="HYG22"/>
      <c r="HYK22"/>
      <c r="HYO22"/>
      <c r="HYS22"/>
      <c r="HYW22"/>
      <c r="HZA22"/>
      <c r="HZE22"/>
      <c r="HZI22"/>
      <c r="HZM22"/>
      <c r="HZQ22"/>
      <c r="HZU22"/>
      <c r="HZY22"/>
      <c r="IAC22"/>
      <c r="IAG22"/>
      <c r="IAK22"/>
      <c r="IAO22"/>
      <c r="IAS22"/>
      <c r="IAW22"/>
      <c r="IBA22"/>
      <c r="IBE22"/>
      <c r="IBI22"/>
      <c r="IBM22"/>
      <c r="IBQ22"/>
      <c r="IBU22"/>
      <c r="IBY22"/>
      <c r="ICC22"/>
      <c r="ICG22"/>
      <c r="ICK22"/>
      <c r="ICO22"/>
      <c r="ICS22"/>
      <c r="ICW22"/>
      <c r="IDA22"/>
      <c r="IDE22"/>
      <c r="IDI22"/>
      <c r="IDM22"/>
      <c r="IDQ22"/>
      <c r="IDU22"/>
      <c r="IDY22"/>
      <c r="IEC22"/>
      <c r="IEG22"/>
      <c r="IEK22"/>
      <c r="IEO22"/>
      <c r="IES22"/>
      <c r="IEW22"/>
      <c r="IFA22"/>
      <c r="IFE22"/>
      <c r="IFI22"/>
      <c r="IFM22"/>
      <c r="IFQ22"/>
      <c r="IFU22"/>
      <c r="IFY22"/>
      <c r="IGC22"/>
      <c r="IGG22"/>
      <c r="IGK22"/>
      <c r="IGO22"/>
      <c r="IGS22"/>
      <c r="IGW22"/>
      <c r="IHA22"/>
      <c r="IHE22"/>
      <c r="IHI22"/>
      <c r="IHM22"/>
      <c r="IHQ22"/>
      <c r="IHU22"/>
      <c r="IHY22"/>
      <c r="IIC22"/>
      <c r="IIG22"/>
      <c r="IIK22"/>
      <c r="IIO22"/>
      <c r="IIS22"/>
      <c r="IIW22"/>
      <c r="IJA22"/>
      <c r="IJE22"/>
      <c r="IJI22"/>
      <c r="IJM22"/>
      <c r="IJQ22"/>
      <c r="IJU22"/>
      <c r="IJY22"/>
      <c r="IKC22"/>
      <c r="IKG22"/>
      <c r="IKK22"/>
      <c r="IKO22"/>
      <c r="IKS22"/>
      <c r="IKW22"/>
      <c r="ILA22"/>
      <c r="ILE22"/>
      <c r="ILI22"/>
      <c r="ILM22"/>
      <c r="ILQ22"/>
      <c r="ILU22"/>
      <c r="ILY22"/>
      <c r="IMC22"/>
      <c r="IMG22"/>
      <c r="IMK22"/>
      <c r="IMO22"/>
      <c r="IMS22"/>
      <c r="IMW22"/>
      <c r="INA22"/>
      <c r="INE22"/>
      <c r="INI22"/>
      <c r="INM22"/>
      <c r="INQ22"/>
      <c r="INU22"/>
      <c r="INY22"/>
      <c r="IOC22"/>
      <c r="IOG22"/>
      <c r="IOK22"/>
      <c r="IOO22"/>
      <c r="IOS22"/>
      <c r="IOW22"/>
      <c r="IPA22"/>
      <c r="IPE22"/>
      <c r="IPI22"/>
      <c r="IPM22"/>
      <c r="IPQ22"/>
      <c r="IPU22"/>
      <c r="IPY22"/>
      <c r="IQC22"/>
      <c r="IQG22"/>
      <c r="IQK22"/>
      <c r="IQO22"/>
      <c r="IQS22"/>
      <c r="IQW22"/>
      <c r="IRA22"/>
      <c r="IRE22"/>
      <c r="IRI22"/>
      <c r="IRM22"/>
      <c r="IRQ22"/>
      <c r="IRU22"/>
      <c r="IRY22"/>
      <c r="ISC22"/>
      <c r="ISG22"/>
      <c r="ISK22"/>
      <c r="ISO22"/>
      <c r="ISS22"/>
      <c r="ISW22"/>
      <c r="ITA22"/>
      <c r="ITE22"/>
      <c r="ITI22"/>
      <c r="ITM22"/>
      <c r="ITQ22"/>
      <c r="ITU22"/>
      <c r="ITY22"/>
      <c r="IUC22"/>
      <c r="IUG22"/>
      <c r="IUK22"/>
      <c r="IUO22"/>
      <c r="IUS22"/>
      <c r="IUW22"/>
      <c r="IVA22"/>
      <c r="IVE22"/>
      <c r="IVI22"/>
      <c r="IVM22"/>
      <c r="IVQ22"/>
      <c r="IVU22"/>
      <c r="IVY22"/>
      <c r="IWC22"/>
      <c r="IWG22"/>
      <c r="IWK22"/>
      <c r="IWO22"/>
      <c r="IWS22"/>
      <c r="IWW22"/>
      <c r="IXA22"/>
      <c r="IXE22"/>
      <c r="IXI22"/>
      <c r="IXM22"/>
      <c r="IXQ22"/>
      <c r="IXU22"/>
      <c r="IXY22"/>
      <c r="IYC22"/>
      <c r="IYG22"/>
      <c r="IYK22"/>
      <c r="IYO22"/>
      <c r="IYS22"/>
      <c r="IYW22"/>
      <c r="IZA22"/>
      <c r="IZE22"/>
      <c r="IZI22"/>
      <c r="IZM22"/>
      <c r="IZQ22"/>
      <c r="IZU22"/>
      <c r="IZY22"/>
      <c r="JAC22"/>
      <c r="JAG22"/>
      <c r="JAK22"/>
      <c r="JAO22"/>
      <c r="JAS22"/>
      <c r="JAW22"/>
      <c r="JBA22"/>
      <c r="JBE22"/>
      <c r="JBI22"/>
      <c r="JBM22"/>
      <c r="JBQ22"/>
      <c r="JBU22"/>
      <c r="JBY22"/>
      <c r="JCC22"/>
      <c r="JCG22"/>
      <c r="JCK22"/>
      <c r="JCO22"/>
      <c r="JCS22"/>
      <c r="JCW22"/>
      <c r="JDA22"/>
      <c r="JDE22"/>
      <c r="JDI22"/>
      <c r="JDM22"/>
      <c r="JDQ22"/>
      <c r="JDU22"/>
      <c r="JDY22"/>
      <c r="JEC22"/>
      <c r="JEG22"/>
      <c r="JEK22"/>
      <c r="JEO22"/>
      <c r="JES22"/>
      <c r="JEW22"/>
      <c r="JFA22"/>
      <c r="JFE22"/>
      <c r="JFI22"/>
      <c r="JFM22"/>
      <c r="JFQ22"/>
      <c r="JFU22"/>
      <c r="JFY22"/>
      <c r="JGC22"/>
      <c r="JGG22"/>
      <c r="JGK22"/>
      <c r="JGO22"/>
      <c r="JGS22"/>
      <c r="JGW22"/>
      <c r="JHA22"/>
      <c r="JHE22"/>
      <c r="JHI22"/>
      <c r="JHM22"/>
      <c r="JHQ22"/>
      <c r="JHU22"/>
      <c r="JHY22"/>
      <c r="JIC22"/>
      <c r="JIG22"/>
      <c r="JIK22"/>
      <c r="JIO22"/>
      <c r="JIS22"/>
      <c r="JIW22"/>
      <c r="JJA22"/>
      <c r="JJE22"/>
      <c r="JJI22"/>
      <c r="JJM22"/>
      <c r="JJQ22"/>
      <c r="JJU22"/>
      <c r="JJY22"/>
      <c r="JKC22"/>
      <c r="JKG22"/>
      <c r="JKK22"/>
      <c r="JKO22"/>
      <c r="JKS22"/>
      <c r="JKW22"/>
      <c r="JLA22"/>
      <c r="JLE22"/>
      <c r="JLI22"/>
      <c r="JLM22"/>
      <c r="JLQ22"/>
      <c r="JLU22"/>
      <c r="JLY22"/>
      <c r="JMC22"/>
      <c r="JMG22"/>
      <c r="JMK22"/>
      <c r="JMO22"/>
      <c r="JMS22"/>
      <c r="JMW22"/>
      <c r="JNA22"/>
      <c r="JNE22"/>
      <c r="JNI22"/>
      <c r="JNM22"/>
      <c r="JNQ22"/>
      <c r="JNU22"/>
      <c r="JNY22"/>
      <c r="JOC22"/>
      <c r="JOG22"/>
      <c r="JOK22"/>
      <c r="JOO22"/>
      <c r="JOS22"/>
      <c r="JOW22"/>
      <c r="JPA22"/>
      <c r="JPE22"/>
      <c r="JPI22"/>
      <c r="JPM22"/>
      <c r="JPQ22"/>
      <c r="JPU22"/>
      <c r="JPY22"/>
      <c r="JQC22"/>
      <c r="JQG22"/>
      <c r="JQK22"/>
      <c r="JQO22"/>
      <c r="JQS22"/>
      <c r="JQW22"/>
      <c r="JRA22"/>
      <c r="JRE22"/>
      <c r="JRI22"/>
      <c r="JRM22"/>
      <c r="JRQ22"/>
      <c r="JRU22"/>
      <c r="JRY22"/>
      <c r="JSC22"/>
      <c r="JSG22"/>
      <c r="JSK22"/>
      <c r="JSO22"/>
      <c r="JSS22"/>
      <c r="JSW22"/>
      <c r="JTA22"/>
      <c r="JTE22"/>
      <c r="JTI22"/>
      <c r="JTM22"/>
      <c r="JTQ22"/>
      <c r="JTU22"/>
      <c r="JTY22"/>
      <c r="JUC22"/>
      <c r="JUG22"/>
      <c r="JUK22"/>
      <c r="JUO22"/>
      <c r="JUS22"/>
      <c r="JUW22"/>
      <c r="JVA22"/>
      <c r="JVE22"/>
      <c r="JVI22"/>
      <c r="JVM22"/>
      <c r="JVQ22"/>
      <c r="JVU22"/>
      <c r="JVY22"/>
      <c r="JWC22"/>
      <c r="JWG22"/>
      <c r="JWK22"/>
      <c r="JWO22"/>
      <c r="JWS22"/>
      <c r="JWW22"/>
      <c r="JXA22"/>
      <c r="JXE22"/>
      <c r="JXI22"/>
      <c r="JXM22"/>
      <c r="JXQ22"/>
      <c r="JXU22"/>
      <c r="JXY22"/>
      <c r="JYC22"/>
      <c r="JYG22"/>
      <c r="JYK22"/>
      <c r="JYO22"/>
      <c r="JYS22"/>
      <c r="JYW22"/>
      <c r="JZA22"/>
      <c r="JZE22"/>
      <c r="JZI22"/>
      <c r="JZM22"/>
      <c r="JZQ22"/>
      <c r="JZU22"/>
      <c r="JZY22"/>
      <c r="KAC22"/>
      <c r="KAG22"/>
      <c r="KAK22"/>
      <c r="KAO22"/>
      <c r="KAS22"/>
      <c r="KAW22"/>
      <c r="KBA22"/>
      <c r="KBE22"/>
      <c r="KBI22"/>
      <c r="KBM22"/>
      <c r="KBQ22"/>
      <c r="KBU22"/>
      <c r="KBY22"/>
      <c r="KCC22"/>
      <c r="KCG22"/>
      <c r="KCK22"/>
      <c r="KCO22"/>
      <c r="KCS22"/>
      <c r="KCW22"/>
      <c r="KDA22"/>
      <c r="KDE22"/>
      <c r="KDI22"/>
      <c r="KDM22"/>
      <c r="KDQ22"/>
      <c r="KDU22"/>
      <c r="KDY22"/>
      <c r="KEC22"/>
      <c r="KEG22"/>
      <c r="KEK22"/>
      <c r="KEO22"/>
      <c r="KES22"/>
      <c r="KEW22"/>
      <c r="KFA22"/>
      <c r="KFE22"/>
      <c r="KFI22"/>
      <c r="KFM22"/>
      <c r="KFQ22"/>
      <c r="KFU22"/>
      <c r="KFY22"/>
      <c r="KGC22"/>
      <c r="KGG22"/>
      <c r="KGK22"/>
      <c r="KGO22"/>
      <c r="KGS22"/>
      <c r="KGW22"/>
      <c r="KHA22"/>
      <c r="KHE22"/>
      <c r="KHI22"/>
      <c r="KHM22"/>
      <c r="KHQ22"/>
      <c r="KHU22"/>
      <c r="KHY22"/>
      <c r="KIC22"/>
      <c r="KIG22"/>
      <c r="KIK22"/>
      <c r="KIO22"/>
      <c r="KIS22"/>
      <c r="KIW22"/>
      <c r="KJA22"/>
      <c r="KJE22"/>
      <c r="KJI22"/>
      <c r="KJM22"/>
      <c r="KJQ22"/>
      <c r="KJU22"/>
      <c r="KJY22"/>
      <c r="KKC22"/>
      <c r="KKG22"/>
      <c r="KKK22"/>
      <c r="KKO22"/>
      <c r="KKS22"/>
      <c r="KKW22"/>
      <c r="KLA22"/>
      <c r="KLE22"/>
      <c r="KLI22"/>
      <c r="KLM22"/>
      <c r="KLQ22"/>
      <c r="KLU22"/>
      <c r="KLY22"/>
      <c r="KMC22"/>
      <c r="KMG22"/>
      <c r="KMK22"/>
      <c r="KMO22"/>
      <c r="KMS22"/>
      <c r="KMW22"/>
      <c r="KNA22"/>
      <c r="KNE22"/>
      <c r="KNI22"/>
      <c r="KNM22"/>
      <c r="KNQ22"/>
      <c r="KNU22"/>
      <c r="KNY22"/>
      <c r="KOC22"/>
      <c r="KOG22"/>
      <c r="KOK22"/>
      <c r="KOO22"/>
      <c r="KOS22"/>
      <c r="KOW22"/>
      <c r="KPA22"/>
      <c r="KPE22"/>
      <c r="KPI22"/>
      <c r="KPM22"/>
      <c r="KPQ22"/>
      <c r="KPU22"/>
      <c r="KPY22"/>
      <c r="KQC22"/>
      <c r="KQG22"/>
      <c r="KQK22"/>
      <c r="KQO22"/>
      <c r="KQS22"/>
      <c r="KQW22"/>
      <c r="KRA22"/>
      <c r="KRE22"/>
      <c r="KRI22"/>
      <c r="KRM22"/>
      <c r="KRQ22"/>
      <c r="KRU22"/>
      <c r="KRY22"/>
      <c r="KSC22"/>
      <c r="KSG22"/>
      <c r="KSK22"/>
      <c r="KSO22"/>
      <c r="KSS22"/>
      <c r="KSW22"/>
      <c r="KTA22"/>
      <c r="KTE22"/>
      <c r="KTI22"/>
      <c r="KTM22"/>
      <c r="KTQ22"/>
      <c r="KTU22"/>
      <c r="KTY22"/>
      <c r="KUC22"/>
      <c r="KUG22"/>
      <c r="KUK22"/>
      <c r="KUO22"/>
      <c r="KUS22"/>
      <c r="KUW22"/>
      <c r="KVA22"/>
      <c r="KVE22"/>
      <c r="KVI22"/>
      <c r="KVM22"/>
      <c r="KVQ22"/>
      <c r="KVU22"/>
      <c r="KVY22"/>
      <c r="KWC22"/>
      <c r="KWG22"/>
      <c r="KWK22"/>
      <c r="KWO22"/>
      <c r="KWS22"/>
      <c r="KWW22"/>
      <c r="KXA22"/>
      <c r="KXE22"/>
      <c r="KXI22"/>
      <c r="KXM22"/>
      <c r="KXQ22"/>
      <c r="KXU22"/>
      <c r="KXY22"/>
      <c r="KYC22"/>
      <c r="KYG22"/>
      <c r="KYK22"/>
      <c r="KYO22"/>
      <c r="KYS22"/>
      <c r="KYW22"/>
      <c r="KZA22"/>
      <c r="KZE22"/>
      <c r="KZI22"/>
      <c r="KZM22"/>
      <c r="KZQ22"/>
      <c r="KZU22"/>
      <c r="KZY22"/>
      <c r="LAC22"/>
      <c r="LAG22"/>
      <c r="LAK22"/>
      <c r="LAO22"/>
      <c r="LAS22"/>
      <c r="LAW22"/>
      <c r="LBA22"/>
      <c r="LBE22"/>
      <c r="LBI22"/>
      <c r="LBM22"/>
      <c r="LBQ22"/>
      <c r="LBU22"/>
      <c r="LBY22"/>
      <c r="LCC22"/>
      <c r="LCG22"/>
      <c r="LCK22"/>
      <c r="LCO22"/>
      <c r="LCS22"/>
      <c r="LCW22"/>
      <c r="LDA22"/>
      <c r="LDE22"/>
      <c r="LDI22"/>
      <c r="LDM22"/>
      <c r="LDQ22"/>
      <c r="LDU22"/>
      <c r="LDY22"/>
      <c r="LEC22"/>
      <c r="LEG22"/>
      <c r="LEK22"/>
      <c r="LEO22"/>
      <c r="LES22"/>
      <c r="LEW22"/>
      <c r="LFA22"/>
      <c r="LFE22"/>
      <c r="LFI22"/>
      <c r="LFM22"/>
      <c r="LFQ22"/>
      <c r="LFU22"/>
      <c r="LFY22"/>
      <c r="LGC22"/>
      <c r="LGG22"/>
      <c r="LGK22"/>
      <c r="LGO22"/>
      <c r="LGS22"/>
      <c r="LGW22"/>
      <c r="LHA22"/>
      <c r="LHE22"/>
      <c r="LHI22"/>
      <c r="LHM22"/>
      <c r="LHQ22"/>
      <c r="LHU22"/>
      <c r="LHY22"/>
      <c r="LIC22"/>
      <c r="LIG22"/>
      <c r="LIK22"/>
      <c r="LIO22"/>
      <c r="LIS22"/>
      <c r="LIW22"/>
      <c r="LJA22"/>
      <c r="LJE22"/>
      <c r="LJI22"/>
      <c r="LJM22"/>
      <c r="LJQ22"/>
      <c r="LJU22"/>
      <c r="LJY22"/>
      <c r="LKC22"/>
      <c r="LKG22"/>
      <c r="LKK22"/>
      <c r="LKO22"/>
      <c r="LKS22"/>
      <c r="LKW22"/>
      <c r="LLA22"/>
      <c r="LLE22"/>
      <c r="LLI22"/>
      <c r="LLM22"/>
      <c r="LLQ22"/>
      <c r="LLU22"/>
      <c r="LLY22"/>
      <c r="LMC22"/>
      <c r="LMG22"/>
      <c r="LMK22"/>
      <c r="LMO22"/>
      <c r="LMS22"/>
      <c r="LMW22"/>
      <c r="LNA22"/>
      <c r="LNE22"/>
      <c r="LNI22"/>
      <c r="LNM22"/>
      <c r="LNQ22"/>
      <c r="LNU22"/>
      <c r="LNY22"/>
      <c r="LOC22"/>
      <c r="LOG22"/>
      <c r="LOK22"/>
      <c r="LOO22"/>
      <c r="LOS22"/>
      <c r="LOW22"/>
      <c r="LPA22"/>
      <c r="LPE22"/>
      <c r="LPI22"/>
      <c r="LPM22"/>
      <c r="LPQ22"/>
      <c r="LPU22"/>
      <c r="LPY22"/>
      <c r="LQC22"/>
      <c r="LQG22"/>
      <c r="LQK22"/>
      <c r="LQO22"/>
      <c r="LQS22"/>
      <c r="LQW22"/>
      <c r="LRA22"/>
      <c r="LRE22"/>
      <c r="LRI22"/>
      <c r="LRM22"/>
      <c r="LRQ22"/>
      <c r="LRU22"/>
      <c r="LRY22"/>
      <c r="LSC22"/>
      <c r="LSG22"/>
      <c r="LSK22"/>
      <c r="LSO22"/>
      <c r="LSS22"/>
      <c r="LSW22"/>
      <c r="LTA22"/>
      <c r="LTE22"/>
      <c r="LTI22"/>
      <c r="LTM22"/>
      <c r="LTQ22"/>
      <c r="LTU22"/>
      <c r="LTY22"/>
      <c r="LUC22"/>
      <c r="LUG22"/>
      <c r="LUK22"/>
      <c r="LUO22"/>
      <c r="LUS22"/>
      <c r="LUW22"/>
      <c r="LVA22"/>
      <c r="LVE22"/>
      <c r="LVI22"/>
      <c r="LVM22"/>
      <c r="LVQ22"/>
      <c r="LVU22"/>
      <c r="LVY22"/>
      <c r="LWC22"/>
      <c r="LWG22"/>
      <c r="LWK22"/>
      <c r="LWO22"/>
      <c r="LWS22"/>
      <c r="LWW22"/>
      <c r="LXA22"/>
      <c r="LXE22"/>
      <c r="LXI22"/>
      <c r="LXM22"/>
      <c r="LXQ22"/>
      <c r="LXU22"/>
      <c r="LXY22"/>
      <c r="LYC22"/>
      <c r="LYG22"/>
      <c r="LYK22"/>
      <c r="LYO22"/>
      <c r="LYS22"/>
      <c r="LYW22"/>
      <c r="LZA22"/>
      <c r="LZE22"/>
      <c r="LZI22"/>
      <c r="LZM22"/>
      <c r="LZQ22"/>
      <c r="LZU22"/>
      <c r="LZY22"/>
      <c r="MAC22"/>
      <c r="MAG22"/>
      <c r="MAK22"/>
      <c r="MAO22"/>
      <c r="MAS22"/>
      <c r="MAW22"/>
      <c r="MBA22"/>
      <c r="MBE22"/>
      <c r="MBI22"/>
      <c r="MBM22"/>
      <c r="MBQ22"/>
      <c r="MBU22"/>
      <c r="MBY22"/>
      <c r="MCC22"/>
      <c r="MCG22"/>
      <c r="MCK22"/>
      <c r="MCO22"/>
      <c r="MCS22"/>
      <c r="MCW22"/>
      <c r="MDA22"/>
      <c r="MDE22"/>
      <c r="MDI22"/>
      <c r="MDM22"/>
      <c r="MDQ22"/>
      <c r="MDU22"/>
      <c r="MDY22"/>
      <c r="MEC22"/>
      <c r="MEG22"/>
      <c r="MEK22"/>
      <c r="MEO22"/>
      <c r="MES22"/>
      <c r="MEW22"/>
      <c r="MFA22"/>
      <c r="MFE22"/>
      <c r="MFI22"/>
      <c r="MFM22"/>
      <c r="MFQ22"/>
      <c r="MFU22"/>
      <c r="MFY22"/>
      <c r="MGC22"/>
      <c r="MGG22"/>
      <c r="MGK22"/>
      <c r="MGO22"/>
      <c r="MGS22"/>
      <c r="MGW22"/>
      <c r="MHA22"/>
      <c r="MHE22"/>
      <c r="MHI22"/>
      <c r="MHM22"/>
      <c r="MHQ22"/>
      <c r="MHU22"/>
      <c r="MHY22"/>
      <c r="MIC22"/>
      <c r="MIG22"/>
      <c r="MIK22"/>
      <c r="MIO22"/>
      <c r="MIS22"/>
      <c r="MIW22"/>
      <c r="MJA22"/>
      <c r="MJE22"/>
      <c r="MJI22"/>
      <c r="MJM22"/>
      <c r="MJQ22"/>
      <c r="MJU22"/>
      <c r="MJY22"/>
      <c r="MKC22"/>
      <c r="MKG22"/>
      <c r="MKK22"/>
      <c r="MKO22"/>
      <c r="MKS22"/>
      <c r="MKW22"/>
      <c r="MLA22"/>
      <c r="MLE22"/>
      <c r="MLI22"/>
      <c r="MLM22"/>
      <c r="MLQ22"/>
      <c r="MLU22"/>
      <c r="MLY22"/>
      <c r="MMC22"/>
      <c r="MMG22"/>
      <c r="MMK22"/>
      <c r="MMO22"/>
      <c r="MMS22"/>
      <c r="MMW22"/>
      <c r="MNA22"/>
      <c r="MNE22"/>
      <c r="MNI22"/>
      <c r="MNM22"/>
      <c r="MNQ22"/>
      <c r="MNU22"/>
      <c r="MNY22"/>
      <c r="MOC22"/>
      <c r="MOG22"/>
      <c r="MOK22"/>
      <c r="MOO22"/>
      <c r="MOS22"/>
      <c r="MOW22"/>
      <c r="MPA22"/>
      <c r="MPE22"/>
      <c r="MPI22"/>
      <c r="MPM22"/>
      <c r="MPQ22"/>
      <c r="MPU22"/>
      <c r="MPY22"/>
      <c r="MQC22"/>
      <c r="MQG22"/>
      <c r="MQK22"/>
      <c r="MQO22"/>
      <c r="MQS22"/>
      <c r="MQW22"/>
      <c r="MRA22"/>
      <c r="MRE22"/>
      <c r="MRI22"/>
      <c r="MRM22"/>
      <c r="MRQ22"/>
      <c r="MRU22"/>
      <c r="MRY22"/>
      <c r="MSC22"/>
      <c r="MSG22"/>
      <c r="MSK22"/>
      <c r="MSO22"/>
      <c r="MSS22"/>
      <c r="MSW22"/>
      <c r="MTA22"/>
      <c r="MTE22"/>
      <c r="MTI22"/>
      <c r="MTM22"/>
      <c r="MTQ22"/>
      <c r="MTU22"/>
      <c r="MTY22"/>
      <c r="MUC22"/>
      <c r="MUG22"/>
      <c r="MUK22"/>
      <c r="MUO22"/>
      <c r="MUS22"/>
      <c r="MUW22"/>
      <c r="MVA22"/>
      <c r="MVE22"/>
      <c r="MVI22"/>
      <c r="MVM22"/>
      <c r="MVQ22"/>
      <c r="MVU22"/>
      <c r="MVY22"/>
      <c r="MWC22"/>
      <c r="MWG22"/>
      <c r="MWK22"/>
      <c r="MWO22"/>
      <c r="MWS22"/>
      <c r="MWW22"/>
      <c r="MXA22"/>
      <c r="MXE22"/>
      <c r="MXI22"/>
      <c r="MXM22"/>
      <c r="MXQ22"/>
      <c r="MXU22"/>
      <c r="MXY22"/>
      <c r="MYC22"/>
      <c r="MYG22"/>
      <c r="MYK22"/>
      <c r="MYO22"/>
      <c r="MYS22"/>
      <c r="MYW22"/>
      <c r="MZA22"/>
      <c r="MZE22"/>
      <c r="MZI22"/>
      <c r="MZM22"/>
      <c r="MZQ22"/>
      <c r="MZU22"/>
      <c r="MZY22"/>
      <c r="NAC22"/>
      <c r="NAG22"/>
      <c r="NAK22"/>
      <c r="NAO22"/>
      <c r="NAS22"/>
      <c r="NAW22"/>
      <c r="NBA22"/>
      <c r="NBE22"/>
      <c r="NBI22"/>
      <c r="NBM22"/>
      <c r="NBQ22"/>
      <c r="NBU22"/>
      <c r="NBY22"/>
      <c r="NCC22"/>
      <c r="NCG22"/>
      <c r="NCK22"/>
      <c r="NCO22"/>
      <c r="NCS22"/>
      <c r="NCW22"/>
      <c r="NDA22"/>
      <c r="NDE22"/>
      <c r="NDI22"/>
      <c r="NDM22"/>
      <c r="NDQ22"/>
      <c r="NDU22"/>
      <c r="NDY22"/>
      <c r="NEC22"/>
      <c r="NEG22"/>
      <c r="NEK22"/>
      <c r="NEO22"/>
      <c r="NES22"/>
      <c r="NEW22"/>
      <c r="NFA22"/>
      <c r="NFE22"/>
      <c r="NFI22"/>
      <c r="NFM22"/>
      <c r="NFQ22"/>
      <c r="NFU22"/>
      <c r="NFY22"/>
      <c r="NGC22"/>
      <c r="NGG22"/>
      <c r="NGK22"/>
      <c r="NGO22"/>
      <c r="NGS22"/>
      <c r="NGW22"/>
      <c r="NHA22"/>
      <c r="NHE22"/>
      <c r="NHI22"/>
      <c r="NHM22"/>
      <c r="NHQ22"/>
      <c r="NHU22"/>
      <c r="NHY22"/>
      <c r="NIC22"/>
      <c r="NIG22"/>
      <c r="NIK22"/>
      <c r="NIO22"/>
      <c r="NIS22"/>
      <c r="NIW22"/>
      <c r="NJA22"/>
      <c r="NJE22"/>
      <c r="NJI22"/>
      <c r="NJM22"/>
      <c r="NJQ22"/>
      <c r="NJU22"/>
      <c r="NJY22"/>
      <c r="NKC22"/>
      <c r="NKG22"/>
      <c r="NKK22"/>
      <c r="NKO22"/>
      <c r="NKS22"/>
      <c r="NKW22"/>
      <c r="NLA22"/>
      <c r="NLE22"/>
      <c r="NLI22"/>
      <c r="NLM22"/>
      <c r="NLQ22"/>
      <c r="NLU22"/>
      <c r="NLY22"/>
      <c r="NMC22"/>
      <c r="NMG22"/>
      <c r="NMK22"/>
      <c r="NMO22"/>
      <c r="NMS22"/>
      <c r="NMW22"/>
      <c r="NNA22"/>
      <c r="NNE22"/>
      <c r="NNI22"/>
      <c r="NNM22"/>
      <c r="NNQ22"/>
      <c r="NNU22"/>
      <c r="NNY22"/>
      <c r="NOC22"/>
      <c r="NOG22"/>
      <c r="NOK22"/>
      <c r="NOO22"/>
      <c r="NOS22"/>
      <c r="NOW22"/>
      <c r="NPA22"/>
      <c r="NPE22"/>
      <c r="NPI22"/>
      <c r="NPM22"/>
      <c r="NPQ22"/>
      <c r="NPU22"/>
      <c r="NPY22"/>
      <c r="NQC22"/>
      <c r="NQG22"/>
      <c r="NQK22"/>
      <c r="NQO22"/>
      <c r="NQS22"/>
      <c r="NQW22"/>
      <c r="NRA22"/>
      <c r="NRE22"/>
      <c r="NRI22"/>
      <c r="NRM22"/>
      <c r="NRQ22"/>
      <c r="NRU22"/>
      <c r="NRY22"/>
      <c r="NSC22"/>
      <c r="NSG22"/>
      <c r="NSK22"/>
      <c r="NSO22"/>
      <c r="NSS22"/>
      <c r="NSW22"/>
      <c r="NTA22"/>
      <c r="NTE22"/>
      <c r="NTI22"/>
      <c r="NTM22"/>
      <c r="NTQ22"/>
      <c r="NTU22"/>
      <c r="NTY22"/>
      <c r="NUC22"/>
      <c r="NUG22"/>
      <c r="NUK22"/>
      <c r="NUO22"/>
      <c r="NUS22"/>
      <c r="NUW22"/>
      <c r="NVA22"/>
      <c r="NVE22"/>
      <c r="NVI22"/>
      <c r="NVM22"/>
      <c r="NVQ22"/>
      <c r="NVU22"/>
      <c r="NVY22"/>
      <c r="NWC22"/>
      <c r="NWG22"/>
      <c r="NWK22"/>
      <c r="NWO22"/>
      <c r="NWS22"/>
      <c r="NWW22"/>
      <c r="NXA22"/>
      <c r="NXE22"/>
      <c r="NXI22"/>
      <c r="NXM22"/>
      <c r="NXQ22"/>
      <c r="NXU22"/>
      <c r="NXY22"/>
      <c r="NYC22"/>
      <c r="NYG22"/>
      <c r="NYK22"/>
      <c r="NYO22"/>
      <c r="NYS22"/>
      <c r="NYW22"/>
      <c r="NZA22"/>
      <c r="NZE22"/>
      <c r="NZI22"/>
      <c r="NZM22"/>
      <c r="NZQ22"/>
      <c r="NZU22"/>
      <c r="NZY22"/>
      <c r="OAC22"/>
      <c r="OAG22"/>
      <c r="OAK22"/>
      <c r="OAO22"/>
      <c r="OAS22"/>
      <c r="OAW22"/>
      <c r="OBA22"/>
      <c r="OBE22"/>
      <c r="OBI22"/>
      <c r="OBM22"/>
      <c r="OBQ22"/>
      <c r="OBU22"/>
      <c r="OBY22"/>
      <c r="OCC22"/>
      <c r="OCG22"/>
      <c r="OCK22"/>
      <c r="OCO22"/>
      <c r="OCS22"/>
      <c r="OCW22"/>
      <c r="ODA22"/>
      <c r="ODE22"/>
      <c r="ODI22"/>
      <c r="ODM22"/>
      <c r="ODQ22"/>
      <c r="ODU22"/>
      <c r="ODY22"/>
      <c r="OEC22"/>
      <c r="OEG22"/>
      <c r="OEK22"/>
      <c r="OEO22"/>
      <c r="OES22"/>
      <c r="OEW22"/>
      <c r="OFA22"/>
      <c r="OFE22"/>
      <c r="OFI22"/>
      <c r="OFM22"/>
      <c r="OFQ22"/>
      <c r="OFU22"/>
      <c r="OFY22"/>
      <c r="OGC22"/>
      <c r="OGG22"/>
      <c r="OGK22"/>
      <c r="OGO22"/>
      <c r="OGS22"/>
      <c r="OGW22"/>
      <c r="OHA22"/>
      <c r="OHE22"/>
      <c r="OHI22"/>
      <c r="OHM22"/>
      <c r="OHQ22"/>
      <c r="OHU22"/>
      <c r="OHY22"/>
      <c r="OIC22"/>
      <c r="OIG22"/>
      <c r="OIK22"/>
      <c r="OIO22"/>
      <c r="OIS22"/>
      <c r="OIW22"/>
      <c r="OJA22"/>
      <c r="OJE22"/>
      <c r="OJI22"/>
      <c r="OJM22"/>
      <c r="OJQ22"/>
      <c r="OJU22"/>
      <c r="OJY22"/>
      <c r="OKC22"/>
      <c r="OKG22"/>
      <c r="OKK22"/>
      <c r="OKO22"/>
      <c r="OKS22"/>
      <c r="OKW22"/>
      <c r="OLA22"/>
      <c r="OLE22"/>
      <c r="OLI22"/>
      <c r="OLM22"/>
      <c r="OLQ22"/>
      <c r="OLU22"/>
      <c r="OLY22"/>
      <c r="OMC22"/>
      <c r="OMG22"/>
      <c r="OMK22"/>
      <c r="OMO22"/>
      <c r="OMS22"/>
      <c r="OMW22"/>
      <c r="ONA22"/>
      <c r="ONE22"/>
      <c r="ONI22"/>
      <c r="ONM22"/>
      <c r="ONQ22"/>
      <c r="ONU22"/>
      <c r="ONY22"/>
      <c r="OOC22"/>
      <c r="OOG22"/>
      <c r="OOK22"/>
      <c r="OOO22"/>
      <c r="OOS22"/>
      <c r="OOW22"/>
      <c r="OPA22"/>
      <c r="OPE22"/>
      <c r="OPI22"/>
      <c r="OPM22"/>
      <c r="OPQ22"/>
      <c r="OPU22"/>
      <c r="OPY22"/>
      <c r="OQC22"/>
      <c r="OQG22"/>
      <c r="OQK22"/>
      <c r="OQO22"/>
      <c r="OQS22"/>
      <c r="OQW22"/>
      <c r="ORA22"/>
      <c r="ORE22"/>
      <c r="ORI22"/>
      <c r="ORM22"/>
      <c r="ORQ22"/>
      <c r="ORU22"/>
      <c r="ORY22"/>
      <c r="OSC22"/>
      <c r="OSG22"/>
      <c r="OSK22"/>
      <c r="OSO22"/>
      <c r="OSS22"/>
      <c r="OSW22"/>
      <c r="OTA22"/>
      <c r="OTE22"/>
      <c r="OTI22"/>
      <c r="OTM22"/>
      <c r="OTQ22"/>
      <c r="OTU22"/>
      <c r="OTY22"/>
      <c r="OUC22"/>
      <c r="OUG22"/>
      <c r="OUK22"/>
      <c r="OUO22"/>
      <c r="OUS22"/>
      <c r="OUW22"/>
      <c r="OVA22"/>
      <c r="OVE22"/>
      <c r="OVI22"/>
      <c r="OVM22"/>
      <c r="OVQ22"/>
      <c r="OVU22"/>
      <c r="OVY22"/>
      <c r="OWC22"/>
      <c r="OWG22"/>
      <c r="OWK22"/>
      <c r="OWO22"/>
      <c r="OWS22"/>
      <c r="OWW22"/>
      <c r="OXA22"/>
      <c r="OXE22"/>
      <c r="OXI22"/>
      <c r="OXM22"/>
      <c r="OXQ22"/>
      <c r="OXU22"/>
      <c r="OXY22"/>
      <c r="OYC22"/>
      <c r="OYG22"/>
      <c r="OYK22"/>
      <c r="OYO22"/>
      <c r="OYS22"/>
      <c r="OYW22"/>
      <c r="OZA22"/>
      <c r="OZE22"/>
      <c r="OZI22"/>
      <c r="OZM22"/>
      <c r="OZQ22"/>
      <c r="OZU22"/>
      <c r="OZY22"/>
      <c r="PAC22"/>
      <c r="PAG22"/>
      <c r="PAK22"/>
      <c r="PAO22"/>
      <c r="PAS22"/>
      <c r="PAW22"/>
      <c r="PBA22"/>
      <c r="PBE22"/>
      <c r="PBI22"/>
      <c r="PBM22"/>
      <c r="PBQ22"/>
      <c r="PBU22"/>
      <c r="PBY22"/>
      <c r="PCC22"/>
      <c r="PCG22"/>
      <c r="PCK22"/>
      <c r="PCO22"/>
      <c r="PCS22"/>
      <c r="PCW22"/>
      <c r="PDA22"/>
      <c r="PDE22"/>
      <c r="PDI22"/>
      <c r="PDM22"/>
      <c r="PDQ22"/>
      <c r="PDU22"/>
      <c r="PDY22"/>
      <c r="PEC22"/>
      <c r="PEG22"/>
      <c r="PEK22"/>
      <c r="PEO22"/>
      <c r="PES22"/>
      <c r="PEW22"/>
      <c r="PFA22"/>
      <c r="PFE22"/>
      <c r="PFI22"/>
      <c r="PFM22"/>
      <c r="PFQ22"/>
      <c r="PFU22"/>
      <c r="PFY22"/>
      <c r="PGC22"/>
      <c r="PGG22"/>
      <c r="PGK22"/>
      <c r="PGO22"/>
      <c r="PGS22"/>
      <c r="PGW22"/>
      <c r="PHA22"/>
      <c r="PHE22"/>
      <c r="PHI22"/>
      <c r="PHM22"/>
      <c r="PHQ22"/>
      <c r="PHU22"/>
      <c r="PHY22"/>
      <c r="PIC22"/>
      <c r="PIG22"/>
      <c r="PIK22"/>
      <c r="PIO22"/>
      <c r="PIS22"/>
      <c r="PIW22"/>
      <c r="PJA22"/>
      <c r="PJE22"/>
      <c r="PJI22"/>
      <c r="PJM22"/>
      <c r="PJQ22"/>
      <c r="PJU22"/>
      <c r="PJY22"/>
      <c r="PKC22"/>
      <c r="PKG22"/>
      <c r="PKK22"/>
      <c r="PKO22"/>
      <c r="PKS22"/>
      <c r="PKW22"/>
      <c r="PLA22"/>
      <c r="PLE22"/>
      <c r="PLI22"/>
      <c r="PLM22"/>
      <c r="PLQ22"/>
      <c r="PLU22"/>
      <c r="PLY22"/>
      <c r="PMC22"/>
      <c r="PMG22"/>
      <c r="PMK22"/>
      <c r="PMO22"/>
      <c r="PMS22"/>
      <c r="PMW22"/>
      <c r="PNA22"/>
      <c r="PNE22"/>
      <c r="PNI22"/>
      <c r="PNM22"/>
      <c r="PNQ22"/>
      <c r="PNU22"/>
      <c r="PNY22"/>
      <c r="POC22"/>
      <c r="POG22"/>
      <c r="POK22"/>
      <c r="POO22"/>
      <c r="POS22"/>
      <c r="POW22"/>
      <c r="PPA22"/>
      <c r="PPE22"/>
      <c r="PPI22"/>
      <c r="PPM22"/>
      <c r="PPQ22"/>
      <c r="PPU22"/>
      <c r="PPY22"/>
      <c r="PQC22"/>
      <c r="PQG22"/>
      <c r="PQK22"/>
      <c r="PQO22"/>
      <c r="PQS22"/>
      <c r="PQW22"/>
      <c r="PRA22"/>
      <c r="PRE22"/>
      <c r="PRI22"/>
      <c r="PRM22"/>
      <c r="PRQ22"/>
      <c r="PRU22"/>
      <c r="PRY22"/>
      <c r="PSC22"/>
      <c r="PSG22"/>
      <c r="PSK22"/>
      <c r="PSO22"/>
      <c r="PSS22"/>
      <c r="PSW22"/>
      <c r="PTA22"/>
      <c r="PTE22"/>
      <c r="PTI22"/>
      <c r="PTM22"/>
      <c r="PTQ22"/>
      <c r="PTU22"/>
      <c r="PTY22"/>
      <c r="PUC22"/>
      <c r="PUG22"/>
      <c r="PUK22"/>
      <c r="PUO22"/>
      <c r="PUS22"/>
      <c r="PUW22"/>
      <c r="PVA22"/>
      <c r="PVE22"/>
      <c r="PVI22"/>
      <c r="PVM22"/>
      <c r="PVQ22"/>
      <c r="PVU22"/>
      <c r="PVY22"/>
      <c r="PWC22"/>
      <c r="PWG22"/>
      <c r="PWK22"/>
      <c r="PWO22"/>
      <c r="PWS22"/>
      <c r="PWW22"/>
      <c r="PXA22"/>
      <c r="PXE22"/>
      <c r="PXI22"/>
      <c r="PXM22"/>
      <c r="PXQ22"/>
      <c r="PXU22"/>
      <c r="PXY22"/>
      <c r="PYC22"/>
      <c r="PYG22"/>
      <c r="PYK22"/>
      <c r="PYO22"/>
      <c r="PYS22"/>
      <c r="PYW22"/>
      <c r="PZA22"/>
      <c r="PZE22"/>
      <c r="PZI22"/>
      <c r="PZM22"/>
      <c r="PZQ22"/>
      <c r="PZU22"/>
      <c r="PZY22"/>
      <c r="QAC22"/>
      <c r="QAG22"/>
      <c r="QAK22"/>
      <c r="QAO22"/>
      <c r="QAS22"/>
      <c r="QAW22"/>
      <c r="QBA22"/>
      <c r="QBE22"/>
      <c r="QBI22"/>
      <c r="QBM22"/>
      <c r="QBQ22"/>
      <c r="QBU22"/>
      <c r="QBY22"/>
      <c r="QCC22"/>
      <c r="QCG22"/>
      <c r="QCK22"/>
      <c r="QCO22"/>
      <c r="QCS22"/>
      <c r="QCW22"/>
      <c r="QDA22"/>
      <c r="QDE22"/>
      <c r="QDI22"/>
      <c r="QDM22"/>
      <c r="QDQ22"/>
      <c r="QDU22"/>
      <c r="QDY22"/>
      <c r="QEC22"/>
      <c r="QEG22"/>
      <c r="QEK22"/>
      <c r="QEO22"/>
      <c r="QES22"/>
      <c r="QEW22"/>
      <c r="QFA22"/>
      <c r="QFE22"/>
      <c r="QFI22"/>
      <c r="QFM22"/>
      <c r="QFQ22"/>
      <c r="QFU22"/>
      <c r="QFY22"/>
      <c r="QGC22"/>
      <c r="QGG22"/>
      <c r="QGK22"/>
      <c r="QGO22"/>
      <c r="QGS22"/>
      <c r="QGW22"/>
      <c r="QHA22"/>
      <c r="QHE22"/>
      <c r="QHI22"/>
      <c r="QHM22"/>
      <c r="QHQ22"/>
      <c r="QHU22"/>
      <c r="QHY22"/>
      <c r="QIC22"/>
      <c r="QIG22"/>
      <c r="QIK22"/>
      <c r="QIO22"/>
      <c r="QIS22"/>
      <c r="QIW22"/>
      <c r="QJA22"/>
      <c r="QJE22"/>
      <c r="QJI22"/>
      <c r="QJM22"/>
      <c r="QJQ22"/>
      <c r="QJU22"/>
      <c r="QJY22"/>
      <c r="QKC22"/>
      <c r="QKG22"/>
      <c r="QKK22"/>
      <c r="QKO22"/>
      <c r="QKS22"/>
      <c r="QKW22"/>
      <c r="QLA22"/>
      <c r="QLE22"/>
      <c r="QLI22"/>
      <c r="QLM22"/>
      <c r="QLQ22"/>
      <c r="QLU22"/>
      <c r="QLY22"/>
      <c r="QMC22"/>
      <c r="QMG22"/>
      <c r="QMK22"/>
      <c r="QMO22"/>
      <c r="QMS22"/>
      <c r="QMW22"/>
      <c r="QNA22"/>
      <c r="QNE22"/>
      <c r="QNI22"/>
      <c r="QNM22"/>
      <c r="QNQ22"/>
      <c r="QNU22"/>
      <c r="QNY22"/>
      <c r="QOC22"/>
      <c r="QOG22"/>
      <c r="QOK22"/>
      <c r="QOO22"/>
      <c r="QOS22"/>
      <c r="QOW22"/>
      <c r="QPA22"/>
      <c r="QPE22"/>
      <c r="QPI22"/>
      <c r="QPM22"/>
      <c r="QPQ22"/>
      <c r="QPU22"/>
      <c r="QPY22"/>
      <c r="QQC22"/>
      <c r="QQG22"/>
      <c r="QQK22"/>
      <c r="QQO22"/>
      <c r="QQS22"/>
      <c r="QQW22"/>
      <c r="QRA22"/>
      <c r="QRE22"/>
      <c r="QRI22"/>
      <c r="QRM22"/>
      <c r="QRQ22"/>
      <c r="QRU22"/>
      <c r="QRY22"/>
      <c r="QSC22"/>
      <c r="QSG22"/>
      <c r="QSK22"/>
      <c r="QSO22"/>
      <c r="QSS22"/>
      <c r="QSW22"/>
      <c r="QTA22"/>
      <c r="QTE22"/>
      <c r="QTI22"/>
      <c r="QTM22"/>
      <c r="QTQ22"/>
      <c r="QTU22"/>
      <c r="QTY22"/>
      <c r="QUC22"/>
      <c r="QUG22"/>
      <c r="QUK22"/>
      <c r="QUO22"/>
      <c r="QUS22"/>
      <c r="QUW22"/>
      <c r="QVA22"/>
      <c r="QVE22"/>
      <c r="QVI22"/>
      <c r="QVM22"/>
      <c r="QVQ22"/>
      <c r="QVU22"/>
      <c r="QVY22"/>
      <c r="QWC22"/>
      <c r="QWG22"/>
      <c r="QWK22"/>
      <c r="QWO22"/>
      <c r="QWS22"/>
      <c r="QWW22"/>
      <c r="QXA22"/>
      <c r="QXE22"/>
      <c r="QXI22"/>
      <c r="QXM22"/>
      <c r="QXQ22"/>
      <c r="QXU22"/>
      <c r="QXY22"/>
      <c r="QYC22"/>
      <c r="QYG22"/>
      <c r="QYK22"/>
      <c r="QYO22"/>
      <c r="QYS22"/>
      <c r="QYW22"/>
      <c r="QZA22"/>
      <c r="QZE22"/>
      <c r="QZI22"/>
      <c r="QZM22"/>
      <c r="QZQ22"/>
      <c r="QZU22"/>
      <c r="QZY22"/>
      <c r="RAC22"/>
      <c r="RAG22"/>
      <c r="RAK22"/>
      <c r="RAO22"/>
      <c r="RAS22"/>
      <c r="RAW22"/>
      <c r="RBA22"/>
      <c r="RBE22"/>
      <c r="RBI22"/>
      <c r="RBM22"/>
      <c r="RBQ22"/>
      <c r="RBU22"/>
      <c r="RBY22"/>
      <c r="RCC22"/>
      <c r="RCG22"/>
      <c r="RCK22"/>
      <c r="RCO22"/>
      <c r="RCS22"/>
      <c r="RCW22"/>
      <c r="RDA22"/>
      <c r="RDE22"/>
      <c r="RDI22"/>
      <c r="RDM22"/>
      <c r="RDQ22"/>
      <c r="RDU22"/>
      <c r="RDY22"/>
      <c r="REC22"/>
      <c r="REG22"/>
      <c r="REK22"/>
      <c r="REO22"/>
      <c r="RES22"/>
      <c r="REW22"/>
      <c r="RFA22"/>
      <c r="RFE22"/>
      <c r="RFI22"/>
      <c r="RFM22"/>
      <c r="RFQ22"/>
      <c r="RFU22"/>
      <c r="RFY22"/>
      <c r="RGC22"/>
      <c r="RGG22"/>
      <c r="RGK22"/>
      <c r="RGO22"/>
      <c r="RGS22"/>
      <c r="RGW22"/>
      <c r="RHA22"/>
      <c r="RHE22"/>
      <c r="RHI22"/>
      <c r="RHM22"/>
      <c r="RHQ22"/>
      <c r="RHU22"/>
      <c r="RHY22"/>
      <c r="RIC22"/>
      <c r="RIG22"/>
      <c r="RIK22"/>
      <c r="RIO22"/>
      <c r="RIS22"/>
      <c r="RIW22"/>
      <c r="RJA22"/>
      <c r="RJE22"/>
      <c r="RJI22"/>
      <c r="RJM22"/>
      <c r="RJQ22"/>
      <c r="RJU22"/>
      <c r="RJY22"/>
      <c r="RKC22"/>
      <c r="RKG22"/>
      <c r="RKK22"/>
      <c r="RKO22"/>
      <c r="RKS22"/>
      <c r="RKW22"/>
      <c r="RLA22"/>
      <c r="RLE22"/>
      <c r="RLI22"/>
      <c r="RLM22"/>
      <c r="RLQ22"/>
      <c r="RLU22"/>
      <c r="RLY22"/>
      <c r="RMC22"/>
      <c r="RMG22"/>
      <c r="RMK22"/>
      <c r="RMO22"/>
      <c r="RMS22"/>
      <c r="RMW22"/>
      <c r="RNA22"/>
      <c r="RNE22"/>
      <c r="RNI22"/>
      <c r="RNM22"/>
      <c r="RNQ22"/>
      <c r="RNU22"/>
      <c r="RNY22"/>
      <c r="ROC22"/>
      <c r="ROG22"/>
      <c r="ROK22"/>
      <c r="ROO22"/>
      <c r="ROS22"/>
      <c r="ROW22"/>
      <c r="RPA22"/>
      <c r="RPE22"/>
      <c r="RPI22"/>
      <c r="RPM22"/>
      <c r="RPQ22"/>
      <c r="RPU22"/>
      <c r="RPY22"/>
      <c r="RQC22"/>
      <c r="RQG22"/>
      <c r="RQK22"/>
      <c r="RQO22"/>
      <c r="RQS22"/>
      <c r="RQW22"/>
      <c r="RRA22"/>
      <c r="RRE22"/>
      <c r="RRI22"/>
      <c r="RRM22"/>
      <c r="RRQ22"/>
      <c r="RRU22"/>
      <c r="RRY22"/>
      <c r="RSC22"/>
      <c r="RSG22"/>
      <c r="RSK22"/>
      <c r="RSO22"/>
      <c r="RSS22"/>
      <c r="RSW22"/>
      <c r="RTA22"/>
      <c r="RTE22"/>
      <c r="RTI22"/>
      <c r="RTM22"/>
      <c r="RTQ22"/>
      <c r="RTU22"/>
      <c r="RTY22"/>
      <c r="RUC22"/>
      <c r="RUG22"/>
      <c r="RUK22"/>
      <c r="RUO22"/>
      <c r="RUS22"/>
      <c r="RUW22"/>
      <c r="RVA22"/>
      <c r="RVE22"/>
      <c r="RVI22"/>
      <c r="RVM22"/>
      <c r="RVQ22"/>
      <c r="RVU22"/>
      <c r="RVY22"/>
      <c r="RWC22"/>
      <c r="RWG22"/>
      <c r="RWK22"/>
      <c r="RWO22"/>
      <c r="RWS22"/>
      <c r="RWW22"/>
      <c r="RXA22"/>
      <c r="RXE22"/>
      <c r="RXI22"/>
      <c r="RXM22"/>
      <c r="RXQ22"/>
      <c r="RXU22"/>
      <c r="RXY22"/>
      <c r="RYC22"/>
      <c r="RYG22"/>
      <c r="RYK22"/>
      <c r="RYO22"/>
      <c r="RYS22"/>
      <c r="RYW22"/>
      <c r="RZA22"/>
      <c r="RZE22"/>
      <c r="RZI22"/>
      <c r="RZM22"/>
      <c r="RZQ22"/>
      <c r="RZU22"/>
      <c r="RZY22"/>
      <c r="SAC22"/>
      <c r="SAG22"/>
      <c r="SAK22"/>
      <c r="SAO22"/>
      <c r="SAS22"/>
      <c r="SAW22"/>
      <c r="SBA22"/>
      <c r="SBE22"/>
      <c r="SBI22"/>
      <c r="SBM22"/>
      <c r="SBQ22"/>
      <c r="SBU22"/>
      <c r="SBY22"/>
      <c r="SCC22"/>
      <c r="SCG22"/>
      <c r="SCK22"/>
      <c r="SCO22"/>
      <c r="SCS22"/>
      <c r="SCW22"/>
      <c r="SDA22"/>
      <c r="SDE22"/>
      <c r="SDI22"/>
      <c r="SDM22"/>
      <c r="SDQ22"/>
      <c r="SDU22"/>
      <c r="SDY22"/>
      <c r="SEC22"/>
      <c r="SEG22"/>
      <c r="SEK22"/>
      <c r="SEO22"/>
      <c r="SES22"/>
      <c r="SEW22"/>
      <c r="SFA22"/>
      <c r="SFE22"/>
      <c r="SFI22"/>
      <c r="SFM22"/>
      <c r="SFQ22"/>
      <c r="SFU22"/>
      <c r="SFY22"/>
      <c r="SGC22"/>
      <c r="SGG22"/>
      <c r="SGK22"/>
      <c r="SGO22"/>
      <c r="SGS22"/>
      <c r="SGW22"/>
      <c r="SHA22"/>
      <c r="SHE22"/>
      <c r="SHI22"/>
      <c r="SHM22"/>
      <c r="SHQ22"/>
      <c r="SHU22"/>
      <c r="SHY22"/>
      <c r="SIC22"/>
      <c r="SIG22"/>
      <c r="SIK22"/>
      <c r="SIO22"/>
      <c r="SIS22"/>
      <c r="SIW22"/>
      <c r="SJA22"/>
      <c r="SJE22"/>
      <c r="SJI22"/>
      <c r="SJM22"/>
      <c r="SJQ22"/>
      <c r="SJU22"/>
      <c r="SJY22"/>
      <c r="SKC22"/>
      <c r="SKG22"/>
      <c r="SKK22"/>
      <c r="SKO22"/>
      <c r="SKS22"/>
      <c r="SKW22"/>
      <c r="SLA22"/>
      <c r="SLE22"/>
      <c r="SLI22"/>
      <c r="SLM22"/>
      <c r="SLQ22"/>
      <c r="SLU22"/>
      <c r="SLY22"/>
      <c r="SMC22"/>
      <c r="SMG22"/>
      <c r="SMK22"/>
      <c r="SMO22"/>
      <c r="SMS22"/>
      <c r="SMW22"/>
      <c r="SNA22"/>
      <c r="SNE22"/>
      <c r="SNI22"/>
      <c r="SNM22"/>
      <c r="SNQ22"/>
      <c r="SNU22"/>
      <c r="SNY22"/>
      <c r="SOC22"/>
      <c r="SOG22"/>
      <c r="SOK22"/>
      <c r="SOO22"/>
      <c r="SOS22"/>
      <c r="SOW22"/>
      <c r="SPA22"/>
      <c r="SPE22"/>
      <c r="SPI22"/>
      <c r="SPM22"/>
      <c r="SPQ22"/>
      <c r="SPU22"/>
      <c r="SPY22"/>
      <c r="SQC22"/>
      <c r="SQG22"/>
      <c r="SQK22"/>
      <c r="SQO22"/>
      <c r="SQS22"/>
      <c r="SQW22"/>
      <c r="SRA22"/>
      <c r="SRE22"/>
      <c r="SRI22"/>
      <c r="SRM22"/>
      <c r="SRQ22"/>
      <c r="SRU22"/>
      <c r="SRY22"/>
      <c r="SSC22"/>
      <c r="SSG22"/>
      <c r="SSK22"/>
      <c r="SSO22"/>
      <c r="SSS22"/>
      <c r="SSW22"/>
      <c r="STA22"/>
      <c r="STE22"/>
      <c r="STI22"/>
      <c r="STM22"/>
      <c r="STQ22"/>
      <c r="STU22"/>
      <c r="STY22"/>
      <c r="SUC22"/>
      <c r="SUG22"/>
      <c r="SUK22"/>
      <c r="SUO22"/>
      <c r="SUS22"/>
      <c r="SUW22"/>
      <c r="SVA22"/>
      <c r="SVE22"/>
      <c r="SVI22"/>
      <c r="SVM22"/>
      <c r="SVQ22"/>
      <c r="SVU22"/>
      <c r="SVY22"/>
      <c r="SWC22"/>
      <c r="SWG22"/>
      <c r="SWK22"/>
      <c r="SWO22"/>
      <c r="SWS22"/>
      <c r="SWW22"/>
      <c r="SXA22"/>
      <c r="SXE22"/>
      <c r="SXI22"/>
      <c r="SXM22"/>
      <c r="SXQ22"/>
      <c r="SXU22"/>
      <c r="SXY22"/>
      <c r="SYC22"/>
      <c r="SYG22"/>
      <c r="SYK22"/>
      <c r="SYO22"/>
      <c r="SYS22"/>
      <c r="SYW22"/>
      <c r="SZA22"/>
      <c r="SZE22"/>
      <c r="SZI22"/>
      <c r="SZM22"/>
      <c r="SZQ22"/>
      <c r="SZU22"/>
      <c r="SZY22"/>
      <c r="TAC22"/>
      <c r="TAG22"/>
      <c r="TAK22"/>
      <c r="TAO22"/>
      <c r="TAS22"/>
      <c r="TAW22"/>
      <c r="TBA22"/>
      <c r="TBE22"/>
      <c r="TBI22"/>
      <c r="TBM22"/>
      <c r="TBQ22"/>
      <c r="TBU22"/>
      <c r="TBY22"/>
      <c r="TCC22"/>
      <c r="TCG22"/>
      <c r="TCK22"/>
      <c r="TCO22"/>
      <c r="TCS22"/>
      <c r="TCW22"/>
      <c r="TDA22"/>
      <c r="TDE22"/>
      <c r="TDI22"/>
      <c r="TDM22"/>
      <c r="TDQ22"/>
      <c r="TDU22"/>
      <c r="TDY22"/>
      <c r="TEC22"/>
      <c r="TEG22"/>
      <c r="TEK22"/>
      <c r="TEO22"/>
      <c r="TES22"/>
      <c r="TEW22"/>
      <c r="TFA22"/>
      <c r="TFE22"/>
      <c r="TFI22"/>
      <c r="TFM22"/>
      <c r="TFQ22"/>
      <c r="TFU22"/>
      <c r="TFY22"/>
      <c r="TGC22"/>
      <c r="TGG22"/>
      <c r="TGK22"/>
      <c r="TGO22"/>
      <c r="TGS22"/>
      <c r="TGW22"/>
      <c r="THA22"/>
      <c r="THE22"/>
      <c r="THI22"/>
      <c r="THM22"/>
      <c r="THQ22"/>
      <c r="THU22"/>
      <c r="THY22"/>
      <c r="TIC22"/>
      <c r="TIG22"/>
      <c r="TIK22"/>
      <c r="TIO22"/>
      <c r="TIS22"/>
      <c r="TIW22"/>
      <c r="TJA22"/>
      <c r="TJE22"/>
      <c r="TJI22"/>
      <c r="TJM22"/>
      <c r="TJQ22"/>
      <c r="TJU22"/>
      <c r="TJY22"/>
      <c r="TKC22"/>
      <c r="TKG22"/>
      <c r="TKK22"/>
      <c r="TKO22"/>
      <c r="TKS22"/>
      <c r="TKW22"/>
      <c r="TLA22"/>
      <c r="TLE22"/>
      <c r="TLI22"/>
      <c r="TLM22"/>
      <c r="TLQ22"/>
      <c r="TLU22"/>
      <c r="TLY22"/>
      <c r="TMC22"/>
      <c r="TMG22"/>
      <c r="TMK22"/>
      <c r="TMO22"/>
      <c r="TMS22"/>
      <c r="TMW22"/>
      <c r="TNA22"/>
      <c r="TNE22"/>
      <c r="TNI22"/>
      <c r="TNM22"/>
      <c r="TNQ22"/>
      <c r="TNU22"/>
      <c r="TNY22"/>
      <c r="TOC22"/>
      <c r="TOG22"/>
      <c r="TOK22"/>
      <c r="TOO22"/>
      <c r="TOS22"/>
      <c r="TOW22"/>
      <c r="TPA22"/>
      <c r="TPE22"/>
      <c r="TPI22"/>
      <c r="TPM22"/>
      <c r="TPQ22"/>
      <c r="TPU22"/>
      <c r="TPY22"/>
      <c r="TQC22"/>
      <c r="TQG22"/>
      <c r="TQK22"/>
      <c r="TQO22"/>
      <c r="TQS22"/>
      <c r="TQW22"/>
      <c r="TRA22"/>
      <c r="TRE22"/>
      <c r="TRI22"/>
      <c r="TRM22"/>
      <c r="TRQ22"/>
      <c r="TRU22"/>
      <c r="TRY22"/>
      <c r="TSC22"/>
      <c r="TSG22"/>
      <c r="TSK22"/>
      <c r="TSO22"/>
      <c r="TSS22"/>
      <c r="TSW22"/>
      <c r="TTA22"/>
      <c r="TTE22"/>
      <c r="TTI22"/>
      <c r="TTM22"/>
      <c r="TTQ22"/>
      <c r="TTU22"/>
      <c r="TTY22"/>
      <c r="TUC22"/>
      <c r="TUG22"/>
      <c r="TUK22"/>
      <c r="TUO22"/>
      <c r="TUS22"/>
      <c r="TUW22"/>
      <c r="TVA22"/>
      <c r="TVE22"/>
      <c r="TVI22"/>
      <c r="TVM22"/>
      <c r="TVQ22"/>
      <c r="TVU22"/>
      <c r="TVY22"/>
      <c r="TWC22"/>
      <c r="TWG22"/>
      <c r="TWK22"/>
      <c r="TWO22"/>
      <c r="TWS22"/>
      <c r="TWW22"/>
      <c r="TXA22"/>
      <c r="TXE22"/>
      <c r="TXI22"/>
      <c r="TXM22"/>
      <c r="TXQ22"/>
      <c r="TXU22"/>
      <c r="TXY22"/>
      <c r="TYC22"/>
      <c r="TYG22"/>
      <c r="TYK22"/>
      <c r="TYO22"/>
      <c r="TYS22"/>
      <c r="TYW22"/>
      <c r="TZA22"/>
      <c r="TZE22"/>
      <c r="TZI22"/>
      <c r="TZM22"/>
      <c r="TZQ22"/>
      <c r="TZU22"/>
      <c r="TZY22"/>
      <c r="UAC22"/>
      <c r="UAG22"/>
      <c r="UAK22"/>
      <c r="UAO22"/>
      <c r="UAS22"/>
      <c r="UAW22"/>
      <c r="UBA22"/>
      <c r="UBE22"/>
      <c r="UBI22"/>
      <c r="UBM22"/>
      <c r="UBQ22"/>
      <c r="UBU22"/>
      <c r="UBY22"/>
      <c r="UCC22"/>
      <c r="UCG22"/>
      <c r="UCK22"/>
      <c r="UCO22"/>
      <c r="UCS22"/>
      <c r="UCW22"/>
      <c r="UDA22"/>
      <c r="UDE22"/>
      <c r="UDI22"/>
      <c r="UDM22"/>
      <c r="UDQ22"/>
      <c r="UDU22"/>
      <c r="UDY22"/>
      <c r="UEC22"/>
      <c r="UEG22"/>
      <c r="UEK22"/>
      <c r="UEO22"/>
      <c r="UES22"/>
      <c r="UEW22"/>
      <c r="UFA22"/>
      <c r="UFE22"/>
      <c r="UFI22"/>
      <c r="UFM22"/>
      <c r="UFQ22"/>
      <c r="UFU22"/>
      <c r="UFY22"/>
      <c r="UGC22"/>
      <c r="UGG22"/>
      <c r="UGK22"/>
      <c r="UGO22"/>
      <c r="UGS22"/>
      <c r="UGW22"/>
      <c r="UHA22"/>
      <c r="UHE22"/>
      <c r="UHI22"/>
      <c r="UHM22"/>
      <c r="UHQ22"/>
      <c r="UHU22"/>
      <c r="UHY22"/>
      <c r="UIC22"/>
      <c r="UIG22"/>
      <c r="UIK22"/>
      <c r="UIO22"/>
      <c r="UIS22"/>
      <c r="UIW22"/>
      <c r="UJA22"/>
      <c r="UJE22"/>
      <c r="UJI22"/>
      <c r="UJM22"/>
      <c r="UJQ22"/>
      <c r="UJU22"/>
      <c r="UJY22"/>
      <c r="UKC22"/>
      <c r="UKG22"/>
      <c r="UKK22"/>
      <c r="UKO22"/>
      <c r="UKS22"/>
      <c r="UKW22"/>
      <c r="ULA22"/>
      <c r="ULE22"/>
      <c r="ULI22"/>
      <c r="ULM22"/>
      <c r="ULQ22"/>
      <c r="ULU22"/>
      <c r="ULY22"/>
      <c r="UMC22"/>
      <c r="UMG22"/>
      <c r="UMK22"/>
      <c r="UMO22"/>
      <c r="UMS22"/>
      <c r="UMW22"/>
      <c r="UNA22"/>
      <c r="UNE22"/>
      <c r="UNI22"/>
      <c r="UNM22"/>
      <c r="UNQ22"/>
      <c r="UNU22"/>
      <c r="UNY22"/>
      <c r="UOC22"/>
      <c r="UOG22"/>
      <c r="UOK22"/>
      <c r="UOO22"/>
      <c r="UOS22"/>
      <c r="UOW22"/>
      <c r="UPA22"/>
      <c r="UPE22"/>
      <c r="UPI22"/>
      <c r="UPM22"/>
      <c r="UPQ22"/>
      <c r="UPU22"/>
      <c r="UPY22"/>
      <c r="UQC22"/>
      <c r="UQG22"/>
      <c r="UQK22"/>
      <c r="UQO22"/>
      <c r="UQS22"/>
      <c r="UQW22"/>
      <c r="URA22"/>
      <c r="URE22"/>
      <c r="URI22"/>
      <c r="URM22"/>
      <c r="URQ22"/>
      <c r="URU22"/>
      <c r="URY22"/>
      <c r="USC22"/>
      <c r="USG22"/>
      <c r="USK22"/>
      <c r="USO22"/>
      <c r="USS22"/>
      <c r="USW22"/>
      <c r="UTA22"/>
      <c r="UTE22"/>
      <c r="UTI22"/>
      <c r="UTM22"/>
      <c r="UTQ22"/>
      <c r="UTU22"/>
      <c r="UTY22"/>
      <c r="UUC22"/>
      <c r="UUG22"/>
      <c r="UUK22"/>
      <c r="UUO22"/>
      <c r="UUS22"/>
      <c r="UUW22"/>
      <c r="UVA22"/>
      <c r="UVE22"/>
      <c r="UVI22"/>
      <c r="UVM22"/>
      <c r="UVQ22"/>
      <c r="UVU22"/>
      <c r="UVY22"/>
      <c r="UWC22"/>
      <c r="UWG22"/>
      <c r="UWK22"/>
      <c r="UWO22"/>
      <c r="UWS22"/>
      <c r="UWW22"/>
      <c r="UXA22"/>
      <c r="UXE22"/>
      <c r="UXI22"/>
      <c r="UXM22"/>
      <c r="UXQ22"/>
      <c r="UXU22"/>
      <c r="UXY22"/>
      <c r="UYC22"/>
      <c r="UYG22"/>
      <c r="UYK22"/>
      <c r="UYO22"/>
      <c r="UYS22"/>
      <c r="UYW22"/>
      <c r="UZA22"/>
      <c r="UZE22"/>
      <c r="UZI22"/>
      <c r="UZM22"/>
      <c r="UZQ22"/>
      <c r="UZU22"/>
      <c r="UZY22"/>
      <c r="VAC22"/>
      <c r="VAG22"/>
      <c r="VAK22"/>
      <c r="VAO22"/>
      <c r="VAS22"/>
      <c r="VAW22"/>
      <c r="VBA22"/>
      <c r="VBE22"/>
      <c r="VBI22"/>
      <c r="VBM22"/>
      <c r="VBQ22"/>
      <c r="VBU22"/>
      <c r="VBY22"/>
      <c r="VCC22"/>
      <c r="VCG22"/>
      <c r="VCK22"/>
      <c r="VCO22"/>
      <c r="VCS22"/>
      <c r="VCW22"/>
      <c r="VDA22"/>
      <c r="VDE22"/>
      <c r="VDI22"/>
      <c r="VDM22"/>
      <c r="VDQ22"/>
      <c r="VDU22"/>
      <c r="VDY22"/>
      <c r="VEC22"/>
      <c r="VEG22"/>
      <c r="VEK22"/>
      <c r="VEO22"/>
      <c r="VES22"/>
      <c r="VEW22"/>
      <c r="VFA22"/>
      <c r="VFE22"/>
      <c r="VFI22"/>
      <c r="VFM22"/>
      <c r="VFQ22"/>
      <c r="VFU22"/>
      <c r="VFY22"/>
      <c r="VGC22"/>
      <c r="VGG22"/>
      <c r="VGK22"/>
      <c r="VGO22"/>
      <c r="VGS22"/>
      <c r="VGW22"/>
      <c r="VHA22"/>
      <c r="VHE22"/>
      <c r="VHI22"/>
      <c r="VHM22"/>
      <c r="VHQ22"/>
      <c r="VHU22"/>
      <c r="VHY22"/>
      <c r="VIC22"/>
      <c r="VIG22"/>
      <c r="VIK22"/>
      <c r="VIO22"/>
      <c r="VIS22"/>
      <c r="VIW22"/>
      <c r="VJA22"/>
      <c r="VJE22"/>
      <c r="VJI22"/>
      <c r="VJM22"/>
      <c r="VJQ22"/>
      <c r="VJU22"/>
      <c r="VJY22"/>
      <c r="VKC22"/>
      <c r="VKG22"/>
      <c r="VKK22"/>
      <c r="VKO22"/>
      <c r="VKS22"/>
      <c r="VKW22"/>
      <c r="VLA22"/>
      <c r="VLE22"/>
      <c r="VLI22"/>
      <c r="VLM22"/>
      <c r="VLQ22"/>
      <c r="VLU22"/>
      <c r="VLY22"/>
      <c r="VMC22"/>
      <c r="VMG22"/>
      <c r="VMK22"/>
      <c r="VMO22"/>
      <c r="VMS22"/>
      <c r="VMW22"/>
      <c r="VNA22"/>
      <c r="VNE22"/>
      <c r="VNI22"/>
      <c r="VNM22"/>
      <c r="VNQ22"/>
      <c r="VNU22"/>
      <c r="VNY22"/>
      <c r="VOC22"/>
      <c r="VOG22"/>
      <c r="VOK22"/>
      <c r="VOO22"/>
      <c r="VOS22"/>
      <c r="VOW22"/>
      <c r="VPA22"/>
      <c r="VPE22"/>
      <c r="VPI22"/>
      <c r="VPM22"/>
      <c r="VPQ22"/>
      <c r="VPU22"/>
      <c r="VPY22"/>
      <c r="VQC22"/>
      <c r="VQG22"/>
      <c r="VQK22"/>
      <c r="VQO22"/>
      <c r="VQS22"/>
      <c r="VQW22"/>
      <c r="VRA22"/>
      <c r="VRE22"/>
      <c r="VRI22"/>
      <c r="VRM22"/>
      <c r="VRQ22"/>
      <c r="VRU22"/>
      <c r="VRY22"/>
      <c r="VSC22"/>
      <c r="VSG22"/>
      <c r="VSK22"/>
      <c r="VSO22"/>
      <c r="VSS22"/>
      <c r="VSW22"/>
      <c r="VTA22"/>
      <c r="VTE22"/>
      <c r="VTI22"/>
      <c r="VTM22"/>
      <c r="VTQ22"/>
      <c r="VTU22"/>
      <c r="VTY22"/>
      <c r="VUC22"/>
      <c r="VUG22"/>
      <c r="VUK22"/>
      <c r="VUO22"/>
      <c r="VUS22"/>
      <c r="VUW22"/>
      <c r="VVA22"/>
      <c r="VVE22"/>
      <c r="VVI22"/>
      <c r="VVM22"/>
      <c r="VVQ22"/>
      <c r="VVU22"/>
      <c r="VVY22"/>
      <c r="VWC22"/>
      <c r="VWG22"/>
      <c r="VWK22"/>
      <c r="VWO22"/>
      <c r="VWS22"/>
      <c r="VWW22"/>
      <c r="VXA22"/>
      <c r="VXE22"/>
      <c r="VXI22"/>
      <c r="VXM22"/>
      <c r="VXQ22"/>
      <c r="VXU22"/>
      <c r="VXY22"/>
      <c r="VYC22"/>
      <c r="VYG22"/>
      <c r="VYK22"/>
      <c r="VYO22"/>
      <c r="VYS22"/>
      <c r="VYW22"/>
      <c r="VZA22"/>
      <c r="VZE22"/>
      <c r="VZI22"/>
      <c r="VZM22"/>
      <c r="VZQ22"/>
      <c r="VZU22"/>
      <c r="VZY22"/>
      <c r="WAC22"/>
      <c r="WAG22"/>
      <c r="WAK22"/>
      <c r="WAO22"/>
      <c r="WAS22"/>
      <c r="WAW22"/>
      <c r="WBA22"/>
      <c r="WBE22"/>
      <c r="WBI22"/>
      <c r="WBM22"/>
      <c r="WBQ22"/>
      <c r="WBU22"/>
      <c r="WBY22"/>
      <c r="WCC22"/>
      <c r="WCG22"/>
      <c r="WCK22"/>
      <c r="WCO22"/>
      <c r="WCS22"/>
      <c r="WCW22"/>
      <c r="WDA22"/>
      <c r="WDE22"/>
      <c r="WDI22"/>
      <c r="WDM22"/>
      <c r="WDQ22"/>
      <c r="WDU22"/>
      <c r="WDY22"/>
      <c r="WEC22"/>
      <c r="WEG22"/>
      <c r="WEK22"/>
      <c r="WEO22"/>
      <c r="WES22"/>
      <c r="WEW22"/>
      <c r="WFA22"/>
      <c r="WFE22"/>
      <c r="WFI22"/>
      <c r="WFM22"/>
      <c r="WFQ22"/>
      <c r="WFU22"/>
      <c r="WFY22"/>
      <c r="WGC22"/>
      <c r="WGG22"/>
      <c r="WGK22"/>
      <c r="WGO22"/>
      <c r="WGS22"/>
      <c r="WGW22"/>
      <c r="WHA22"/>
      <c r="WHE22"/>
      <c r="WHI22"/>
      <c r="WHM22"/>
      <c r="WHQ22"/>
      <c r="WHU22"/>
      <c r="WHY22"/>
      <c r="WIC22"/>
      <c r="WIG22"/>
      <c r="WIK22"/>
      <c r="WIO22"/>
      <c r="WIS22"/>
      <c r="WIW22"/>
      <c r="WJA22"/>
      <c r="WJE22"/>
      <c r="WJI22"/>
      <c r="WJM22"/>
      <c r="WJQ22"/>
      <c r="WJU22"/>
      <c r="WJY22"/>
      <c r="WKC22"/>
      <c r="WKG22"/>
      <c r="WKK22"/>
      <c r="WKO22"/>
      <c r="WKS22"/>
      <c r="WKW22"/>
      <c r="WLA22"/>
      <c r="WLE22"/>
      <c r="WLI22"/>
      <c r="WLM22"/>
      <c r="WLQ22"/>
      <c r="WLU22"/>
      <c r="WLY22"/>
      <c r="WMC22"/>
      <c r="WMG22"/>
      <c r="WMK22"/>
      <c r="WMO22"/>
      <c r="WMS22"/>
      <c r="WMW22"/>
      <c r="WNA22"/>
      <c r="WNE22"/>
      <c r="WNI22"/>
      <c r="WNM22"/>
      <c r="WNQ22"/>
      <c r="WNU22"/>
      <c r="WNY22"/>
      <c r="WOC22"/>
      <c r="WOG22"/>
      <c r="WOK22"/>
      <c r="WOO22"/>
      <c r="WOS22"/>
      <c r="WOW22"/>
      <c r="WPA22"/>
      <c r="WPE22"/>
      <c r="WPI22"/>
      <c r="WPM22"/>
      <c r="WPQ22"/>
      <c r="WPU22"/>
      <c r="WPY22"/>
      <c r="WQC22"/>
      <c r="WQG22"/>
      <c r="WQK22"/>
      <c r="WQO22"/>
      <c r="WQS22"/>
      <c r="WQW22"/>
      <c r="WRA22"/>
      <c r="WRE22"/>
      <c r="WRI22"/>
      <c r="WRM22"/>
      <c r="WRQ22"/>
      <c r="WRU22"/>
      <c r="WRY22"/>
      <c r="WSC22"/>
      <c r="WSG22"/>
      <c r="WSK22"/>
      <c r="WSO22"/>
      <c r="WSS22"/>
      <c r="WSW22"/>
      <c r="WTA22"/>
      <c r="WTE22"/>
      <c r="WTI22"/>
      <c r="WTM22"/>
      <c r="WTQ22"/>
      <c r="WTU22"/>
      <c r="WTY22"/>
      <c r="WUC22"/>
      <c r="WUG22"/>
      <c r="WUK22"/>
      <c r="WUO22"/>
      <c r="WUS22"/>
      <c r="WUW22"/>
      <c r="WVA22"/>
      <c r="WVE22"/>
      <c r="WVI22"/>
      <c r="WVM22"/>
      <c r="WVQ22"/>
      <c r="WVU22"/>
      <c r="WVY22"/>
      <c r="WWC22"/>
      <c r="WWG22"/>
      <c r="WWK22"/>
      <c r="WWO22"/>
      <c r="WWS22"/>
      <c r="WWW22"/>
      <c r="WXA22"/>
      <c r="WXE22"/>
      <c r="WXI22"/>
      <c r="WXM22"/>
      <c r="WXQ22"/>
      <c r="WXU22"/>
      <c r="WXY22"/>
      <c r="WYC22"/>
      <c r="WYG22"/>
      <c r="WYK22"/>
      <c r="WYO22"/>
      <c r="WYS22"/>
      <c r="WYW22"/>
      <c r="WZA22"/>
      <c r="WZE22"/>
      <c r="WZI22"/>
      <c r="WZM22"/>
      <c r="WZQ22"/>
      <c r="WZU22"/>
      <c r="WZY22"/>
      <c r="XAC22"/>
      <c r="XAG22"/>
      <c r="XAK22"/>
      <c r="XAO22"/>
      <c r="XAS22"/>
      <c r="XAW22"/>
      <c r="XBA22"/>
      <c r="XBE22"/>
      <c r="XBI22"/>
      <c r="XBM22"/>
      <c r="XBQ22"/>
      <c r="XBU22"/>
      <c r="XBY22"/>
      <c r="XCC22"/>
      <c r="XCG22"/>
      <c r="XCK22"/>
      <c r="XCO22"/>
      <c r="XCS22"/>
      <c r="XCW22"/>
      <c r="XDA22"/>
      <c r="XDE22"/>
      <c r="XDI22"/>
      <c r="XDM22"/>
      <c r="XDQ22"/>
      <c r="XDU22"/>
      <c r="XDY22"/>
      <c r="XEC22"/>
      <c r="XEG22"/>
      <c r="XEK22"/>
      <c r="XEO22"/>
      <c r="XES22"/>
      <c r="XEW22"/>
      <c r="XFA22"/>
    </row>
    <row r="23" spans="1:1021 1025:2045 2049:3069 3073:4093 4097:5117 5121:6141 6145:7165 7169:8189 8193:9213 9217:10237 10241:11261 11265:12285 12289:13309 13313:14333 14337:15357 15361:16381" s="1" customFormat="1" x14ac:dyDescent="0.35">
      <c r="A23" s="21">
        <v>1</v>
      </c>
      <c r="B23" s="21">
        <v>19</v>
      </c>
      <c r="C23" s="1" t="str">
        <f xml:space="preserve"> IF('Master Player List'!L21=1,'Master Player List'!C21,"")</f>
        <v/>
      </c>
      <c r="D23" s="1" t="str">
        <f xml:space="preserve"> IF('Master Player List'!L21=1,'Master Player List'!F21,"")</f>
        <v/>
      </c>
      <c r="E23" s="21" t="str">
        <f xml:space="preserve"> IF('Master Player List'!L21=1,'Master Player List'!I21,"")</f>
        <v/>
      </c>
      <c r="F23" s="22"/>
      <c r="I23" s="21"/>
      <c r="J23" s="22"/>
      <c r="M23"/>
      <c r="N23"/>
      <c r="O23"/>
      <c r="Q23"/>
      <c r="U23"/>
      <c r="Y23"/>
      <c r="AC23"/>
      <c r="AG23"/>
      <c r="AK23"/>
      <c r="AO23"/>
      <c r="AS23"/>
      <c r="AW23"/>
      <c r="BA23"/>
      <c r="BE23"/>
      <c r="BI23"/>
      <c r="BM23"/>
      <c r="BQ23"/>
      <c r="BU23"/>
      <c r="BY23"/>
      <c r="CC23"/>
      <c r="CG23"/>
      <c r="CK23"/>
      <c r="CO23"/>
      <c r="CS23"/>
      <c r="CW23"/>
      <c r="DA23"/>
      <c r="DE23"/>
      <c r="DI23"/>
      <c r="DM23"/>
      <c r="DQ23"/>
      <c r="DU23"/>
      <c r="DY23"/>
      <c r="EC23"/>
      <c r="EG23"/>
      <c r="EK23"/>
      <c r="EO23"/>
      <c r="ES23"/>
      <c r="EW23"/>
      <c r="FA23"/>
      <c r="FE23"/>
      <c r="FI23"/>
      <c r="FM23"/>
      <c r="FQ23"/>
      <c r="FU23"/>
      <c r="FY23"/>
      <c r="GC23"/>
      <c r="GG23"/>
      <c r="GK23"/>
      <c r="GO23"/>
      <c r="GS23"/>
      <c r="GW23"/>
      <c r="HA23"/>
      <c r="HE23"/>
      <c r="HI23"/>
      <c r="HM23"/>
      <c r="HQ23"/>
      <c r="HU23"/>
      <c r="HY23"/>
      <c r="IC23"/>
      <c r="IG23"/>
      <c r="IK23"/>
      <c r="IO23"/>
      <c r="IS23"/>
      <c r="IW23"/>
      <c r="JA23"/>
      <c r="JE23"/>
      <c r="JI23"/>
      <c r="JM23"/>
      <c r="JQ23"/>
      <c r="JU23"/>
      <c r="JY23"/>
      <c r="KC23"/>
      <c r="KG23"/>
      <c r="KK23"/>
      <c r="KO23"/>
      <c r="KS23"/>
      <c r="KW23"/>
      <c r="LA23"/>
      <c r="LE23"/>
      <c r="LI23"/>
      <c r="LM23"/>
      <c r="LQ23"/>
      <c r="LU23"/>
      <c r="LY23"/>
      <c r="MC23"/>
      <c r="MG23"/>
      <c r="MK23"/>
      <c r="MO23"/>
      <c r="MS23"/>
      <c r="MW23"/>
      <c r="NA23"/>
      <c r="NE23"/>
      <c r="NI23"/>
      <c r="NM23"/>
      <c r="NQ23"/>
      <c r="NU23"/>
      <c r="NY23"/>
      <c r="OC23"/>
      <c r="OG23"/>
      <c r="OK23"/>
      <c r="OO23"/>
      <c r="OS23"/>
      <c r="OW23"/>
      <c r="PA23"/>
      <c r="PE23"/>
      <c r="PI23"/>
      <c r="PM23"/>
      <c r="PQ23"/>
      <c r="PU23"/>
      <c r="PY23"/>
      <c r="QC23"/>
      <c r="QG23"/>
      <c r="QK23"/>
      <c r="QO23"/>
      <c r="QS23"/>
      <c r="QW23"/>
      <c r="RA23"/>
      <c r="RE23"/>
      <c r="RI23"/>
      <c r="RM23"/>
      <c r="RQ23"/>
      <c r="RU23"/>
      <c r="RY23"/>
      <c r="SC23"/>
      <c r="SG23"/>
      <c r="SK23"/>
      <c r="SO23"/>
      <c r="SS23"/>
      <c r="SW23"/>
      <c r="TA23"/>
      <c r="TE23"/>
      <c r="TI23"/>
      <c r="TM23"/>
      <c r="TQ23"/>
      <c r="TU23"/>
      <c r="TY23"/>
      <c r="UC23"/>
      <c r="UG23"/>
      <c r="UK23"/>
      <c r="UO23"/>
      <c r="US23"/>
      <c r="UW23"/>
      <c r="VA23"/>
      <c r="VE23"/>
      <c r="VI23"/>
      <c r="VM23"/>
      <c r="VQ23"/>
      <c r="VU23"/>
      <c r="VY23"/>
      <c r="WC23"/>
      <c r="WG23"/>
      <c r="WK23"/>
      <c r="WO23"/>
      <c r="WS23"/>
      <c r="WW23"/>
      <c r="XA23"/>
      <c r="XE23"/>
      <c r="XI23"/>
      <c r="XM23"/>
      <c r="XQ23"/>
      <c r="XU23"/>
      <c r="XY23"/>
      <c r="YC23"/>
      <c r="YG23"/>
      <c r="YK23"/>
      <c r="YO23"/>
      <c r="YS23"/>
      <c r="YW23"/>
      <c r="ZA23"/>
      <c r="ZE23"/>
      <c r="ZI23"/>
      <c r="ZM23"/>
      <c r="ZQ23"/>
      <c r="ZU23"/>
      <c r="ZY23"/>
      <c r="AAC23"/>
      <c r="AAG23"/>
      <c r="AAK23"/>
      <c r="AAO23"/>
      <c r="AAS23"/>
      <c r="AAW23"/>
      <c r="ABA23"/>
      <c r="ABE23"/>
      <c r="ABI23"/>
      <c r="ABM23"/>
      <c r="ABQ23"/>
      <c r="ABU23"/>
      <c r="ABY23"/>
      <c r="ACC23"/>
      <c r="ACG23"/>
      <c r="ACK23"/>
      <c r="ACO23"/>
      <c r="ACS23"/>
      <c r="ACW23"/>
      <c r="ADA23"/>
      <c r="ADE23"/>
      <c r="ADI23"/>
      <c r="ADM23"/>
      <c r="ADQ23"/>
      <c r="ADU23"/>
      <c r="ADY23"/>
      <c r="AEC23"/>
      <c r="AEG23"/>
      <c r="AEK23"/>
      <c r="AEO23"/>
      <c r="AES23"/>
      <c r="AEW23"/>
      <c r="AFA23"/>
      <c r="AFE23"/>
      <c r="AFI23"/>
      <c r="AFM23"/>
      <c r="AFQ23"/>
      <c r="AFU23"/>
      <c r="AFY23"/>
      <c r="AGC23"/>
      <c r="AGG23"/>
      <c r="AGK23"/>
      <c r="AGO23"/>
      <c r="AGS23"/>
      <c r="AGW23"/>
      <c r="AHA23"/>
      <c r="AHE23"/>
      <c r="AHI23"/>
      <c r="AHM23"/>
      <c r="AHQ23"/>
      <c r="AHU23"/>
      <c r="AHY23"/>
      <c r="AIC23"/>
      <c r="AIG23"/>
      <c r="AIK23"/>
      <c r="AIO23"/>
      <c r="AIS23"/>
      <c r="AIW23"/>
      <c r="AJA23"/>
      <c r="AJE23"/>
      <c r="AJI23"/>
      <c r="AJM23"/>
      <c r="AJQ23"/>
      <c r="AJU23"/>
      <c r="AJY23"/>
      <c r="AKC23"/>
      <c r="AKG23"/>
      <c r="AKK23"/>
      <c r="AKO23"/>
      <c r="AKS23"/>
      <c r="AKW23"/>
      <c r="ALA23"/>
      <c r="ALE23"/>
      <c r="ALI23"/>
      <c r="ALM23"/>
      <c r="ALQ23"/>
      <c r="ALU23"/>
      <c r="ALY23"/>
      <c r="AMC23"/>
      <c r="AMG23"/>
      <c r="AMK23"/>
      <c r="AMO23"/>
      <c r="AMS23"/>
      <c r="AMW23"/>
      <c r="ANA23"/>
      <c r="ANE23"/>
      <c r="ANI23"/>
      <c r="ANM23"/>
      <c r="ANQ23"/>
      <c r="ANU23"/>
      <c r="ANY23"/>
      <c r="AOC23"/>
      <c r="AOG23"/>
      <c r="AOK23"/>
      <c r="AOO23"/>
      <c r="AOS23"/>
      <c r="AOW23"/>
      <c r="APA23"/>
      <c r="APE23"/>
      <c r="API23"/>
      <c r="APM23"/>
      <c r="APQ23"/>
      <c r="APU23"/>
      <c r="APY23"/>
      <c r="AQC23"/>
      <c r="AQG23"/>
      <c r="AQK23"/>
      <c r="AQO23"/>
      <c r="AQS23"/>
      <c r="AQW23"/>
      <c r="ARA23"/>
      <c r="ARE23"/>
      <c r="ARI23"/>
      <c r="ARM23"/>
      <c r="ARQ23"/>
      <c r="ARU23"/>
      <c r="ARY23"/>
      <c r="ASC23"/>
      <c r="ASG23"/>
      <c r="ASK23"/>
      <c r="ASO23"/>
      <c r="ASS23"/>
      <c r="ASW23"/>
      <c r="ATA23"/>
      <c r="ATE23"/>
      <c r="ATI23"/>
      <c r="ATM23"/>
      <c r="ATQ23"/>
      <c r="ATU23"/>
      <c r="ATY23"/>
      <c r="AUC23"/>
      <c r="AUG23"/>
      <c r="AUK23"/>
      <c r="AUO23"/>
      <c r="AUS23"/>
      <c r="AUW23"/>
      <c r="AVA23"/>
      <c r="AVE23"/>
      <c r="AVI23"/>
      <c r="AVM23"/>
      <c r="AVQ23"/>
      <c r="AVU23"/>
      <c r="AVY23"/>
      <c r="AWC23"/>
      <c r="AWG23"/>
      <c r="AWK23"/>
      <c r="AWO23"/>
      <c r="AWS23"/>
      <c r="AWW23"/>
      <c r="AXA23"/>
      <c r="AXE23"/>
      <c r="AXI23"/>
      <c r="AXM23"/>
      <c r="AXQ23"/>
      <c r="AXU23"/>
      <c r="AXY23"/>
      <c r="AYC23"/>
      <c r="AYG23"/>
      <c r="AYK23"/>
      <c r="AYO23"/>
      <c r="AYS23"/>
      <c r="AYW23"/>
      <c r="AZA23"/>
      <c r="AZE23"/>
      <c r="AZI23"/>
      <c r="AZM23"/>
      <c r="AZQ23"/>
      <c r="AZU23"/>
      <c r="AZY23"/>
      <c r="BAC23"/>
      <c r="BAG23"/>
      <c r="BAK23"/>
      <c r="BAO23"/>
      <c r="BAS23"/>
      <c r="BAW23"/>
      <c r="BBA23"/>
      <c r="BBE23"/>
      <c r="BBI23"/>
      <c r="BBM23"/>
      <c r="BBQ23"/>
      <c r="BBU23"/>
      <c r="BBY23"/>
      <c r="BCC23"/>
      <c r="BCG23"/>
      <c r="BCK23"/>
      <c r="BCO23"/>
      <c r="BCS23"/>
      <c r="BCW23"/>
      <c r="BDA23"/>
      <c r="BDE23"/>
      <c r="BDI23"/>
      <c r="BDM23"/>
      <c r="BDQ23"/>
      <c r="BDU23"/>
      <c r="BDY23"/>
      <c r="BEC23"/>
      <c r="BEG23"/>
      <c r="BEK23"/>
      <c r="BEO23"/>
      <c r="BES23"/>
      <c r="BEW23"/>
      <c r="BFA23"/>
      <c r="BFE23"/>
      <c r="BFI23"/>
      <c r="BFM23"/>
      <c r="BFQ23"/>
      <c r="BFU23"/>
      <c r="BFY23"/>
      <c r="BGC23"/>
      <c r="BGG23"/>
      <c r="BGK23"/>
      <c r="BGO23"/>
      <c r="BGS23"/>
      <c r="BGW23"/>
      <c r="BHA23"/>
      <c r="BHE23"/>
      <c r="BHI23"/>
      <c r="BHM23"/>
      <c r="BHQ23"/>
      <c r="BHU23"/>
      <c r="BHY23"/>
      <c r="BIC23"/>
      <c r="BIG23"/>
      <c r="BIK23"/>
      <c r="BIO23"/>
      <c r="BIS23"/>
      <c r="BIW23"/>
      <c r="BJA23"/>
      <c r="BJE23"/>
      <c r="BJI23"/>
      <c r="BJM23"/>
      <c r="BJQ23"/>
      <c r="BJU23"/>
      <c r="BJY23"/>
      <c r="BKC23"/>
      <c r="BKG23"/>
      <c r="BKK23"/>
      <c r="BKO23"/>
      <c r="BKS23"/>
      <c r="BKW23"/>
      <c r="BLA23"/>
      <c r="BLE23"/>
      <c r="BLI23"/>
      <c r="BLM23"/>
      <c r="BLQ23"/>
      <c r="BLU23"/>
      <c r="BLY23"/>
      <c r="BMC23"/>
      <c r="BMG23"/>
      <c r="BMK23"/>
      <c r="BMO23"/>
      <c r="BMS23"/>
      <c r="BMW23"/>
      <c r="BNA23"/>
      <c r="BNE23"/>
      <c r="BNI23"/>
      <c r="BNM23"/>
      <c r="BNQ23"/>
      <c r="BNU23"/>
      <c r="BNY23"/>
      <c r="BOC23"/>
      <c r="BOG23"/>
      <c r="BOK23"/>
      <c r="BOO23"/>
      <c r="BOS23"/>
      <c r="BOW23"/>
      <c r="BPA23"/>
      <c r="BPE23"/>
      <c r="BPI23"/>
      <c r="BPM23"/>
      <c r="BPQ23"/>
      <c r="BPU23"/>
      <c r="BPY23"/>
      <c r="BQC23"/>
      <c r="BQG23"/>
      <c r="BQK23"/>
      <c r="BQO23"/>
      <c r="BQS23"/>
      <c r="BQW23"/>
      <c r="BRA23"/>
      <c r="BRE23"/>
      <c r="BRI23"/>
      <c r="BRM23"/>
      <c r="BRQ23"/>
      <c r="BRU23"/>
      <c r="BRY23"/>
      <c r="BSC23"/>
      <c r="BSG23"/>
      <c r="BSK23"/>
      <c r="BSO23"/>
      <c r="BSS23"/>
      <c r="BSW23"/>
      <c r="BTA23"/>
      <c r="BTE23"/>
      <c r="BTI23"/>
      <c r="BTM23"/>
      <c r="BTQ23"/>
      <c r="BTU23"/>
      <c r="BTY23"/>
      <c r="BUC23"/>
      <c r="BUG23"/>
      <c r="BUK23"/>
      <c r="BUO23"/>
      <c r="BUS23"/>
      <c r="BUW23"/>
      <c r="BVA23"/>
      <c r="BVE23"/>
      <c r="BVI23"/>
      <c r="BVM23"/>
      <c r="BVQ23"/>
      <c r="BVU23"/>
      <c r="BVY23"/>
      <c r="BWC23"/>
      <c r="BWG23"/>
      <c r="BWK23"/>
      <c r="BWO23"/>
      <c r="BWS23"/>
      <c r="BWW23"/>
      <c r="BXA23"/>
      <c r="BXE23"/>
      <c r="BXI23"/>
      <c r="BXM23"/>
      <c r="BXQ23"/>
      <c r="BXU23"/>
      <c r="BXY23"/>
      <c r="BYC23"/>
      <c r="BYG23"/>
      <c r="BYK23"/>
      <c r="BYO23"/>
      <c r="BYS23"/>
      <c r="BYW23"/>
      <c r="BZA23"/>
      <c r="BZE23"/>
      <c r="BZI23"/>
      <c r="BZM23"/>
      <c r="BZQ23"/>
      <c r="BZU23"/>
      <c r="BZY23"/>
      <c r="CAC23"/>
      <c r="CAG23"/>
      <c r="CAK23"/>
      <c r="CAO23"/>
      <c r="CAS23"/>
      <c r="CAW23"/>
      <c r="CBA23"/>
      <c r="CBE23"/>
      <c r="CBI23"/>
      <c r="CBM23"/>
      <c r="CBQ23"/>
      <c r="CBU23"/>
      <c r="CBY23"/>
      <c r="CCC23"/>
      <c r="CCG23"/>
      <c r="CCK23"/>
      <c r="CCO23"/>
      <c r="CCS23"/>
      <c r="CCW23"/>
      <c r="CDA23"/>
      <c r="CDE23"/>
      <c r="CDI23"/>
      <c r="CDM23"/>
      <c r="CDQ23"/>
      <c r="CDU23"/>
      <c r="CDY23"/>
      <c r="CEC23"/>
      <c r="CEG23"/>
      <c r="CEK23"/>
      <c r="CEO23"/>
      <c r="CES23"/>
      <c r="CEW23"/>
      <c r="CFA23"/>
      <c r="CFE23"/>
      <c r="CFI23"/>
      <c r="CFM23"/>
      <c r="CFQ23"/>
      <c r="CFU23"/>
      <c r="CFY23"/>
      <c r="CGC23"/>
      <c r="CGG23"/>
      <c r="CGK23"/>
      <c r="CGO23"/>
      <c r="CGS23"/>
      <c r="CGW23"/>
      <c r="CHA23"/>
      <c r="CHE23"/>
      <c r="CHI23"/>
      <c r="CHM23"/>
      <c r="CHQ23"/>
      <c r="CHU23"/>
      <c r="CHY23"/>
      <c r="CIC23"/>
      <c r="CIG23"/>
      <c r="CIK23"/>
      <c r="CIO23"/>
      <c r="CIS23"/>
      <c r="CIW23"/>
      <c r="CJA23"/>
      <c r="CJE23"/>
      <c r="CJI23"/>
      <c r="CJM23"/>
      <c r="CJQ23"/>
      <c r="CJU23"/>
      <c r="CJY23"/>
      <c r="CKC23"/>
      <c r="CKG23"/>
      <c r="CKK23"/>
      <c r="CKO23"/>
      <c r="CKS23"/>
      <c r="CKW23"/>
      <c r="CLA23"/>
      <c r="CLE23"/>
      <c r="CLI23"/>
      <c r="CLM23"/>
      <c r="CLQ23"/>
      <c r="CLU23"/>
      <c r="CLY23"/>
      <c r="CMC23"/>
      <c r="CMG23"/>
      <c r="CMK23"/>
      <c r="CMO23"/>
      <c r="CMS23"/>
      <c r="CMW23"/>
      <c r="CNA23"/>
      <c r="CNE23"/>
      <c r="CNI23"/>
      <c r="CNM23"/>
      <c r="CNQ23"/>
      <c r="CNU23"/>
      <c r="CNY23"/>
      <c r="COC23"/>
      <c r="COG23"/>
      <c r="COK23"/>
      <c r="COO23"/>
      <c r="COS23"/>
      <c r="COW23"/>
      <c r="CPA23"/>
      <c r="CPE23"/>
      <c r="CPI23"/>
      <c r="CPM23"/>
      <c r="CPQ23"/>
      <c r="CPU23"/>
      <c r="CPY23"/>
      <c r="CQC23"/>
      <c r="CQG23"/>
      <c r="CQK23"/>
      <c r="CQO23"/>
      <c r="CQS23"/>
      <c r="CQW23"/>
      <c r="CRA23"/>
      <c r="CRE23"/>
      <c r="CRI23"/>
      <c r="CRM23"/>
      <c r="CRQ23"/>
      <c r="CRU23"/>
      <c r="CRY23"/>
      <c r="CSC23"/>
      <c r="CSG23"/>
      <c r="CSK23"/>
      <c r="CSO23"/>
      <c r="CSS23"/>
      <c r="CSW23"/>
      <c r="CTA23"/>
      <c r="CTE23"/>
      <c r="CTI23"/>
      <c r="CTM23"/>
      <c r="CTQ23"/>
      <c r="CTU23"/>
      <c r="CTY23"/>
      <c r="CUC23"/>
      <c r="CUG23"/>
      <c r="CUK23"/>
      <c r="CUO23"/>
      <c r="CUS23"/>
      <c r="CUW23"/>
      <c r="CVA23"/>
      <c r="CVE23"/>
      <c r="CVI23"/>
      <c r="CVM23"/>
      <c r="CVQ23"/>
      <c r="CVU23"/>
      <c r="CVY23"/>
      <c r="CWC23"/>
      <c r="CWG23"/>
      <c r="CWK23"/>
      <c r="CWO23"/>
      <c r="CWS23"/>
      <c r="CWW23"/>
      <c r="CXA23"/>
      <c r="CXE23"/>
      <c r="CXI23"/>
      <c r="CXM23"/>
      <c r="CXQ23"/>
      <c r="CXU23"/>
      <c r="CXY23"/>
      <c r="CYC23"/>
      <c r="CYG23"/>
      <c r="CYK23"/>
      <c r="CYO23"/>
      <c r="CYS23"/>
      <c r="CYW23"/>
      <c r="CZA23"/>
      <c r="CZE23"/>
      <c r="CZI23"/>
      <c r="CZM23"/>
      <c r="CZQ23"/>
      <c r="CZU23"/>
      <c r="CZY23"/>
      <c r="DAC23"/>
      <c r="DAG23"/>
      <c r="DAK23"/>
      <c r="DAO23"/>
      <c r="DAS23"/>
      <c r="DAW23"/>
      <c r="DBA23"/>
      <c r="DBE23"/>
      <c r="DBI23"/>
      <c r="DBM23"/>
      <c r="DBQ23"/>
      <c r="DBU23"/>
      <c r="DBY23"/>
      <c r="DCC23"/>
      <c r="DCG23"/>
      <c r="DCK23"/>
      <c r="DCO23"/>
      <c r="DCS23"/>
      <c r="DCW23"/>
      <c r="DDA23"/>
      <c r="DDE23"/>
      <c r="DDI23"/>
      <c r="DDM23"/>
      <c r="DDQ23"/>
      <c r="DDU23"/>
      <c r="DDY23"/>
      <c r="DEC23"/>
      <c r="DEG23"/>
      <c r="DEK23"/>
      <c r="DEO23"/>
      <c r="DES23"/>
      <c r="DEW23"/>
      <c r="DFA23"/>
      <c r="DFE23"/>
      <c r="DFI23"/>
      <c r="DFM23"/>
      <c r="DFQ23"/>
      <c r="DFU23"/>
      <c r="DFY23"/>
      <c r="DGC23"/>
      <c r="DGG23"/>
      <c r="DGK23"/>
      <c r="DGO23"/>
      <c r="DGS23"/>
      <c r="DGW23"/>
      <c r="DHA23"/>
      <c r="DHE23"/>
      <c r="DHI23"/>
      <c r="DHM23"/>
      <c r="DHQ23"/>
      <c r="DHU23"/>
      <c r="DHY23"/>
      <c r="DIC23"/>
      <c r="DIG23"/>
      <c r="DIK23"/>
      <c r="DIO23"/>
      <c r="DIS23"/>
      <c r="DIW23"/>
      <c r="DJA23"/>
      <c r="DJE23"/>
      <c r="DJI23"/>
      <c r="DJM23"/>
      <c r="DJQ23"/>
      <c r="DJU23"/>
      <c r="DJY23"/>
      <c r="DKC23"/>
      <c r="DKG23"/>
      <c r="DKK23"/>
      <c r="DKO23"/>
      <c r="DKS23"/>
      <c r="DKW23"/>
      <c r="DLA23"/>
      <c r="DLE23"/>
      <c r="DLI23"/>
      <c r="DLM23"/>
      <c r="DLQ23"/>
      <c r="DLU23"/>
      <c r="DLY23"/>
      <c r="DMC23"/>
      <c r="DMG23"/>
      <c r="DMK23"/>
      <c r="DMO23"/>
      <c r="DMS23"/>
      <c r="DMW23"/>
      <c r="DNA23"/>
      <c r="DNE23"/>
      <c r="DNI23"/>
      <c r="DNM23"/>
      <c r="DNQ23"/>
      <c r="DNU23"/>
      <c r="DNY23"/>
      <c r="DOC23"/>
      <c r="DOG23"/>
      <c r="DOK23"/>
      <c r="DOO23"/>
      <c r="DOS23"/>
      <c r="DOW23"/>
      <c r="DPA23"/>
      <c r="DPE23"/>
      <c r="DPI23"/>
      <c r="DPM23"/>
      <c r="DPQ23"/>
      <c r="DPU23"/>
      <c r="DPY23"/>
      <c r="DQC23"/>
      <c r="DQG23"/>
      <c r="DQK23"/>
      <c r="DQO23"/>
      <c r="DQS23"/>
      <c r="DQW23"/>
      <c r="DRA23"/>
      <c r="DRE23"/>
      <c r="DRI23"/>
      <c r="DRM23"/>
      <c r="DRQ23"/>
      <c r="DRU23"/>
      <c r="DRY23"/>
      <c r="DSC23"/>
      <c r="DSG23"/>
      <c r="DSK23"/>
      <c r="DSO23"/>
      <c r="DSS23"/>
      <c r="DSW23"/>
      <c r="DTA23"/>
      <c r="DTE23"/>
      <c r="DTI23"/>
      <c r="DTM23"/>
      <c r="DTQ23"/>
      <c r="DTU23"/>
      <c r="DTY23"/>
      <c r="DUC23"/>
      <c r="DUG23"/>
      <c r="DUK23"/>
      <c r="DUO23"/>
      <c r="DUS23"/>
      <c r="DUW23"/>
      <c r="DVA23"/>
      <c r="DVE23"/>
      <c r="DVI23"/>
      <c r="DVM23"/>
      <c r="DVQ23"/>
      <c r="DVU23"/>
      <c r="DVY23"/>
      <c r="DWC23"/>
      <c r="DWG23"/>
      <c r="DWK23"/>
      <c r="DWO23"/>
      <c r="DWS23"/>
      <c r="DWW23"/>
      <c r="DXA23"/>
      <c r="DXE23"/>
      <c r="DXI23"/>
      <c r="DXM23"/>
      <c r="DXQ23"/>
      <c r="DXU23"/>
      <c r="DXY23"/>
      <c r="DYC23"/>
      <c r="DYG23"/>
      <c r="DYK23"/>
      <c r="DYO23"/>
      <c r="DYS23"/>
      <c r="DYW23"/>
      <c r="DZA23"/>
      <c r="DZE23"/>
      <c r="DZI23"/>
      <c r="DZM23"/>
      <c r="DZQ23"/>
      <c r="DZU23"/>
      <c r="DZY23"/>
      <c r="EAC23"/>
      <c r="EAG23"/>
      <c r="EAK23"/>
      <c r="EAO23"/>
      <c r="EAS23"/>
      <c r="EAW23"/>
      <c r="EBA23"/>
      <c r="EBE23"/>
      <c r="EBI23"/>
      <c r="EBM23"/>
      <c r="EBQ23"/>
      <c r="EBU23"/>
      <c r="EBY23"/>
      <c r="ECC23"/>
      <c r="ECG23"/>
      <c r="ECK23"/>
      <c r="ECO23"/>
      <c r="ECS23"/>
      <c r="ECW23"/>
      <c r="EDA23"/>
      <c r="EDE23"/>
      <c r="EDI23"/>
      <c r="EDM23"/>
      <c r="EDQ23"/>
      <c r="EDU23"/>
      <c r="EDY23"/>
      <c r="EEC23"/>
      <c r="EEG23"/>
      <c r="EEK23"/>
      <c r="EEO23"/>
      <c r="EES23"/>
      <c r="EEW23"/>
      <c r="EFA23"/>
      <c r="EFE23"/>
      <c r="EFI23"/>
      <c r="EFM23"/>
      <c r="EFQ23"/>
      <c r="EFU23"/>
      <c r="EFY23"/>
      <c r="EGC23"/>
      <c r="EGG23"/>
      <c r="EGK23"/>
      <c r="EGO23"/>
      <c r="EGS23"/>
      <c r="EGW23"/>
      <c r="EHA23"/>
      <c r="EHE23"/>
      <c r="EHI23"/>
      <c r="EHM23"/>
      <c r="EHQ23"/>
      <c r="EHU23"/>
      <c r="EHY23"/>
      <c r="EIC23"/>
      <c r="EIG23"/>
      <c r="EIK23"/>
      <c r="EIO23"/>
      <c r="EIS23"/>
      <c r="EIW23"/>
      <c r="EJA23"/>
      <c r="EJE23"/>
      <c r="EJI23"/>
      <c r="EJM23"/>
      <c r="EJQ23"/>
      <c r="EJU23"/>
      <c r="EJY23"/>
      <c r="EKC23"/>
      <c r="EKG23"/>
      <c r="EKK23"/>
      <c r="EKO23"/>
      <c r="EKS23"/>
      <c r="EKW23"/>
      <c r="ELA23"/>
      <c r="ELE23"/>
      <c r="ELI23"/>
      <c r="ELM23"/>
      <c r="ELQ23"/>
      <c r="ELU23"/>
      <c r="ELY23"/>
      <c r="EMC23"/>
      <c r="EMG23"/>
      <c r="EMK23"/>
      <c r="EMO23"/>
      <c r="EMS23"/>
      <c r="EMW23"/>
      <c r="ENA23"/>
      <c r="ENE23"/>
      <c r="ENI23"/>
      <c r="ENM23"/>
      <c r="ENQ23"/>
      <c r="ENU23"/>
      <c r="ENY23"/>
      <c r="EOC23"/>
      <c r="EOG23"/>
      <c r="EOK23"/>
      <c r="EOO23"/>
      <c r="EOS23"/>
      <c r="EOW23"/>
      <c r="EPA23"/>
      <c r="EPE23"/>
      <c r="EPI23"/>
      <c r="EPM23"/>
      <c r="EPQ23"/>
      <c r="EPU23"/>
      <c r="EPY23"/>
      <c r="EQC23"/>
      <c r="EQG23"/>
      <c r="EQK23"/>
      <c r="EQO23"/>
      <c r="EQS23"/>
      <c r="EQW23"/>
      <c r="ERA23"/>
      <c r="ERE23"/>
      <c r="ERI23"/>
      <c r="ERM23"/>
      <c r="ERQ23"/>
      <c r="ERU23"/>
      <c r="ERY23"/>
      <c r="ESC23"/>
      <c r="ESG23"/>
      <c r="ESK23"/>
      <c r="ESO23"/>
      <c r="ESS23"/>
      <c r="ESW23"/>
      <c r="ETA23"/>
      <c r="ETE23"/>
      <c r="ETI23"/>
      <c r="ETM23"/>
      <c r="ETQ23"/>
      <c r="ETU23"/>
      <c r="ETY23"/>
      <c r="EUC23"/>
      <c r="EUG23"/>
      <c r="EUK23"/>
      <c r="EUO23"/>
      <c r="EUS23"/>
      <c r="EUW23"/>
      <c r="EVA23"/>
      <c r="EVE23"/>
      <c r="EVI23"/>
      <c r="EVM23"/>
      <c r="EVQ23"/>
      <c r="EVU23"/>
      <c r="EVY23"/>
      <c r="EWC23"/>
      <c r="EWG23"/>
      <c r="EWK23"/>
      <c r="EWO23"/>
      <c r="EWS23"/>
      <c r="EWW23"/>
      <c r="EXA23"/>
      <c r="EXE23"/>
      <c r="EXI23"/>
      <c r="EXM23"/>
      <c r="EXQ23"/>
      <c r="EXU23"/>
      <c r="EXY23"/>
      <c r="EYC23"/>
      <c r="EYG23"/>
      <c r="EYK23"/>
      <c r="EYO23"/>
      <c r="EYS23"/>
      <c r="EYW23"/>
      <c r="EZA23"/>
      <c r="EZE23"/>
      <c r="EZI23"/>
      <c r="EZM23"/>
      <c r="EZQ23"/>
      <c r="EZU23"/>
      <c r="EZY23"/>
      <c r="FAC23"/>
      <c r="FAG23"/>
      <c r="FAK23"/>
      <c r="FAO23"/>
      <c r="FAS23"/>
      <c r="FAW23"/>
      <c r="FBA23"/>
      <c r="FBE23"/>
      <c r="FBI23"/>
      <c r="FBM23"/>
      <c r="FBQ23"/>
      <c r="FBU23"/>
      <c r="FBY23"/>
      <c r="FCC23"/>
      <c r="FCG23"/>
      <c r="FCK23"/>
      <c r="FCO23"/>
      <c r="FCS23"/>
      <c r="FCW23"/>
      <c r="FDA23"/>
      <c r="FDE23"/>
      <c r="FDI23"/>
      <c r="FDM23"/>
      <c r="FDQ23"/>
      <c r="FDU23"/>
      <c r="FDY23"/>
      <c r="FEC23"/>
      <c r="FEG23"/>
      <c r="FEK23"/>
      <c r="FEO23"/>
      <c r="FES23"/>
      <c r="FEW23"/>
      <c r="FFA23"/>
      <c r="FFE23"/>
      <c r="FFI23"/>
      <c r="FFM23"/>
      <c r="FFQ23"/>
      <c r="FFU23"/>
      <c r="FFY23"/>
      <c r="FGC23"/>
      <c r="FGG23"/>
      <c r="FGK23"/>
      <c r="FGO23"/>
      <c r="FGS23"/>
      <c r="FGW23"/>
      <c r="FHA23"/>
      <c r="FHE23"/>
      <c r="FHI23"/>
      <c r="FHM23"/>
      <c r="FHQ23"/>
      <c r="FHU23"/>
      <c r="FHY23"/>
      <c r="FIC23"/>
      <c r="FIG23"/>
      <c r="FIK23"/>
      <c r="FIO23"/>
      <c r="FIS23"/>
      <c r="FIW23"/>
      <c r="FJA23"/>
      <c r="FJE23"/>
      <c r="FJI23"/>
      <c r="FJM23"/>
      <c r="FJQ23"/>
      <c r="FJU23"/>
      <c r="FJY23"/>
      <c r="FKC23"/>
      <c r="FKG23"/>
      <c r="FKK23"/>
      <c r="FKO23"/>
      <c r="FKS23"/>
      <c r="FKW23"/>
      <c r="FLA23"/>
      <c r="FLE23"/>
      <c r="FLI23"/>
      <c r="FLM23"/>
      <c r="FLQ23"/>
      <c r="FLU23"/>
      <c r="FLY23"/>
      <c r="FMC23"/>
      <c r="FMG23"/>
      <c r="FMK23"/>
      <c r="FMO23"/>
      <c r="FMS23"/>
      <c r="FMW23"/>
      <c r="FNA23"/>
      <c r="FNE23"/>
      <c r="FNI23"/>
      <c r="FNM23"/>
      <c r="FNQ23"/>
      <c r="FNU23"/>
      <c r="FNY23"/>
      <c r="FOC23"/>
      <c r="FOG23"/>
      <c r="FOK23"/>
      <c r="FOO23"/>
      <c r="FOS23"/>
      <c r="FOW23"/>
      <c r="FPA23"/>
      <c r="FPE23"/>
      <c r="FPI23"/>
      <c r="FPM23"/>
      <c r="FPQ23"/>
      <c r="FPU23"/>
      <c r="FPY23"/>
      <c r="FQC23"/>
      <c r="FQG23"/>
      <c r="FQK23"/>
      <c r="FQO23"/>
      <c r="FQS23"/>
      <c r="FQW23"/>
      <c r="FRA23"/>
      <c r="FRE23"/>
      <c r="FRI23"/>
      <c r="FRM23"/>
      <c r="FRQ23"/>
      <c r="FRU23"/>
      <c r="FRY23"/>
      <c r="FSC23"/>
      <c r="FSG23"/>
      <c r="FSK23"/>
      <c r="FSO23"/>
      <c r="FSS23"/>
      <c r="FSW23"/>
      <c r="FTA23"/>
      <c r="FTE23"/>
      <c r="FTI23"/>
      <c r="FTM23"/>
      <c r="FTQ23"/>
      <c r="FTU23"/>
      <c r="FTY23"/>
      <c r="FUC23"/>
      <c r="FUG23"/>
      <c r="FUK23"/>
      <c r="FUO23"/>
      <c r="FUS23"/>
      <c r="FUW23"/>
      <c r="FVA23"/>
      <c r="FVE23"/>
      <c r="FVI23"/>
      <c r="FVM23"/>
      <c r="FVQ23"/>
      <c r="FVU23"/>
      <c r="FVY23"/>
      <c r="FWC23"/>
      <c r="FWG23"/>
      <c r="FWK23"/>
      <c r="FWO23"/>
      <c r="FWS23"/>
      <c r="FWW23"/>
      <c r="FXA23"/>
      <c r="FXE23"/>
      <c r="FXI23"/>
      <c r="FXM23"/>
      <c r="FXQ23"/>
      <c r="FXU23"/>
      <c r="FXY23"/>
      <c r="FYC23"/>
      <c r="FYG23"/>
      <c r="FYK23"/>
      <c r="FYO23"/>
      <c r="FYS23"/>
      <c r="FYW23"/>
      <c r="FZA23"/>
      <c r="FZE23"/>
      <c r="FZI23"/>
      <c r="FZM23"/>
      <c r="FZQ23"/>
      <c r="FZU23"/>
      <c r="FZY23"/>
      <c r="GAC23"/>
      <c r="GAG23"/>
      <c r="GAK23"/>
      <c r="GAO23"/>
      <c r="GAS23"/>
      <c r="GAW23"/>
      <c r="GBA23"/>
      <c r="GBE23"/>
      <c r="GBI23"/>
      <c r="GBM23"/>
      <c r="GBQ23"/>
      <c r="GBU23"/>
      <c r="GBY23"/>
      <c r="GCC23"/>
      <c r="GCG23"/>
      <c r="GCK23"/>
      <c r="GCO23"/>
      <c r="GCS23"/>
      <c r="GCW23"/>
      <c r="GDA23"/>
      <c r="GDE23"/>
      <c r="GDI23"/>
      <c r="GDM23"/>
      <c r="GDQ23"/>
      <c r="GDU23"/>
      <c r="GDY23"/>
      <c r="GEC23"/>
      <c r="GEG23"/>
      <c r="GEK23"/>
      <c r="GEO23"/>
      <c r="GES23"/>
      <c r="GEW23"/>
      <c r="GFA23"/>
      <c r="GFE23"/>
      <c r="GFI23"/>
      <c r="GFM23"/>
      <c r="GFQ23"/>
      <c r="GFU23"/>
      <c r="GFY23"/>
      <c r="GGC23"/>
      <c r="GGG23"/>
      <c r="GGK23"/>
      <c r="GGO23"/>
      <c r="GGS23"/>
      <c r="GGW23"/>
      <c r="GHA23"/>
      <c r="GHE23"/>
      <c r="GHI23"/>
      <c r="GHM23"/>
      <c r="GHQ23"/>
      <c r="GHU23"/>
      <c r="GHY23"/>
      <c r="GIC23"/>
      <c r="GIG23"/>
      <c r="GIK23"/>
      <c r="GIO23"/>
      <c r="GIS23"/>
      <c r="GIW23"/>
      <c r="GJA23"/>
      <c r="GJE23"/>
      <c r="GJI23"/>
      <c r="GJM23"/>
      <c r="GJQ23"/>
      <c r="GJU23"/>
      <c r="GJY23"/>
      <c r="GKC23"/>
      <c r="GKG23"/>
      <c r="GKK23"/>
      <c r="GKO23"/>
      <c r="GKS23"/>
      <c r="GKW23"/>
      <c r="GLA23"/>
      <c r="GLE23"/>
      <c r="GLI23"/>
      <c r="GLM23"/>
      <c r="GLQ23"/>
      <c r="GLU23"/>
      <c r="GLY23"/>
      <c r="GMC23"/>
      <c r="GMG23"/>
      <c r="GMK23"/>
      <c r="GMO23"/>
      <c r="GMS23"/>
      <c r="GMW23"/>
      <c r="GNA23"/>
      <c r="GNE23"/>
      <c r="GNI23"/>
      <c r="GNM23"/>
      <c r="GNQ23"/>
      <c r="GNU23"/>
      <c r="GNY23"/>
      <c r="GOC23"/>
      <c r="GOG23"/>
      <c r="GOK23"/>
      <c r="GOO23"/>
      <c r="GOS23"/>
      <c r="GOW23"/>
      <c r="GPA23"/>
      <c r="GPE23"/>
      <c r="GPI23"/>
      <c r="GPM23"/>
      <c r="GPQ23"/>
      <c r="GPU23"/>
      <c r="GPY23"/>
      <c r="GQC23"/>
      <c r="GQG23"/>
      <c r="GQK23"/>
      <c r="GQO23"/>
      <c r="GQS23"/>
      <c r="GQW23"/>
      <c r="GRA23"/>
      <c r="GRE23"/>
      <c r="GRI23"/>
      <c r="GRM23"/>
      <c r="GRQ23"/>
      <c r="GRU23"/>
      <c r="GRY23"/>
      <c r="GSC23"/>
      <c r="GSG23"/>
      <c r="GSK23"/>
      <c r="GSO23"/>
      <c r="GSS23"/>
      <c r="GSW23"/>
      <c r="GTA23"/>
      <c r="GTE23"/>
      <c r="GTI23"/>
      <c r="GTM23"/>
      <c r="GTQ23"/>
      <c r="GTU23"/>
      <c r="GTY23"/>
      <c r="GUC23"/>
      <c r="GUG23"/>
      <c r="GUK23"/>
      <c r="GUO23"/>
      <c r="GUS23"/>
      <c r="GUW23"/>
      <c r="GVA23"/>
      <c r="GVE23"/>
      <c r="GVI23"/>
      <c r="GVM23"/>
      <c r="GVQ23"/>
      <c r="GVU23"/>
      <c r="GVY23"/>
      <c r="GWC23"/>
      <c r="GWG23"/>
      <c r="GWK23"/>
      <c r="GWO23"/>
      <c r="GWS23"/>
      <c r="GWW23"/>
      <c r="GXA23"/>
      <c r="GXE23"/>
      <c r="GXI23"/>
      <c r="GXM23"/>
      <c r="GXQ23"/>
      <c r="GXU23"/>
      <c r="GXY23"/>
      <c r="GYC23"/>
      <c r="GYG23"/>
      <c r="GYK23"/>
      <c r="GYO23"/>
      <c r="GYS23"/>
      <c r="GYW23"/>
      <c r="GZA23"/>
      <c r="GZE23"/>
      <c r="GZI23"/>
      <c r="GZM23"/>
      <c r="GZQ23"/>
      <c r="GZU23"/>
      <c r="GZY23"/>
      <c r="HAC23"/>
      <c r="HAG23"/>
      <c r="HAK23"/>
      <c r="HAO23"/>
      <c r="HAS23"/>
      <c r="HAW23"/>
      <c r="HBA23"/>
      <c r="HBE23"/>
      <c r="HBI23"/>
      <c r="HBM23"/>
      <c r="HBQ23"/>
      <c r="HBU23"/>
      <c r="HBY23"/>
      <c r="HCC23"/>
      <c r="HCG23"/>
      <c r="HCK23"/>
      <c r="HCO23"/>
      <c r="HCS23"/>
      <c r="HCW23"/>
      <c r="HDA23"/>
      <c r="HDE23"/>
      <c r="HDI23"/>
      <c r="HDM23"/>
      <c r="HDQ23"/>
      <c r="HDU23"/>
      <c r="HDY23"/>
      <c r="HEC23"/>
      <c r="HEG23"/>
      <c r="HEK23"/>
      <c r="HEO23"/>
      <c r="HES23"/>
      <c r="HEW23"/>
      <c r="HFA23"/>
      <c r="HFE23"/>
      <c r="HFI23"/>
      <c r="HFM23"/>
      <c r="HFQ23"/>
      <c r="HFU23"/>
      <c r="HFY23"/>
      <c r="HGC23"/>
      <c r="HGG23"/>
      <c r="HGK23"/>
      <c r="HGO23"/>
      <c r="HGS23"/>
      <c r="HGW23"/>
      <c r="HHA23"/>
      <c r="HHE23"/>
      <c r="HHI23"/>
      <c r="HHM23"/>
      <c r="HHQ23"/>
      <c r="HHU23"/>
      <c r="HHY23"/>
      <c r="HIC23"/>
      <c r="HIG23"/>
      <c r="HIK23"/>
      <c r="HIO23"/>
      <c r="HIS23"/>
      <c r="HIW23"/>
      <c r="HJA23"/>
      <c r="HJE23"/>
      <c r="HJI23"/>
      <c r="HJM23"/>
      <c r="HJQ23"/>
      <c r="HJU23"/>
      <c r="HJY23"/>
      <c r="HKC23"/>
      <c r="HKG23"/>
      <c r="HKK23"/>
      <c r="HKO23"/>
      <c r="HKS23"/>
      <c r="HKW23"/>
      <c r="HLA23"/>
      <c r="HLE23"/>
      <c r="HLI23"/>
      <c r="HLM23"/>
      <c r="HLQ23"/>
      <c r="HLU23"/>
      <c r="HLY23"/>
      <c r="HMC23"/>
      <c r="HMG23"/>
      <c r="HMK23"/>
      <c r="HMO23"/>
      <c r="HMS23"/>
      <c r="HMW23"/>
      <c r="HNA23"/>
      <c r="HNE23"/>
      <c r="HNI23"/>
      <c r="HNM23"/>
      <c r="HNQ23"/>
      <c r="HNU23"/>
      <c r="HNY23"/>
      <c r="HOC23"/>
      <c r="HOG23"/>
      <c r="HOK23"/>
      <c r="HOO23"/>
      <c r="HOS23"/>
      <c r="HOW23"/>
      <c r="HPA23"/>
      <c r="HPE23"/>
      <c r="HPI23"/>
      <c r="HPM23"/>
      <c r="HPQ23"/>
      <c r="HPU23"/>
      <c r="HPY23"/>
      <c r="HQC23"/>
      <c r="HQG23"/>
      <c r="HQK23"/>
      <c r="HQO23"/>
      <c r="HQS23"/>
      <c r="HQW23"/>
      <c r="HRA23"/>
      <c r="HRE23"/>
      <c r="HRI23"/>
      <c r="HRM23"/>
      <c r="HRQ23"/>
      <c r="HRU23"/>
      <c r="HRY23"/>
      <c r="HSC23"/>
      <c r="HSG23"/>
      <c r="HSK23"/>
      <c r="HSO23"/>
      <c r="HSS23"/>
      <c r="HSW23"/>
      <c r="HTA23"/>
      <c r="HTE23"/>
      <c r="HTI23"/>
      <c r="HTM23"/>
      <c r="HTQ23"/>
      <c r="HTU23"/>
      <c r="HTY23"/>
      <c r="HUC23"/>
      <c r="HUG23"/>
      <c r="HUK23"/>
      <c r="HUO23"/>
      <c r="HUS23"/>
      <c r="HUW23"/>
      <c r="HVA23"/>
      <c r="HVE23"/>
      <c r="HVI23"/>
      <c r="HVM23"/>
      <c r="HVQ23"/>
      <c r="HVU23"/>
      <c r="HVY23"/>
      <c r="HWC23"/>
      <c r="HWG23"/>
      <c r="HWK23"/>
      <c r="HWO23"/>
      <c r="HWS23"/>
      <c r="HWW23"/>
      <c r="HXA23"/>
      <c r="HXE23"/>
      <c r="HXI23"/>
      <c r="HXM23"/>
      <c r="HXQ23"/>
      <c r="HXU23"/>
      <c r="HXY23"/>
      <c r="HYC23"/>
      <c r="HYG23"/>
      <c r="HYK23"/>
      <c r="HYO23"/>
      <c r="HYS23"/>
      <c r="HYW23"/>
      <c r="HZA23"/>
      <c r="HZE23"/>
      <c r="HZI23"/>
      <c r="HZM23"/>
      <c r="HZQ23"/>
      <c r="HZU23"/>
      <c r="HZY23"/>
      <c r="IAC23"/>
      <c r="IAG23"/>
      <c r="IAK23"/>
      <c r="IAO23"/>
      <c r="IAS23"/>
      <c r="IAW23"/>
      <c r="IBA23"/>
      <c r="IBE23"/>
      <c r="IBI23"/>
      <c r="IBM23"/>
      <c r="IBQ23"/>
      <c r="IBU23"/>
      <c r="IBY23"/>
      <c r="ICC23"/>
      <c r="ICG23"/>
      <c r="ICK23"/>
      <c r="ICO23"/>
      <c r="ICS23"/>
      <c r="ICW23"/>
      <c r="IDA23"/>
      <c r="IDE23"/>
      <c r="IDI23"/>
      <c r="IDM23"/>
      <c r="IDQ23"/>
      <c r="IDU23"/>
      <c r="IDY23"/>
      <c r="IEC23"/>
      <c r="IEG23"/>
      <c r="IEK23"/>
      <c r="IEO23"/>
      <c r="IES23"/>
      <c r="IEW23"/>
      <c r="IFA23"/>
      <c r="IFE23"/>
      <c r="IFI23"/>
      <c r="IFM23"/>
      <c r="IFQ23"/>
      <c r="IFU23"/>
      <c r="IFY23"/>
      <c r="IGC23"/>
      <c r="IGG23"/>
      <c r="IGK23"/>
      <c r="IGO23"/>
      <c r="IGS23"/>
      <c r="IGW23"/>
      <c r="IHA23"/>
      <c r="IHE23"/>
      <c r="IHI23"/>
      <c r="IHM23"/>
      <c r="IHQ23"/>
      <c r="IHU23"/>
      <c r="IHY23"/>
      <c r="IIC23"/>
      <c r="IIG23"/>
      <c r="IIK23"/>
      <c r="IIO23"/>
      <c r="IIS23"/>
      <c r="IIW23"/>
      <c r="IJA23"/>
      <c r="IJE23"/>
      <c r="IJI23"/>
      <c r="IJM23"/>
      <c r="IJQ23"/>
      <c r="IJU23"/>
      <c r="IJY23"/>
      <c r="IKC23"/>
      <c r="IKG23"/>
      <c r="IKK23"/>
      <c r="IKO23"/>
      <c r="IKS23"/>
      <c r="IKW23"/>
      <c r="ILA23"/>
      <c r="ILE23"/>
      <c r="ILI23"/>
      <c r="ILM23"/>
      <c r="ILQ23"/>
      <c r="ILU23"/>
      <c r="ILY23"/>
      <c r="IMC23"/>
      <c r="IMG23"/>
      <c r="IMK23"/>
      <c r="IMO23"/>
      <c r="IMS23"/>
      <c r="IMW23"/>
      <c r="INA23"/>
      <c r="INE23"/>
      <c r="INI23"/>
      <c r="INM23"/>
      <c r="INQ23"/>
      <c r="INU23"/>
      <c r="INY23"/>
      <c r="IOC23"/>
      <c r="IOG23"/>
      <c r="IOK23"/>
      <c r="IOO23"/>
      <c r="IOS23"/>
      <c r="IOW23"/>
      <c r="IPA23"/>
      <c r="IPE23"/>
      <c r="IPI23"/>
      <c r="IPM23"/>
      <c r="IPQ23"/>
      <c r="IPU23"/>
      <c r="IPY23"/>
      <c r="IQC23"/>
      <c r="IQG23"/>
      <c r="IQK23"/>
      <c r="IQO23"/>
      <c r="IQS23"/>
      <c r="IQW23"/>
      <c r="IRA23"/>
      <c r="IRE23"/>
      <c r="IRI23"/>
      <c r="IRM23"/>
      <c r="IRQ23"/>
      <c r="IRU23"/>
      <c r="IRY23"/>
      <c r="ISC23"/>
      <c r="ISG23"/>
      <c r="ISK23"/>
      <c r="ISO23"/>
      <c r="ISS23"/>
      <c r="ISW23"/>
      <c r="ITA23"/>
      <c r="ITE23"/>
      <c r="ITI23"/>
      <c r="ITM23"/>
      <c r="ITQ23"/>
      <c r="ITU23"/>
      <c r="ITY23"/>
      <c r="IUC23"/>
      <c r="IUG23"/>
      <c r="IUK23"/>
      <c r="IUO23"/>
      <c r="IUS23"/>
      <c r="IUW23"/>
      <c r="IVA23"/>
      <c r="IVE23"/>
      <c r="IVI23"/>
      <c r="IVM23"/>
      <c r="IVQ23"/>
      <c r="IVU23"/>
      <c r="IVY23"/>
      <c r="IWC23"/>
      <c r="IWG23"/>
      <c r="IWK23"/>
      <c r="IWO23"/>
      <c r="IWS23"/>
      <c r="IWW23"/>
      <c r="IXA23"/>
      <c r="IXE23"/>
      <c r="IXI23"/>
      <c r="IXM23"/>
      <c r="IXQ23"/>
      <c r="IXU23"/>
      <c r="IXY23"/>
      <c r="IYC23"/>
      <c r="IYG23"/>
      <c r="IYK23"/>
      <c r="IYO23"/>
      <c r="IYS23"/>
      <c r="IYW23"/>
      <c r="IZA23"/>
      <c r="IZE23"/>
      <c r="IZI23"/>
      <c r="IZM23"/>
      <c r="IZQ23"/>
      <c r="IZU23"/>
      <c r="IZY23"/>
      <c r="JAC23"/>
      <c r="JAG23"/>
      <c r="JAK23"/>
      <c r="JAO23"/>
      <c r="JAS23"/>
      <c r="JAW23"/>
      <c r="JBA23"/>
      <c r="JBE23"/>
      <c r="JBI23"/>
      <c r="JBM23"/>
      <c r="JBQ23"/>
      <c r="JBU23"/>
      <c r="JBY23"/>
      <c r="JCC23"/>
      <c r="JCG23"/>
      <c r="JCK23"/>
      <c r="JCO23"/>
      <c r="JCS23"/>
      <c r="JCW23"/>
      <c r="JDA23"/>
      <c r="JDE23"/>
      <c r="JDI23"/>
      <c r="JDM23"/>
      <c r="JDQ23"/>
      <c r="JDU23"/>
      <c r="JDY23"/>
      <c r="JEC23"/>
      <c r="JEG23"/>
      <c r="JEK23"/>
      <c r="JEO23"/>
      <c r="JES23"/>
      <c r="JEW23"/>
      <c r="JFA23"/>
      <c r="JFE23"/>
      <c r="JFI23"/>
      <c r="JFM23"/>
      <c r="JFQ23"/>
      <c r="JFU23"/>
      <c r="JFY23"/>
      <c r="JGC23"/>
      <c r="JGG23"/>
      <c r="JGK23"/>
      <c r="JGO23"/>
      <c r="JGS23"/>
      <c r="JGW23"/>
      <c r="JHA23"/>
      <c r="JHE23"/>
      <c r="JHI23"/>
      <c r="JHM23"/>
      <c r="JHQ23"/>
      <c r="JHU23"/>
      <c r="JHY23"/>
      <c r="JIC23"/>
      <c r="JIG23"/>
      <c r="JIK23"/>
      <c r="JIO23"/>
      <c r="JIS23"/>
      <c r="JIW23"/>
      <c r="JJA23"/>
      <c r="JJE23"/>
      <c r="JJI23"/>
      <c r="JJM23"/>
      <c r="JJQ23"/>
      <c r="JJU23"/>
      <c r="JJY23"/>
      <c r="JKC23"/>
      <c r="JKG23"/>
      <c r="JKK23"/>
      <c r="JKO23"/>
      <c r="JKS23"/>
      <c r="JKW23"/>
      <c r="JLA23"/>
      <c r="JLE23"/>
      <c r="JLI23"/>
      <c r="JLM23"/>
      <c r="JLQ23"/>
      <c r="JLU23"/>
      <c r="JLY23"/>
      <c r="JMC23"/>
      <c r="JMG23"/>
      <c r="JMK23"/>
      <c r="JMO23"/>
      <c r="JMS23"/>
      <c r="JMW23"/>
      <c r="JNA23"/>
      <c r="JNE23"/>
      <c r="JNI23"/>
      <c r="JNM23"/>
      <c r="JNQ23"/>
      <c r="JNU23"/>
      <c r="JNY23"/>
      <c r="JOC23"/>
      <c r="JOG23"/>
      <c r="JOK23"/>
      <c r="JOO23"/>
      <c r="JOS23"/>
      <c r="JOW23"/>
      <c r="JPA23"/>
      <c r="JPE23"/>
      <c r="JPI23"/>
      <c r="JPM23"/>
      <c r="JPQ23"/>
      <c r="JPU23"/>
      <c r="JPY23"/>
      <c r="JQC23"/>
      <c r="JQG23"/>
      <c r="JQK23"/>
      <c r="JQO23"/>
      <c r="JQS23"/>
      <c r="JQW23"/>
      <c r="JRA23"/>
      <c r="JRE23"/>
      <c r="JRI23"/>
      <c r="JRM23"/>
      <c r="JRQ23"/>
      <c r="JRU23"/>
      <c r="JRY23"/>
      <c r="JSC23"/>
      <c r="JSG23"/>
      <c r="JSK23"/>
      <c r="JSO23"/>
      <c r="JSS23"/>
      <c r="JSW23"/>
      <c r="JTA23"/>
      <c r="JTE23"/>
      <c r="JTI23"/>
      <c r="JTM23"/>
      <c r="JTQ23"/>
      <c r="JTU23"/>
      <c r="JTY23"/>
      <c r="JUC23"/>
      <c r="JUG23"/>
      <c r="JUK23"/>
      <c r="JUO23"/>
      <c r="JUS23"/>
      <c r="JUW23"/>
      <c r="JVA23"/>
      <c r="JVE23"/>
      <c r="JVI23"/>
      <c r="JVM23"/>
      <c r="JVQ23"/>
      <c r="JVU23"/>
      <c r="JVY23"/>
      <c r="JWC23"/>
      <c r="JWG23"/>
      <c r="JWK23"/>
      <c r="JWO23"/>
      <c r="JWS23"/>
      <c r="JWW23"/>
      <c r="JXA23"/>
      <c r="JXE23"/>
      <c r="JXI23"/>
      <c r="JXM23"/>
      <c r="JXQ23"/>
      <c r="JXU23"/>
      <c r="JXY23"/>
      <c r="JYC23"/>
      <c r="JYG23"/>
      <c r="JYK23"/>
      <c r="JYO23"/>
      <c r="JYS23"/>
      <c r="JYW23"/>
      <c r="JZA23"/>
      <c r="JZE23"/>
      <c r="JZI23"/>
      <c r="JZM23"/>
      <c r="JZQ23"/>
      <c r="JZU23"/>
      <c r="JZY23"/>
      <c r="KAC23"/>
      <c r="KAG23"/>
      <c r="KAK23"/>
      <c r="KAO23"/>
      <c r="KAS23"/>
      <c r="KAW23"/>
      <c r="KBA23"/>
      <c r="KBE23"/>
      <c r="KBI23"/>
      <c r="KBM23"/>
      <c r="KBQ23"/>
      <c r="KBU23"/>
      <c r="KBY23"/>
      <c r="KCC23"/>
      <c r="KCG23"/>
      <c r="KCK23"/>
      <c r="KCO23"/>
      <c r="KCS23"/>
      <c r="KCW23"/>
      <c r="KDA23"/>
      <c r="KDE23"/>
      <c r="KDI23"/>
      <c r="KDM23"/>
      <c r="KDQ23"/>
      <c r="KDU23"/>
      <c r="KDY23"/>
      <c r="KEC23"/>
      <c r="KEG23"/>
      <c r="KEK23"/>
      <c r="KEO23"/>
      <c r="KES23"/>
      <c r="KEW23"/>
      <c r="KFA23"/>
      <c r="KFE23"/>
      <c r="KFI23"/>
      <c r="KFM23"/>
      <c r="KFQ23"/>
      <c r="KFU23"/>
      <c r="KFY23"/>
      <c r="KGC23"/>
      <c r="KGG23"/>
      <c r="KGK23"/>
      <c r="KGO23"/>
      <c r="KGS23"/>
      <c r="KGW23"/>
      <c r="KHA23"/>
      <c r="KHE23"/>
      <c r="KHI23"/>
      <c r="KHM23"/>
      <c r="KHQ23"/>
      <c r="KHU23"/>
      <c r="KHY23"/>
      <c r="KIC23"/>
      <c r="KIG23"/>
      <c r="KIK23"/>
      <c r="KIO23"/>
      <c r="KIS23"/>
      <c r="KIW23"/>
      <c r="KJA23"/>
      <c r="KJE23"/>
      <c r="KJI23"/>
      <c r="KJM23"/>
      <c r="KJQ23"/>
      <c r="KJU23"/>
      <c r="KJY23"/>
      <c r="KKC23"/>
      <c r="KKG23"/>
      <c r="KKK23"/>
      <c r="KKO23"/>
      <c r="KKS23"/>
      <c r="KKW23"/>
      <c r="KLA23"/>
      <c r="KLE23"/>
      <c r="KLI23"/>
      <c r="KLM23"/>
      <c r="KLQ23"/>
      <c r="KLU23"/>
      <c r="KLY23"/>
      <c r="KMC23"/>
      <c r="KMG23"/>
      <c r="KMK23"/>
      <c r="KMO23"/>
      <c r="KMS23"/>
      <c r="KMW23"/>
      <c r="KNA23"/>
      <c r="KNE23"/>
      <c r="KNI23"/>
      <c r="KNM23"/>
      <c r="KNQ23"/>
      <c r="KNU23"/>
      <c r="KNY23"/>
      <c r="KOC23"/>
      <c r="KOG23"/>
      <c r="KOK23"/>
      <c r="KOO23"/>
      <c r="KOS23"/>
      <c r="KOW23"/>
      <c r="KPA23"/>
      <c r="KPE23"/>
      <c r="KPI23"/>
      <c r="KPM23"/>
      <c r="KPQ23"/>
      <c r="KPU23"/>
      <c r="KPY23"/>
      <c r="KQC23"/>
      <c r="KQG23"/>
      <c r="KQK23"/>
      <c r="KQO23"/>
      <c r="KQS23"/>
      <c r="KQW23"/>
      <c r="KRA23"/>
      <c r="KRE23"/>
      <c r="KRI23"/>
      <c r="KRM23"/>
      <c r="KRQ23"/>
      <c r="KRU23"/>
      <c r="KRY23"/>
      <c r="KSC23"/>
      <c r="KSG23"/>
      <c r="KSK23"/>
      <c r="KSO23"/>
      <c r="KSS23"/>
      <c r="KSW23"/>
      <c r="KTA23"/>
      <c r="KTE23"/>
      <c r="KTI23"/>
      <c r="KTM23"/>
      <c r="KTQ23"/>
      <c r="KTU23"/>
      <c r="KTY23"/>
      <c r="KUC23"/>
      <c r="KUG23"/>
      <c r="KUK23"/>
      <c r="KUO23"/>
      <c r="KUS23"/>
      <c r="KUW23"/>
      <c r="KVA23"/>
      <c r="KVE23"/>
      <c r="KVI23"/>
      <c r="KVM23"/>
      <c r="KVQ23"/>
      <c r="KVU23"/>
      <c r="KVY23"/>
      <c r="KWC23"/>
      <c r="KWG23"/>
      <c r="KWK23"/>
      <c r="KWO23"/>
      <c r="KWS23"/>
      <c r="KWW23"/>
      <c r="KXA23"/>
      <c r="KXE23"/>
      <c r="KXI23"/>
      <c r="KXM23"/>
      <c r="KXQ23"/>
      <c r="KXU23"/>
      <c r="KXY23"/>
      <c r="KYC23"/>
      <c r="KYG23"/>
      <c r="KYK23"/>
      <c r="KYO23"/>
      <c r="KYS23"/>
      <c r="KYW23"/>
      <c r="KZA23"/>
      <c r="KZE23"/>
      <c r="KZI23"/>
      <c r="KZM23"/>
      <c r="KZQ23"/>
      <c r="KZU23"/>
      <c r="KZY23"/>
      <c r="LAC23"/>
      <c r="LAG23"/>
      <c r="LAK23"/>
      <c r="LAO23"/>
      <c r="LAS23"/>
      <c r="LAW23"/>
      <c r="LBA23"/>
      <c r="LBE23"/>
      <c r="LBI23"/>
      <c r="LBM23"/>
      <c r="LBQ23"/>
      <c r="LBU23"/>
      <c r="LBY23"/>
      <c r="LCC23"/>
      <c r="LCG23"/>
      <c r="LCK23"/>
      <c r="LCO23"/>
      <c r="LCS23"/>
      <c r="LCW23"/>
      <c r="LDA23"/>
      <c r="LDE23"/>
      <c r="LDI23"/>
      <c r="LDM23"/>
      <c r="LDQ23"/>
      <c r="LDU23"/>
      <c r="LDY23"/>
      <c r="LEC23"/>
      <c r="LEG23"/>
      <c r="LEK23"/>
      <c r="LEO23"/>
      <c r="LES23"/>
      <c r="LEW23"/>
      <c r="LFA23"/>
      <c r="LFE23"/>
      <c r="LFI23"/>
      <c r="LFM23"/>
      <c r="LFQ23"/>
      <c r="LFU23"/>
      <c r="LFY23"/>
      <c r="LGC23"/>
      <c r="LGG23"/>
      <c r="LGK23"/>
      <c r="LGO23"/>
      <c r="LGS23"/>
      <c r="LGW23"/>
      <c r="LHA23"/>
      <c r="LHE23"/>
      <c r="LHI23"/>
      <c r="LHM23"/>
      <c r="LHQ23"/>
      <c r="LHU23"/>
      <c r="LHY23"/>
      <c r="LIC23"/>
      <c r="LIG23"/>
      <c r="LIK23"/>
      <c r="LIO23"/>
      <c r="LIS23"/>
      <c r="LIW23"/>
      <c r="LJA23"/>
      <c r="LJE23"/>
      <c r="LJI23"/>
      <c r="LJM23"/>
      <c r="LJQ23"/>
      <c r="LJU23"/>
      <c r="LJY23"/>
      <c r="LKC23"/>
      <c r="LKG23"/>
      <c r="LKK23"/>
      <c r="LKO23"/>
      <c r="LKS23"/>
      <c r="LKW23"/>
      <c r="LLA23"/>
      <c r="LLE23"/>
      <c r="LLI23"/>
      <c r="LLM23"/>
      <c r="LLQ23"/>
      <c r="LLU23"/>
      <c r="LLY23"/>
      <c r="LMC23"/>
      <c r="LMG23"/>
      <c r="LMK23"/>
      <c r="LMO23"/>
      <c r="LMS23"/>
      <c r="LMW23"/>
      <c r="LNA23"/>
      <c r="LNE23"/>
      <c r="LNI23"/>
      <c r="LNM23"/>
      <c r="LNQ23"/>
      <c r="LNU23"/>
      <c r="LNY23"/>
      <c r="LOC23"/>
      <c r="LOG23"/>
      <c r="LOK23"/>
      <c r="LOO23"/>
      <c r="LOS23"/>
      <c r="LOW23"/>
      <c r="LPA23"/>
      <c r="LPE23"/>
      <c r="LPI23"/>
      <c r="LPM23"/>
      <c r="LPQ23"/>
      <c r="LPU23"/>
      <c r="LPY23"/>
      <c r="LQC23"/>
      <c r="LQG23"/>
      <c r="LQK23"/>
      <c r="LQO23"/>
      <c r="LQS23"/>
      <c r="LQW23"/>
      <c r="LRA23"/>
      <c r="LRE23"/>
      <c r="LRI23"/>
      <c r="LRM23"/>
      <c r="LRQ23"/>
      <c r="LRU23"/>
      <c r="LRY23"/>
      <c r="LSC23"/>
      <c r="LSG23"/>
      <c r="LSK23"/>
      <c r="LSO23"/>
      <c r="LSS23"/>
      <c r="LSW23"/>
      <c r="LTA23"/>
      <c r="LTE23"/>
      <c r="LTI23"/>
      <c r="LTM23"/>
      <c r="LTQ23"/>
      <c r="LTU23"/>
      <c r="LTY23"/>
      <c r="LUC23"/>
      <c r="LUG23"/>
      <c r="LUK23"/>
      <c r="LUO23"/>
      <c r="LUS23"/>
      <c r="LUW23"/>
      <c r="LVA23"/>
      <c r="LVE23"/>
      <c r="LVI23"/>
      <c r="LVM23"/>
      <c r="LVQ23"/>
      <c r="LVU23"/>
      <c r="LVY23"/>
      <c r="LWC23"/>
      <c r="LWG23"/>
      <c r="LWK23"/>
      <c r="LWO23"/>
      <c r="LWS23"/>
      <c r="LWW23"/>
      <c r="LXA23"/>
      <c r="LXE23"/>
      <c r="LXI23"/>
      <c r="LXM23"/>
      <c r="LXQ23"/>
      <c r="LXU23"/>
      <c r="LXY23"/>
      <c r="LYC23"/>
      <c r="LYG23"/>
      <c r="LYK23"/>
      <c r="LYO23"/>
      <c r="LYS23"/>
      <c r="LYW23"/>
      <c r="LZA23"/>
      <c r="LZE23"/>
      <c r="LZI23"/>
      <c r="LZM23"/>
      <c r="LZQ23"/>
      <c r="LZU23"/>
      <c r="LZY23"/>
      <c r="MAC23"/>
      <c r="MAG23"/>
      <c r="MAK23"/>
      <c r="MAO23"/>
      <c r="MAS23"/>
      <c r="MAW23"/>
      <c r="MBA23"/>
      <c r="MBE23"/>
      <c r="MBI23"/>
      <c r="MBM23"/>
      <c r="MBQ23"/>
      <c r="MBU23"/>
      <c r="MBY23"/>
      <c r="MCC23"/>
      <c r="MCG23"/>
      <c r="MCK23"/>
      <c r="MCO23"/>
      <c r="MCS23"/>
      <c r="MCW23"/>
      <c r="MDA23"/>
      <c r="MDE23"/>
      <c r="MDI23"/>
      <c r="MDM23"/>
      <c r="MDQ23"/>
      <c r="MDU23"/>
      <c r="MDY23"/>
      <c r="MEC23"/>
      <c r="MEG23"/>
      <c r="MEK23"/>
      <c r="MEO23"/>
      <c r="MES23"/>
      <c r="MEW23"/>
      <c r="MFA23"/>
      <c r="MFE23"/>
      <c r="MFI23"/>
      <c r="MFM23"/>
      <c r="MFQ23"/>
      <c r="MFU23"/>
      <c r="MFY23"/>
      <c r="MGC23"/>
      <c r="MGG23"/>
      <c r="MGK23"/>
      <c r="MGO23"/>
      <c r="MGS23"/>
      <c r="MGW23"/>
      <c r="MHA23"/>
      <c r="MHE23"/>
      <c r="MHI23"/>
      <c r="MHM23"/>
      <c r="MHQ23"/>
      <c r="MHU23"/>
      <c r="MHY23"/>
      <c r="MIC23"/>
      <c r="MIG23"/>
      <c r="MIK23"/>
      <c r="MIO23"/>
      <c r="MIS23"/>
      <c r="MIW23"/>
      <c r="MJA23"/>
      <c r="MJE23"/>
      <c r="MJI23"/>
      <c r="MJM23"/>
      <c r="MJQ23"/>
      <c r="MJU23"/>
      <c r="MJY23"/>
      <c r="MKC23"/>
      <c r="MKG23"/>
      <c r="MKK23"/>
      <c r="MKO23"/>
      <c r="MKS23"/>
      <c r="MKW23"/>
      <c r="MLA23"/>
      <c r="MLE23"/>
      <c r="MLI23"/>
      <c r="MLM23"/>
      <c r="MLQ23"/>
      <c r="MLU23"/>
      <c r="MLY23"/>
      <c r="MMC23"/>
      <c r="MMG23"/>
      <c r="MMK23"/>
      <c r="MMO23"/>
      <c r="MMS23"/>
      <c r="MMW23"/>
      <c r="MNA23"/>
      <c r="MNE23"/>
      <c r="MNI23"/>
      <c r="MNM23"/>
      <c r="MNQ23"/>
      <c r="MNU23"/>
      <c r="MNY23"/>
      <c r="MOC23"/>
      <c r="MOG23"/>
      <c r="MOK23"/>
      <c r="MOO23"/>
      <c r="MOS23"/>
      <c r="MOW23"/>
      <c r="MPA23"/>
      <c r="MPE23"/>
      <c r="MPI23"/>
      <c r="MPM23"/>
      <c r="MPQ23"/>
      <c r="MPU23"/>
      <c r="MPY23"/>
      <c r="MQC23"/>
      <c r="MQG23"/>
      <c r="MQK23"/>
      <c r="MQO23"/>
      <c r="MQS23"/>
      <c r="MQW23"/>
      <c r="MRA23"/>
      <c r="MRE23"/>
      <c r="MRI23"/>
      <c r="MRM23"/>
      <c r="MRQ23"/>
      <c r="MRU23"/>
      <c r="MRY23"/>
      <c r="MSC23"/>
      <c r="MSG23"/>
      <c r="MSK23"/>
      <c r="MSO23"/>
      <c r="MSS23"/>
      <c r="MSW23"/>
      <c r="MTA23"/>
      <c r="MTE23"/>
      <c r="MTI23"/>
      <c r="MTM23"/>
      <c r="MTQ23"/>
      <c r="MTU23"/>
      <c r="MTY23"/>
      <c r="MUC23"/>
      <c r="MUG23"/>
      <c r="MUK23"/>
      <c r="MUO23"/>
      <c r="MUS23"/>
      <c r="MUW23"/>
      <c r="MVA23"/>
      <c r="MVE23"/>
      <c r="MVI23"/>
      <c r="MVM23"/>
      <c r="MVQ23"/>
      <c r="MVU23"/>
      <c r="MVY23"/>
      <c r="MWC23"/>
      <c r="MWG23"/>
      <c r="MWK23"/>
      <c r="MWO23"/>
      <c r="MWS23"/>
      <c r="MWW23"/>
      <c r="MXA23"/>
      <c r="MXE23"/>
      <c r="MXI23"/>
      <c r="MXM23"/>
      <c r="MXQ23"/>
      <c r="MXU23"/>
      <c r="MXY23"/>
      <c r="MYC23"/>
      <c r="MYG23"/>
      <c r="MYK23"/>
      <c r="MYO23"/>
      <c r="MYS23"/>
      <c r="MYW23"/>
      <c r="MZA23"/>
      <c r="MZE23"/>
      <c r="MZI23"/>
      <c r="MZM23"/>
      <c r="MZQ23"/>
      <c r="MZU23"/>
      <c r="MZY23"/>
      <c r="NAC23"/>
      <c r="NAG23"/>
      <c r="NAK23"/>
      <c r="NAO23"/>
      <c r="NAS23"/>
      <c r="NAW23"/>
      <c r="NBA23"/>
      <c r="NBE23"/>
      <c r="NBI23"/>
      <c r="NBM23"/>
      <c r="NBQ23"/>
      <c r="NBU23"/>
      <c r="NBY23"/>
      <c r="NCC23"/>
      <c r="NCG23"/>
      <c r="NCK23"/>
      <c r="NCO23"/>
      <c r="NCS23"/>
      <c r="NCW23"/>
      <c r="NDA23"/>
      <c r="NDE23"/>
      <c r="NDI23"/>
      <c r="NDM23"/>
      <c r="NDQ23"/>
      <c r="NDU23"/>
      <c r="NDY23"/>
      <c r="NEC23"/>
      <c r="NEG23"/>
      <c r="NEK23"/>
      <c r="NEO23"/>
      <c r="NES23"/>
      <c r="NEW23"/>
      <c r="NFA23"/>
      <c r="NFE23"/>
      <c r="NFI23"/>
      <c r="NFM23"/>
      <c r="NFQ23"/>
      <c r="NFU23"/>
      <c r="NFY23"/>
      <c r="NGC23"/>
      <c r="NGG23"/>
      <c r="NGK23"/>
      <c r="NGO23"/>
      <c r="NGS23"/>
      <c r="NGW23"/>
      <c r="NHA23"/>
      <c r="NHE23"/>
      <c r="NHI23"/>
      <c r="NHM23"/>
      <c r="NHQ23"/>
      <c r="NHU23"/>
      <c r="NHY23"/>
      <c r="NIC23"/>
      <c r="NIG23"/>
      <c r="NIK23"/>
      <c r="NIO23"/>
      <c r="NIS23"/>
      <c r="NIW23"/>
      <c r="NJA23"/>
      <c r="NJE23"/>
      <c r="NJI23"/>
      <c r="NJM23"/>
      <c r="NJQ23"/>
      <c r="NJU23"/>
      <c r="NJY23"/>
      <c r="NKC23"/>
      <c r="NKG23"/>
      <c r="NKK23"/>
      <c r="NKO23"/>
      <c r="NKS23"/>
      <c r="NKW23"/>
      <c r="NLA23"/>
      <c r="NLE23"/>
      <c r="NLI23"/>
      <c r="NLM23"/>
      <c r="NLQ23"/>
      <c r="NLU23"/>
      <c r="NLY23"/>
      <c r="NMC23"/>
      <c r="NMG23"/>
      <c r="NMK23"/>
      <c r="NMO23"/>
      <c r="NMS23"/>
      <c r="NMW23"/>
      <c r="NNA23"/>
      <c r="NNE23"/>
      <c r="NNI23"/>
      <c r="NNM23"/>
      <c r="NNQ23"/>
      <c r="NNU23"/>
      <c r="NNY23"/>
      <c r="NOC23"/>
      <c r="NOG23"/>
      <c r="NOK23"/>
      <c r="NOO23"/>
      <c r="NOS23"/>
      <c r="NOW23"/>
      <c r="NPA23"/>
      <c r="NPE23"/>
      <c r="NPI23"/>
      <c r="NPM23"/>
      <c r="NPQ23"/>
      <c r="NPU23"/>
      <c r="NPY23"/>
      <c r="NQC23"/>
      <c r="NQG23"/>
      <c r="NQK23"/>
      <c r="NQO23"/>
      <c r="NQS23"/>
      <c r="NQW23"/>
      <c r="NRA23"/>
      <c r="NRE23"/>
      <c r="NRI23"/>
      <c r="NRM23"/>
      <c r="NRQ23"/>
      <c r="NRU23"/>
      <c r="NRY23"/>
      <c r="NSC23"/>
      <c r="NSG23"/>
      <c r="NSK23"/>
      <c r="NSO23"/>
      <c r="NSS23"/>
      <c r="NSW23"/>
      <c r="NTA23"/>
      <c r="NTE23"/>
      <c r="NTI23"/>
      <c r="NTM23"/>
      <c r="NTQ23"/>
      <c r="NTU23"/>
      <c r="NTY23"/>
      <c r="NUC23"/>
      <c r="NUG23"/>
      <c r="NUK23"/>
      <c r="NUO23"/>
      <c r="NUS23"/>
      <c r="NUW23"/>
      <c r="NVA23"/>
      <c r="NVE23"/>
      <c r="NVI23"/>
      <c r="NVM23"/>
      <c r="NVQ23"/>
      <c r="NVU23"/>
      <c r="NVY23"/>
      <c r="NWC23"/>
      <c r="NWG23"/>
      <c r="NWK23"/>
      <c r="NWO23"/>
      <c r="NWS23"/>
      <c r="NWW23"/>
      <c r="NXA23"/>
      <c r="NXE23"/>
      <c r="NXI23"/>
      <c r="NXM23"/>
      <c r="NXQ23"/>
      <c r="NXU23"/>
      <c r="NXY23"/>
      <c r="NYC23"/>
      <c r="NYG23"/>
      <c r="NYK23"/>
      <c r="NYO23"/>
      <c r="NYS23"/>
      <c r="NYW23"/>
      <c r="NZA23"/>
      <c r="NZE23"/>
      <c r="NZI23"/>
      <c r="NZM23"/>
      <c r="NZQ23"/>
      <c r="NZU23"/>
      <c r="NZY23"/>
      <c r="OAC23"/>
      <c r="OAG23"/>
      <c r="OAK23"/>
      <c r="OAO23"/>
      <c r="OAS23"/>
      <c r="OAW23"/>
      <c r="OBA23"/>
      <c r="OBE23"/>
      <c r="OBI23"/>
      <c r="OBM23"/>
      <c r="OBQ23"/>
      <c r="OBU23"/>
      <c r="OBY23"/>
      <c r="OCC23"/>
      <c r="OCG23"/>
      <c r="OCK23"/>
      <c r="OCO23"/>
      <c r="OCS23"/>
      <c r="OCW23"/>
      <c r="ODA23"/>
      <c r="ODE23"/>
      <c r="ODI23"/>
      <c r="ODM23"/>
      <c r="ODQ23"/>
      <c r="ODU23"/>
      <c r="ODY23"/>
      <c r="OEC23"/>
      <c r="OEG23"/>
      <c r="OEK23"/>
      <c r="OEO23"/>
      <c r="OES23"/>
      <c r="OEW23"/>
      <c r="OFA23"/>
      <c r="OFE23"/>
      <c r="OFI23"/>
      <c r="OFM23"/>
      <c r="OFQ23"/>
      <c r="OFU23"/>
      <c r="OFY23"/>
      <c r="OGC23"/>
      <c r="OGG23"/>
      <c r="OGK23"/>
      <c r="OGO23"/>
      <c r="OGS23"/>
      <c r="OGW23"/>
      <c r="OHA23"/>
      <c r="OHE23"/>
      <c r="OHI23"/>
      <c r="OHM23"/>
      <c r="OHQ23"/>
      <c r="OHU23"/>
      <c r="OHY23"/>
      <c r="OIC23"/>
      <c r="OIG23"/>
      <c r="OIK23"/>
      <c r="OIO23"/>
      <c r="OIS23"/>
      <c r="OIW23"/>
      <c r="OJA23"/>
      <c r="OJE23"/>
      <c r="OJI23"/>
      <c r="OJM23"/>
      <c r="OJQ23"/>
      <c r="OJU23"/>
      <c r="OJY23"/>
      <c r="OKC23"/>
      <c r="OKG23"/>
      <c r="OKK23"/>
      <c r="OKO23"/>
      <c r="OKS23"/>
      <c r="OKW23"/>
      <c r="OLA23"/>
      <c r="OLE23"/>
      <c r="OLI23"/>
      <c r="OLM23"/>
      <c r="OLQ23"/>
      <c r="OLU23"/>
      <c r="OLY23"/>
      <c r="OMC23"/>
      <c r="OMG23"/>
      <c r="OMK23"/>
      <c r="OMO23"/>
      <c r="OMS23"/>
      <c r="OMW23"/>
      <c r="ONA23"/>
      <c r="ONE23"/>
      <c r="ONI23"/>
      <c r="ONM23"/>
      <c r="ONQ23"/>
      <c r="ONU23"/>
      <c r="ONY23"/>
      <c r="OOC23"/>
      <c r="OOG23"/>
      <c r="OOK23"/>
      <c r="OOO23"/>
      <c r="OOS23"/>
      <c r="OOW23"/>
      <c r="OPA23"/>
      <c r="OPE23"/>
      <c r="OPI23"/>
      <c r="OPM23"/>
      <c r="OPQ23"/>
      <c r="OPU23"/>
      <c r="OPY23"/>
      <c r="OQC23"/>
      <c r="OQG23"/>
      <c r="OQK23"/>
      <c r="OQO23"/>
      <c r="OQS23"/>
      <c r="OQW23"/>
      <c r="ORA23"/>
      <c r="ORE23"/>
      <c r="ORI23"/>
      <c r="ORM23"/>
      <c r="ORQ23"/>
      <c r="ORU23"/>
      <c r="ORY23"/>
      <c r="OSC23"/>
      <c r="OSG23"/>
      <c r="OSK23"/>
      <c r="OSO23"/>
      <c r="OSS23"/>
      <c r="OSW23"/>
      <c r="OTA23"/>
      <c r="OTE23"/>
      <c r="OTI23"/>
      <c r="OTM23"/>
      <c r="OTQ23"/>
      <c r="OTU23"/>
      <c r="OTY23"/>
      <c r="OUC23"/>
      <c r="OUG23"/>
      <c r="OUK23"/>
      <c r="OUO23"/>
      <c r="OUS23"/>
      <c r="OUW23"/>
      <c r="OVA23"/>
      <c r="OVE23"/>
      <c r="OVI23"/>
      <c r="OVM23"/>
      <c r="OVQ23"/>
      <c r="OVU23"/>
      <c r="OVY23"/>
      <c r="OWC23"/>
      <c r="OWG23"/>
      <c r="OWK23"/>
      <c r="OWO23"/>
      <c r="OWS23"/>
      <c r="OWW23"/>
      <c r="OXA23"/>
      <c r="OXE23"/>
      <c r="OXI23"/>
      <c r="OXM23"/>
      <c r="OXQ23"/>
      <c r="OXU23"/>
      <c r="OXY23"/>
      <c r="OYC23"/>
      <c r="OYG23"/>
      <c r="OYK23"/>
      <c r="OYO23"/>
      <c r="OYS23"/>
      <c r="OYW23"/>
      <c r="OZA23"/>
      <c r="OZE23"/>
      <c r="OZI23"/>
      <c r="OZM23"/>
      <c r="OZQ23"/>
      <c r="OZU23"/>
      <c r="OZY23"/>
      <c r="PAC23"/>
      <c r="PAG23"/>
      <c r="PAK23"/>
      <c r="PAO23"/>
      <c r="PAS23"/>
      <c r="PAW23"/>
      <c r="PBA23"/>
      <c r="PBE23"/>
      <c r="PBI23"/>
      <c r="PBM23"/>
      <c r="PBQ23"/>
      <c r="PBU23"/>
      <c r="PBY23"/>
      <c r="PCC23"/>
      <c r="PCG23"/>
      <c r="PCK23"/>
      <c r="PCO23"/>
      <c r="PCS23"/>
      <c r="PCW23"/>
      <c r="PDA23"/>
      <c r="PDE23"/>
      <c r="PDI23"/>
      <c r="PDM23"/>
      <c r="PDQ23"/>
      <c r="PDU23"/>
      <c r="PDY23"/>
      <c r="PEC23"/>
      <c r="PEG23"/>
      <c r="PEK23"/>
      <c r="PEO23"/>
      <c r="PES23"/>
      <c r="PEW23"/>
      <c r="PFA23"/>
      <c r="PFE23"/>
      <c r="PFI23"/>
      <c r="PFM23"/>
      <c r="PFQ23"/>
      <c r="PFU23"/>
      <c r="PFY23"/>
      <c r="PGC23"/>
      <c r="PGG23"/>
      <c r="PGK23"/>
      <c r="PGO23"/>
      <c r="PGS23"/>
      <c r="PGW23"/>
      <c r="PHA23"/>
      <c r="PHE23"/>
      <c r="PHI23"/>
      <c r="PHM23"/>
      <c r="PHQ23"/>
      <c r="PHU23"/>
      <c r="PHY23"/>
      <c r="PIC23"/>
      <c r="PIG23"/>
      <c r="PIK23"/>
      <c r="PIO23"/>
      <c r="PIS23"/>
      <c r="PIW23"/>
      <c r="PJA23"/>
      <c r="PJE23"/>
      <c r="PJI23"/>
      <c r="PJM23"/>
      <c r="PJQ23"/>
      <c r="PJU23"/>
      <c r="PJY23"/>
      <c r="PKC23"/>
      <c r="PKG23"/>
      <c r="PKK23"/>
      <c r="PKO23"/>
      <c r="PKS23"/>
      <c r="PKW23"/>
      <c r="PLA23"/>
      <c r="PLE23"/>
      <c r="PLI23"/>
      <c r="PLM23"/>
      <c r="PLQ23"/>
      <c r="PLU23"/>
      <c r="PLY23"/>
      <c r="PMC23"/>
      <c r="PMG23"/>
      <c r="PMK23"/>
      <c r="PMO23"/>
      <c r="PMS23"/>
      <c r="PMW23"/>
      <c r="PNA23"/>
      <c r="PNE23"/>
      <c r="PNI23"/>
      <c r="PNM23"/>
      <c r="PNQ23"/>
      <c r="PNU23"/>
      <c r="PNY23"/>
      <c r="POC23"/>
      <c r="POG23"/>
      <c r="POK23"/>
      <c r="POO23"/>
      <c r="POS23"/>
      <c r="POW23"/>
      <c r="PPA23"/>
      <c r="PPE23"/>
      <c r="PPI23"/>
      <c r="PPM23"/>
      <c r="PPQ23"/>
      <c r="PPU23"/>
      <c r="PPY23"/>
      <c r="PQC23"/>
      <c r="PQG23"/>
      <c r="PQK23"/>
      <c r="PQO23"/>
      <c r="PQS23"/>
      <c r="PQW23"/>
      <c r="PRA23"/>
      <c r="PRE23"/>
      <c r="PRI23"/>
      <c r="PRM23"/>
      <c r="PRQ23"/>
      <c r="PRU23"/>
      <c r="PRY23"/>
      <c r="PSC23"/>
      <c r="PSG23"/>
      <c r="PSK23"/>
      <c r="PSO23"/>
      <c r="PSS23"/>
      <c r="PSW23"/>
      <c r="PTA23"/>
      <c r="PTE23"/>
      <c r="PTI23"/>
      <c r="PTM23"/>
      <c r="PTQ23"/>
      <c r="PTU23"/>
      <c r="PTY23"/>
      <c r="PUC23"/>
      <c r="PUG23"/>
      <c r="PUK23"/>
      <c r="PUO23"/>
      <c r="PUS23"/>
      <c r="PUW23"/>
      <c r="PVA23"/>
      <c r="PVE23"/>
      <c r="PVI23"/>
      <c r="PVM23"/>
      <c r="PVQ23"/>
      <c r="PVU23"/>
      <c r="PVY23"/>
      <c r="PWC23"/>
      <c r="PWG23"/>
      <c r="PWK23"/>
      <c r="PWO23"/>
      <c r="PWS23"/>
      <c r="PWW23"/>
      <c r="PXA23"/>
      <c r="PXE23"/>
      <c r="PXI23"/>
      <c r="PXM23"/>
      <c r="PXQ23"/>
      <c r="PXU23"/>
      <c r="PXY23"/>
      <c r="PYC23"/>
      <c r="PYG23"/>
      <c r="PYK23"/>
      <c r="PYO23"/>
      <c r="PYS23"/>
      <c r="PYW23"/>
      <c r="PZA23"/>
      <c r="PZE23"/>
      <c r="PZI23"/>
      <c r="PZM23"/>
      <c r="PZQ23"/>
      <c r="PZU23"/>
      <c r="PZY23"/>
      <c r="QAC23"/>
      <c r="QAG23"/>
      <c r="QAK23"/>
      <c r="QAO23"/>
      <c r="QAS23"/>
      <c r="QAW23"/>
      <c r="QBA23"/>
      <c r="QBE23"/>
      <c r="QBI23"/>
      <c r="QBM23"/>
      <c r="QBQ23"/>
      <c r="QBU23"/>
      <c r="QBY23"/>
      <c r="QCC23"/>
      <c r="QCG23"/>
      <c r="QCK23"/>
      <c r="QCO23"/>
      <c r="QCS23"/>
      <c r="QCW23"/>
      <c r="QDA23"/>
      <c r="QDE23"/>
      <c r="QDI23"/>
      <c r="QDM23"/>
      <c r="QDQ23"/>
      <c r="QDU23"/>
      <c r="QDY23"/>
      <c r="QEC23"/>
      <c r="QEG23"/>
      <c r="QEK23"/>
      <c r="QEO23"/>
      <c r="QES23"/>
      <c r="QEW23"/>
      <c r="QFA23"/>
      <c r="QFE23"/>
      <c r="QFI23"/>
      <c r="QFM23"/>
      <c r="QFQ23"/>
      <c r="QFU23"/>
      <c r="QFY23"/>
      <c r="QGC23"/>
      <c r="QGG23"/>
      <c r="QGK23"/>
      <c r="QGO23"/>
      <c r="QGS23"/>
      <c r="QGW23"/>
      <c r="QHA23"/>
      <c r="QHE23"/>
      <c r="QHI23"/>
      <c r="QHM23"/>
      <c r="QHQ23"/>
      <c r="QHU23"/>
      <c r="QHY23"/>
      <c r="QIC23"/>
      <c r="QIG23"/>
      <c r="QIK23"/>
      <c r="QIO23"/>
      <c r="QIS23"/>
      <c r="QIW23"/>
      <c r="QJA23"/>
      <c r="QJE23"/>
      <c r="QJI23"/>
      <c r="QJM23"/>
      <c r="QJQ23"/>
      <c r="QJU23"/>
      <c r="QJY23"/>
      <c r="QKC23"/>
      <c r="QKG23"/>
      <c r="QKK23"/>
      <c r="QKO23"/>
      <c r="QKS23"/>
      <c r="QKW23"/>
      <c r="QLA23"/>
      <c r="QLE23"/>
      <c r="QLI23"/>
      <c r="QLM23"/>
      <c r="QLQ23"/>
      <c r="QLU23"/>
      <c r="QLY23"/>
      <c r="QMC23"/>
      <c r="QMG23"/>
      <c r="QMK23"/>
      <c r="QMO23"/>
      <c r="QMS23"/>
      <c r="QMW23"/>
      <c r="QNA23"/>
      <c r="QNE23"/>
      <c r="QNI23"/>
      <c r="QNM23"/>
      <c r="QNQ23"/>
      <c r="QNU23"/>
      <c r="QNY23"/>
      <c r="QOC23"/>
      <c r="QOG23"/>
      <c r="QOK23"/>
      <c r="QOO23"/>
      <c r="QOS23"/>
      <c r="QOW23"/>
      <c r="QPA23"/>
      <c r="QPE23"/>
      <c r="QPI23"/>
      <c r="QPM23"/>
      <c r="QPQ23"/>
      <c r="QPU23"/>
      <c r="QPY23"/>
      <c r="QQC23"/>
      <c r="QQG23"/>
      <c r="QQK23"/>
      <c r="QQO23"/>
      <c r="QQS23"/>
      <c r="QQW23"/>
      <c r="QRA23"/>
      <c r="QRE23"/>
      <c r="QRI23"/>
      <c r="QRM23"/>
      <c r="QRQ23"/>
      <c r="QRU23"/>
      <c r="QRY23"/>
      <c r="QSC23"/>
      <c r="QSG23"/>
      <c r="QSK23"/>
      <c r="QSO23"/>
      <c r="QSS23"/>
      <c r="QSW23"/>
      <c r="QTA23"/>
      <c r="QTE23"/>
      <c r="QTI23"/>
      <c r="QTM23"/>
      <c r="QTQ23"/>
      <c r="QTU23"/>
      <c r="QTY23"/>
      <c r="QUC23"/>
      <c r="QUG23"/>
      <c r="QUK23"/>
      <c r="QUO23"/>
      <c r="QUS23"/>
      <c r="QUW23"/>
      <c r="QVA23"/>
      <c r="QVE23"/>
      <c r="QVI23"/>
      <c r="QVM23"/>
      <c r="QVQ23"/>
      <c r="QVU23"/>
      <c r="QVY23"/>
      <c r="QWC23"/>
      <c r="QWG23"/>
      <c r="QWK23"/>
      <c r="QWO23"/>
      <c r="QWS23"/>
      <c r="QWW23"/>
      <c r="QXA23"/>
      <c r="QXE23"/>
      <c r="QXI23"/>
      <c r="QXM23"/>
      <c r="QXQ23"/>
      <c r="QXU23"/>
      <c r="QXY23"/>
      <c r="QYC23"/>
      <c r="QYG23"/>
      <c r="QYK23"/>
      <c r="QYO23"/>
      <c r="QYS23"/>
      <c r="QYW23"/>
      <c r="QZA23"/>
      <c r="QZE23"/>
      <c r="QZI23"/>
      <c r="QZM23"/>
      <c r="QZQ23"/>
      <c r="QZU23"/>
      <c r="QZY23"/>
      <c r="RAC23"/>
      <c r="RAG23"/>
      <c r="RAK23"/>
      <c r="RAO23"/>
      <c r="RAS23"/>
      <c r="RAW23"/>
      <c r="RBA23"/>
      <c r="RBE23"/>
      <c r="RBI23"/>
      <c r="RBM23"/>
      <c r="RBQ23"/>
      <c r="RBU23"/>
      <c r="RBY23"/>
      <c r="RCC23"/>
      <c r="RCG23"/>
      <c r="RCK23"/>
      <c r="RCO23"/>
      <c r="RCS23"/>
      <c r="RCW23"/>
      <c r="RDA23"/>
      <c r="RDE23"/>
      <c r="RDI23"/>
      <c r="RDM23"/>
      <c r="RDQ23"/>
      <c r="RDU23"/>
      <c r="RDY23"/>
      <c r="REC23"/>
      <c r="REG23"/>
      <c r="REK23"/>
      <c r="REO23"/>
      <c r="RES23"/>
      <c r="REW23"/>
      <c r="RFA23"/>
      <c r="RFE23"/>
      <c r="RFI23"/>
      <c r="RFM23"/>
      <c r="RFQ23"/>
      <c r="RFU23"/>
      <c r="RFY23"/>
      <c r="RGC23"/>
      <c r="RGG23"/>
      <c r="RGK23"/>
      <c r="RGO23"/>
      <c r="RGS23"/>
      <c r="RGW23"/>
      <c r="RHA23"/>
      <c r="RHE23"/>
      <c r="RHI23"/>
      <c r="RHM23"/>
      <c r="RHQ23"/>
      <c r="RHU23"/>
      <c r="RHY23"/>
      <c r="RIC23"/>
      <c r="RIG23"/>
      <c r="RIK23"/>
      <c r="RIO23"/>
      <c r="RIS23"/>
      <c r="RIW23"/>
      <c r="RJA23"/>
      <c r="RJE23"/>
      <c r="RJI23"/>
      <c r="RJM23"/>
      <c r="RJQ23"/>
      <c r="RJU23"/>
      <c r="RJY23"/>
      <c r="RKC23"/>
      <c r="RKG23"/>
      <c r="RKK23"/>
      <c r="RKO23"/>
      <c r="RKS23"/>
      <c r="RKW23"/>
      <c r="RLA23"/>
      <c r="RLE23"/>
      <c r="RLI23"/>
      <c r="RLM23"/>
      <c r="RLQ23"/>
      <c r="RLU23"/>
      <c r="RLY23"/>
      <c r="RMC23"/>
      <c r="RMG23"/>
      <c r="RMK23"/>
      <c r="RMO23"/>
      <c r="RMS23"/>
      <c r="RMW23"/>
      <c r="RNA23"/>
      <c r="RNE23"/>
      <c r="RNI23"/>
      <c r="RNM23"/>
      <c r="RNQ23"/>
      <c r="RNU23"/>
      <c r="RNY23"/>
      <c r="ROC23"/>
      <c r="ROG23"/>
      <c r="ROK23"/>
      <c r="ROO23"/>
      <c r="ROS23"/>
      <c r="ROW23"/>
      <c r="RPA23"/>
      <c r="RPE23"/>
      <c r="RPI23"/>
      <c r="RPM23"/>
      <c r="RPQ23"/>
      <c r="RPU23"/>
      <c r="RPY23"/>
      <c r="RQC23"/>
      <c r="RQG23"/>
      <c r="RQK23"/>
      <c r="RQO23"/>
      <c r="RQS23"/>
      <c r="RQW23"/>
      <c r="RRA23"/>
      <c r="RRE23"/>
      <c r="RRI23"/>
      <c r="RRM23"/>
      <c r="RRQ23"/>
      <c r="RRU23"/>
      <c r="RRY23"/>
      <c r="RSC23"/>
      <c r="RSG23"/>
      <c r="RSK23"/>
      <c r="RSO23"/>
      <c r="RSS23"/>
      <c r="RSW23"/>
      <c r="RTA23"/>
      <c r="RTE23"/>
      <c r="RTI23"/>
      <c r="RTM23"/>
      <c r="RTQ23"/>
      <c r="RTU23"/>
      <c r="RTY23"/>
      <c r="RUC23"/>
      <c r="RUG23"/>
      <c r="RUK23"/>
      <c r="RUO23"/>
      <c r="RUS23"/>
      <c r="RUW23"/>
      <c r="RVA23"/>
      <c r="RVE23"/>
      <c r="RVI23"/>
      <c r="RVM23"/>
      <c r="RVQ23"/>
      <c r="RVU23"/>
      <c r="RVY23"/>
      <c r="RWC23"/>
      <c r="RWG23"/>
      <c r="RWK23"/>
      <c r="RWO23"/>
      <c r="RWS23"/>
      <c r="RWW23"/>
      <c r="RXA23"/>
      <c r="RXE23"/>
      <c r="RXI23"/>
      <c r="RXM23"/>
      <c r="RXQ23"/>
      <c r="RXU23"/>
      <c r="RXY23"/>
      <c r="RYC23"/>
      <c r="RYG23"/>
      <c r="RYK23"/>
      <c r="RYO23"/>
      <c r="RYS23"/>
      <c r="RYW23"/>
      <c r="RZA23"/>
      <c r="RZE23"/>
      <c r="RZI23"/>
      <c r="RZM23"/>
      <c r="RZQ23"/>
      <c r="RZU23"/>
      <c r="RZY23"/>
      <c r="SAC23"/>
      <c r="SAG23"/>
      <c r="SAK23"/>
      <c r="SAO23"/>
      <c r="SAS23"/>
      <c r="SAW23"/>
      <c r="SBA23"/>
      <c r="SBE23"/>
      <c r="SBI23"/>
      <c r="SBM23"/>
      <c r="SBQ23"/>
      <c r="SBU23"/>
      <c r="SBY23"/>
      <c r="SCC23"/>
      <c r="SCG23"/>
      <c r="SCK23"/>
      <c r="SCO23"/>
      <c r="SCS23"/>
      <c r="SCW23"/>
      <c r="SDA23"/>
      <c r="SDE23"/>
      <c r="SDI23"/>
      <c r="SDM23"/>
      <c r="SDQ23"/>
      <c r="SDU23"/>
      <c r="SDY23"/>
      <c r="SEC23"/>
      <c r="SEG23"/>
      <c r="SEK23"/>
      <c r="SEO23"/>
      <c r="SES23"/>
      <c r="SEW23"/>
      <c r="SFA23"/>
      <c r="SFE23"/>
      <c r="SFI23"/>
      <c r="SFM23"/>
      <c r="SFQ23"/>
      <c r="SFU23"/>
      <c r="SFY23"/>
      <c r="SGC23"/>
      <c r="SGG23"/>
      <c r="SGK23"/>
      <c r="SGO23"/>
      <c r="SGS23"/>
      <c r="SGW23"/>
      <c r="SHA23"/>
      <c r="SHE23"/>
      <c r="SHI23"/>
      <c r="SHM23"/>
      <c r="SHQ23"/>
      <c r="SHU23"/>
      <c r="SHY23"/>
      <c r="SIC23"/>
      <c r="SIG23"/>
      <c r="SIK23"/>
      <c r="SIO23"/>
      <c r="SIS23"/>
      <c r="SIW23"/>
      <c r="SJA23"/>
      <c r="SJE23"/>
      <c r="SJI23"/>
      <c r="SJM23"/>
      <c r="SJQ23"/>
      <c r="SJU23"/>
      <c r="SJY23"/>
      <c r="SKC23"/>
      <c r="SKG23"/>
      <c r="SKK23"/>
      <c r="SKO23"/>
      <c r="SKS23"/>
      <c r="SKW23"/>
      <c r="SLA23"/>
      <c r="SLE23"/>
      <c r="SLI23"/>
      <c r="SLM23"/>
      <c r="SLQ23"/>
      <c r="SLU23"/>
      <c r="SLY23"/>
      <c r="SMC23"/>
      <c r="SMG23"/>
      <c r="SMK23"/>
      <c r="SMO23"/>
      <c r="SMS23"/>
      <c r="SMW23"/>
      <c r="SNA23"/>
      <c r="SNE23"/>
      <c r="SNI23"/>
      <c r="SNM23"/>
      <c r="SNQ23"/>
      <c r="SNU23"/>
      <c r="SNY23"/>
      <c r="SOC23"/>
      <c r="SOG23"/>
      <c r="SOK23"/>
      <c r="SOO23"/>
      <c r="SOS23"/>
      <c r="SOW23"/>
      <c r="SPA23"/>
      <c r="SPE23"/>
      <c r="SPI23"/>
      <c r="SPM23"/>
      <c r="SPQ23"/>
      <c r="SPU23"/>
      <c r="SPY23"/>
      <c r="SQC23"/>
      <c r="SQG23"/>
      <c r="SQK23"/>
      <c r="SQO23"/>
      <c r="SQS23"/>
      <c r="SQW23"/>
      <c r="SRA23"/>
      <c r="SRE23"/>
      <c r="SRI23"/>
      <c r="SRM23"/>
      <c r="SRQ23"/>
      <c r="SRU23"/>
      <c r="SRY23"/>
      <c r="SSC23"/>
      <c r="SSG23"/>
      <c r="SSK23"/>
      <c r="SSO23"/>
      <c r="SSS23"/>
      <c r="SSW23"/>
      <c r="STA23"/>
      <c r="STE23"/>
      <c r="STI23"/>
      <c r="STM23"/>
      <c r="STQ23"/>
      <c r="STU23"/>
      <c r="STY23"/>
      <c r="SUC23"/>
      <c r="SUG23"/>
      <c r="SUK23"/>
      <c r="SUO23"/>
      <c r="SUS23"/>
      <c r="SUW23"/>
      <c r="SVA23"/>
      <c r="SVE23"/>
      <c r="SVI23"/>
      <c r="SVM23"/>
      <c r="SVQ23"/>
      <c r="SVU23"/>
      <c r="SVY23"/>
      <c r="SWC23"/>
      <c r="SWG23"/>
      <c r="SWK23"/>
      <c r="SWO23"/>
      <c r="SWS23"/>
      <c r="SWW23"/>
      <c r="SXA23"/>
      <c r="SXE23"/>
      <c r="SXI23"/>
      <c r="SXM23"/>
      <c r="SXQ23"/>
      <c r="SXU23"/>
      <c r="SXY23"/>
      <c r="SYC23"/>
      <c r="SYG23"/>
      <c r="SYK23"/>
      <c r="SYO23"/>
      <c r="SYS23"/>
      <c r="SYW23"/>
      <c r="SZA23"/>
      <c r="SZE23"/>
      <c r="SZI23"/>
      <c r="SZM23"/>
      <c r="SZQ23"/>
      <c r="SZU23"/>
      <c r="SZY23"/>
      <c r="TAC23"/>
      <c r="TAG23"/>
      <c r="TAK23"/>
      <c r="TAO23"/>
      <c r="TAS23"/>
      <c r="TAW23"/>
      <c r="TBA23"/>
      <c r="TBE23"/>
      <c r="TBI23"/>
      <c r="TBM23"/>
      <c r="TBQ23"/>
      <c r="TBU23"/>
      <c r="TBY23"/>
      <c r="TCC23"/>
      <c r="TCG23"/>
      <c r="TCK23"/>
      <c r="TCO23"/>
      <c r="TCS23"/>
      <c r="TCW23"/>
      <c r="TDA23"/>
      <c r="TDE23"/>
      <c r="TDI23"/>
      <c r="TDM23"/>
      <c r="TDQ23"/>
      <c r="TDU23"/>
      <c r="TDY23"/>
      <c r="TEC23"/>
      <c r="TEG23"/>
      <c r="TEK23"/>
      <c r="TEO23"/>
      <c r="TES23"/>
      <c r="TEW23"/>
      <c r="TFA23"/>
      <c r="TFE23"/>
      <c r="TFI23"/>
      <c r="TFM23"/>
      <c r="TFQ23"/>
      <c r="TFU23"/>
      <c r="TFY23"/>
      <c r="TGC23"/>
      <c r="TGG23"/>
      <c r="TGK23"/>
      <c r="TGO23"/>
      <c r="TGS23"/>
      <c r="TGW23"/>
      <c r="THA23"/>
      <c r="THE23"/>
      <c r="THI23"/>
      <c r="THM23"/>
      <c r="THQ23"/>
      <c r="THU23"/>
      <c r="THY23"/>
      <c r="TIC23"/>
      <c r="TIG23"/>
      <c r="TIK23"/>
      <c r="TIO23"/>
      <c r="TIS23"/>
      <c r="TIW23"/>
      <c r="TJA23"/>
      <c r="TJE23"/>
      <c r="TJI23"/>
      <c r="TJM23"/>
      <c r="TJQ23"/>
      <c r="TJU23"/>
      <c r="TJY23"/>
      <c r="TKC23"/>
      <c r="TKG23"/>
      <c r="TKK23"/>
      <c r="TKO23"/>
      <c r="TKS23"/>
      <c r="TKW23"/>
      <c r="TLA23"/>
      <c r="TLE23"/>
      <c r="TLI23"/>
      <c r="TLM23"/>
      <c r="TLQ23"/>
      <c r="TLU23"/>
      <c r="TLY23"/>
      <c r="TMC23"/>
      <c r="TMG23"/>
      <c r="TMK23"/>
      <c r="TMO23"/>
      <c r="TMS23"/>
      <c r="TMW23"/>
      <c r="TNA23"/>
      <c r="TNE23"/>
      <c r="TNI23"/>
      <c r="TNM23"/>
      <c r="TNQ23"/>
      <c r="TNU23"/>
      <c r="TNY23"/>
      <c r="TOC23"/>
      <c r="TOG23"/>
      <c r="TOK23"/>
      <c r="TOO23"/>
      <c r="TOS23"/>
      <c r="TOW23"/>
      <c r="TPA23"/>
      <c r="TPE23"/>
      <c r="TPI23"/>
      <c r="TPM23"/>
      <c r="TPQ23"/>
      <c r="TPU23"/>
      <c r="TPY23"/>
      <c r="TQC23"/>
      <c r="TQG23"/>
      <c r="TQK23"/>
      <c r="TQO23"/>
      <c r="TQS23"/>
      <c r="TQW23"/>
      <c r="TRA23"/>
      <c r="TRE23"/>
      <c r="TRI23"/>
      <c r="TRM23"/>
      <c r="TRQ23"/>
      <c r="TRU23"/>
      <c r="TRY23"/>
      <c r="TSC23"/>
      <c r="TSG23"/>
      <c r="TSK23"/>
      <c r="TSO23"/>
      <c r="TSS23"/>
      <c r="TSW23"/>
      <c r="TTA23"/>
      <c r="TTE23"/>
      <c r="TTI23"/>
      <c r="TTM23"/>
      <c r="TTQ23"/>
      <c r="TTU23"/>
      <c r="TTY23"/>
      <c r="TUC23"/>
      <c r="TUG23"/>
      <c r="TUK23"/>
      <c r="TUO23"/>
      <c r="TUS23"/>
      <c r="TUW23"/>
      <c r="TVA23"/>
      <c r="TVE23"/>
      <c r="TVI23"/>
      <c r="TVM23"/>
      <c r="TVQ23"/>
      <c r="TVU23"/>
      <c r="TVY23"/>
      <c r="TWC23"/>
      <c r="TWG23"/>
      <c r="TWK23"/>
      <c r="TWO23"/>
      <c r="TWS23"/>
      <c r="TWW23"/>
      <c r="TXA23"/>
      <c r="TXE23"/>
      <c r="TXI23"/>
      <c r="TXM23"/>
      <c r="TXQ23"/>
      <c r="TXU23"/>
      <c r="TXY23"/>
      <c r="TYC23"/>
      <c r="TYG23"/>
      <c r="TYK23"/>
      <c r="TYO23"/>
      <c r="TYS23"/>
      <c r="TYW23"/>
      <c r="TZA23"/>
      <c r="TZE23"/>
      <c r="TZI23"/>
      <c r="TZM23"/>
      <c r="TZQ23"/>
      <c r="TZU23"/>
      <c r="TZY23"/>
      <c r="UAC23"/>
      <c r="UAG23"/>
      <c r="UAK23"/>
      <c r="UAO23"/>
      <c r="UAS23"/>
      <c r="UAW23"/>
      <c r="UBA23"/>
      <c r="UBE23"/>
      <c r="UBI23"/>
      <c r="UBM23"/>
      <c r="UBQ23"/>
      <c r="UBU23"/>
      <c r="UBY23"/>
      <c r="UCC23"/>
      <c r="UCG23"/>
      <c r="UCK23"/>
      <c r="UCO23"/>
      <c r="UCS23"/>
      <c r="UCW23"/>
      <c r="UDA23"/>
      <c r="UDE23"/>
      <c r="UDI23"/>
      <c r="UDM23"/>
      <c r="UDQ23"/>
      <c r="UDU23"/>
      <c r="UDY23"/>
      <c r="UEC23"/>
      <c r="UEG23"/>
      <c r="UEK23"/>
      <c r="UEO23"/>
      <c r="UES23"/>
      <c r="UEW23"/>
      <c r="UFA23"/>
      <c r="UFE23"/>
      <c r="UFI23"/>
      <c r="UFM23"/>
      <c r="UFQ23"/>
      <c r="UFU23"/>
      <c r="UFY23"/>
      <c r="UGC23"/>
      <c r="UGG23"/>
      <c r="UGK23"/>
      <c r="UGO23"/>
      <c r="UGS23"/>
      <c r="UGW23"/>
      <c r="UHA23"/>
      <c r="UHE23"/>
      <c r="UHI23"/>
      <c r="UHM23"/>
      <c r="UHQ23"/>
      <c r="UHU23"/>
      <c r="UHY23"/>
      <c r="UIC23"/>
      <c r="UIG23"/>
      <c r="UIK23"/>
      <c r="UIO23"/>
      <c r="UIS23"/>
      <c r="UIW23"/>
      <c r="UJA23"/>
      <c r="UJE23"/>
      <c r="UJI23"/>
      <c r="UJM23"/>
      <c r="UJQ23"/>
      <c r="UJU23"/>
      <c r="UJY23"/>
      <c r="UKC23"/>
      <c r="UKG23"/>
      <c r="UKK23"/>
      <c r="UKO23"/>
      <c r="UKS23"/>
      <c r="UKW23"/>
      <c r="ULA23"/>
      <c r="ULE23"/>
      <c r="ULI23"/>
      <c r="ULM23"/>
      <c r="ULQ23"/>
      <c r="ULU23"/>
      <c r="ULY23"/>
      <c r="UMC23"/>
      <c r="UMG23"/>
      <c r="UMK23"/>
      <c r="UMO23"/>
      <c r="UMS23"/>
      <c r="UMW23"/>
      <c r="UNA23"/>
      <c r="UNE23"/>
      <c r="UNI23"/>
      <c r="UNM23"/>
      <c r="UNQ23"/>
      <c r="UNU23"/>
      <c r="UNY23"/>
      <c r="UOC23"/>
      <c r="UOG23"/>
      <c r="UOK23"/>
      <c r="UOO23"/>
      <c r="UOS23"/>
      <c r="UOW23"/>
      <c r="UPA23"/>
      <c r="UPE23"/>
      <c r="UPI23"/>
      <c r="UPM23"/>
      <c r="UPQ23"/>
      <c r="UPU23"/>
      <c r="UPY23"/>
      <c r="UQC23"/>
      <c r="UQG23"/>
      <c r="UQK23"/>
      <c r="UQO23"/>
      <c r="UQS23"/>
      <c r="UQW23"/>
      <c r="URA23"/>
      <c r="URE23"/>
      <c r="URI23"/>
      <c r="URM23"/>
      <c r="URQ23"/>
      <c r="URU23"/>
      <c r="URY23"/>
      <c r="USC23"/>
      <c r="USG23"/>
      <c r="USK23"/>
      <c r="USO23"/>
      <c r="USS23"/>
      <c r="USW23"/>
      <c r="UTA23"/>
      <c r="UTE23"/>
      <c r="UTI23"/>
      <c r="UTM23"/>
      <c r="UTQ23"/>
      <c r="UTU23"/>
      <c r="UTY23"/>
      <c r="UUC23"/>
      <c r="UUG23"/>
      <c r="UUK23"/>
      <c r="UUO23"/>
      <c r="UUS23"/>
      <c r="UUW23"/>
      <c r="UVA23"/>
      <c r="UVE23"/>
      <c r="UVI23"/>
      <c r="UVM23"/>
      <c r="UVQ23"/>
      <c r="UVU23"/>
      <c r="UVY23"/>
      <c r="UWC23"/>
      <c r="UWG23"/>
      <c r="UWK23"/>
      <c r="UWO23"/>
      <c r="UWS23"/>
      <c r="UWW23"/>
      <c r="UXA23"/>
      <c r="UXE23"/>
      <c r="UXI23"/>
      <c r="UXM23"/>
      <c r="UXQ23"/>
      <c r="UXU23"/>
      <c r="UXY23"/>
      <c r="UYC23"/>
      <c r="UYG23"/>
      <c r="UYK23"/>
      <c r="UYO23"/>
      <c r="UYS23"/>
      <c r="UYW23"/>
      <c r="UZA23"/>
      <c r="UZE23"/>
      <c r="UZI23"/>
      <c r="UZM23"/>
      <c r="UZQ23"/>
      <c r="UZU23"/>
      <c r="UZY23"/>
      <c r="VAC23"/>
      <c r="VAG23"/>
      <c r="VAK23"/>
      <c r="VAO23"/>
      <c r="VAS23"/>
      <c r="VAW23"/>
      <c r="VBA23"/>
      <c r="VBE23"/>
      <c r="VBI23"/>
      <c r="VBM23"/>
      <c r="VBQ23"/>
      <c r="VBU23"/>
      <c r="VBY23"/>
      <c r="VCC23"/>
      <c r="VCG23"/>
      <c r="VCK23"/>
      <c r="VCO23"/>
      <c r="VCS23"/>
      <c r="VCW23"/>
      <c r="VDA23"/>
      <c r="VDE23"/>
      <c r="VDI23"/>
      <c r="VDM23"/>
      <c r="VDQ23"/>
      <c r="VDU23"/>
      <c r="VDY23"/>
      <c r="VEC23"/>
      <c r="VEG23"/>
      <c r="VEK23"/>
      <c r="VEO23"/>
      <c r="VES23"/>
      <c r="VEW23"/>
      <c r="VFA23"/>
      <c r="VFE23"/>
      <c r="VFI23"/>
      <c r="VFM23"/>
      <c r="VFQ23"/>
      <c r="VFU23"/>
      <c r="VFY23"/>
      <c r="VGC23"/>
      <c r="VGG23"/>
      <c r="VGK23"/>
      <c r="VGO23"/>
      <c r="VGS23"/>
      <c r="VGW23"/>
      <c r="VHA23"/>
      <c r="VHE23"/>
      <c r="VHI23"/>
      <c r="VHM23"/>
      <c r="VHQ23"/>
      <c r="VHU23"/>
      <c r="VHY23"/>
      <c r="VIC23"/>
      <c r="VIG23"/>
      <c r="VIK23"/>
      <c r="VIO23"/>
      <c r="VIS23"/>
      <c r="VIW23"/>
      <c r="VJA23"/>
      <c r="VJE23"/>
      <c r="VJI23"/>
      <c r="VJM23"/>
      <c r="VJQ23"/>
      <c r="VJU23"/>
      <c r="VJY23"/>
      <c r="VKC23"/>
      <c r="VKG23"/>
      <c r="VKK23"/>
      <c r="VKO23"/>
      <c r="VKS23"/>
      <c r="VKW23"/>
      <c r="VLA23"/>
      <c r="VLE23"/>
      <c r="VLI23"/>
      <c r="VLM23"/>
      <c r="VLQ23"/>
      <c r="VLU23"/>
      <c r="VLY23"/>
      <c r="VMC23"/>
      <c r="VMG23"/>
      <c r="VMK23"/>
      <c r="VMO23"/>
      <c r="VMS23"/>
      <c r="VMW23"/>
      <c r="VNA23"/>
      <c r="VNE23"/>
      <c r="VNI23"/>
      <c r="VNM23"/>
      <c r="VNQ23"/>
      <c r="VNU23"/>
      <c r="VNY23"/>
      <c r="VOC23"/>
      <c r="VOG23"/>
      <c r="VOK23"/>
      <c r="VOO23"/>
      <c r="VOS23"/>
      <c r="VOW23"/>
      <c r="VPA23"/>
      <c r="VPE23"/>
      <c r="VPI23"/>
      <c r="VPM23"/>
      <c r="VPQ23"/>
      <c r="VPU23"/>
      <c r="VPY23"/>
      <c r="VQC23"/>
      <c r="VQG23"/>
      <c r="VQK23"/>
      <c r="VQO23"/>
      <c r="VQS23"/>
      <c r="VQW23"/>
      <c r="VRA23"/>
      <c r="VRE23"/>
      <c r="VRI23"/>
      <c r="VRM23"/>
      <c r="VRQ23"/>
      <c r="VRU23"/>
      <c r="VRY23"/>
      <c r="VSC23"/>
      <c r="VSG23"/>
      <c r="VSK23"/>
      <c r="VSO23"/>
      <c r="VSS23"/>
      <c r="VSW23"/>
      <c r="VTA23"/>
      <c r="VTE23"/>
      <c r="VTI23"/>
      <c r="VTM23"/>
      <c r="VTQ23"/>
      <c r="VTU23"/>
      <c r="VTY23"/>
      <c r="VUC23"/>
      <c r="VUG23"/>
      <c r="VUK23"/>
      <c r="VUO23"/>
      <c r="VUS23"/>
      <c r="VUW23"/>
      <c r="VVA23"/>
      <c r="VVE23"/>
      <c r="VVI23"/>
      <c r="VVM23"/>
      <c r="VVQ23"/>
      <c r="VVU23"/>
      <c r="VVY23"/>
      <c r="VWC23"/>
      <c r="VWG23"/>
      <c r="VWK23"/>
      <c r="VWO23"/>
      <c r="VWS23"/>
      <c r="VWW23"/>
      <c r="VXA23"/>
      <c r="VXE23"/>
      <c r="VXI23"/>
      <c r="VXM23"/>
      <c r="VXQ23"/>
      <c r="VXU23"/>
      <c r="VXY23"/>
      <c r="VYC23"/>
      <c r="VYG23"/>
      <c r="VYK23"/>
      <c r="VYO23"/>
      <c r="VYS23"/>
      <c r="VYW23"/>
      <c r="VZA23"/>
      <c r="VZE23"/>
      <c r="VZI23"/>
      <c r="VZM23"/>
      <c r="VZQ23"/>
      <c r="VZU23"/>
      <c r="VZY23"/>
      <c r="WAC23"/>
      <c r="WAG23"/>
      <c r="WAK23"/>
      <c r="WAO23"/>
      <c r="WAS23"/>
      <c r="WAW23"/>
      <c r="WBA23"/>
      <c r="WBE23"/>
      <c r="WBI23"/>
      <c r="WBM23"/>
      <c r="WBQ23"/>
      <c r="WBU23"/>
      <c r="WBY23"/>
      <c r="WCC23"/>
      <c r="WCG23"/>
      <c r="WCK23"/>
      <c r="WCO23"/>
      <c r="WCS23"/>
      <c r="WCW23"/>
      <c r="WDA23"/>
      <c r="WDE23"/>
      <c r="WDI23"/>
      <c r="WDM23"/>
      <c r="WDQ23"/>
      <c r="WDU23"/>
      <c r="WDY23"/>
      <c r="WEC23"/>
      <c r="WEG23"/>
      <c r="WEK23"/>
      <c r="WEO23"/>
      <c r="WES23"/>
      <c r="WEW23"/>
      <c r="WFA23"/>
      <c r="WFE23"/>
      <c r="WFI23"/>
      <c r="WFM23"/>
      <c r="WFQ23"/>
      <c r="WFU23"/>
      <c r="WFY23"/>
      <c r="WGC23"/>
      <c r="WGG23"/>
      <c r="WGK23"/>
      <c r="WGO23"/>
      <c r="WGS23"/>
      <c r="WGW23"/>
      <c r="WHA23"/>
      <c r="WHE23"/>
      <c r="WHI23"/>
      <c r="WHM23"/>
      <c r="WHQ23"/>
      <c r="WHU23"/>
      <c r="WHY23"/>
      <c r="WIC23"/>
      <c r="WIG23"/>
      <c r="WIK23"/>
      <c r="WIO23"/>
      <c r="WIS23"/>
      <c r="WIW23"/>
      <c r="WJA23"/>
      <c r="WJE23"/>
      <c r="WJI23"/>
      <c r="WJM23"/>
      <c r="WJQ23"/>
      <c r="WJU23"/>
      <c r="WJY23"/>
      <c r="WKC23"/>
      <c r="WKG23"/>
      <c r="WKK23"/>
      <c r="WKO23"/>
      <c r="WKS23"/>
      <c r="WKW23"/>
      <c r="WLA23"/>
      <c r="WLE23"/>
      <c r="WLI23"/>
      <c r="WLM23"/>
      <c r="WLQ23"/>
      <c r="WLU23"/>
      <c r="WLY23"/>
      <c r="WMC23"/>
      <c r="WMG23"/>
      <c r="WMK23"/>
      <c r="WMO23"/>
      <c r="WMS23"/>
      <c r="WMW23"/>
      <c r="WNA23"/>
      <c r="WNE23"/>
      <c r="WNI23"/>
      <c r="WNM23"/>
      <c r="WNQ23"/>
      <c r="WNU23"/>
      <c r="WNY23"/>
      <c r="WOC23"/>
      <c r="WOG23"/>
      <c r="WOK23"/>
      <c r="WOO23"/>
      <c r="WOS23"/>
      <c r="WOW23"/>
      <c r="WPA23"/>
      <c r="WPE23"/>
      <c r="WPI23"/>
      <c r="WPM23"/>
      <c r="WPQ23"/>
      <c r="WPU23"/>
      <c r="WPY23"/>
      <c r="WQC23"/>
      <c r="WQG23"/>
      <c r="WQK23"/>
      <c r="WQO23"/>
      <c r="WQS23"/>
      <c r="WQW23"/>
      <c r="WRA23"/>
      <c r="WRE23"/>
      <c r="WRI23"/>
      <c r="WRM23"/>
      <c r="WRQ23"/>
      <c r="WRU23"/>
      <c r="WRY23"/>
      <c r="WSC23"/>
      <c r="WSG23"/>
      <c r="WSK23"/>
      <c r="WSO23"/>
      <c r="WSS23"/>
      <c r="WSW23"/>
      <c r="WTA23"/>
      <c r="WTE23"/>
      <c r="WTI23"/>
      <c r="WTM23"/>
      <c r="WTQ23"/>
      <c r="WTU23"/>
      <c r="WTY23"/>
      <c r="WUC23"/>
      <c r="WUG23"/>
      <c r="WUK23"/>
      <c r="WUO23"/>
      <c r="WUS23"/>
      <c r="WUW23"/>
      <c r="WVA23"/>
      <c r="WVE23"/>
      <c r="WVI23"/>
      <c r="WVM23"/>
      <c r="WVQ23"/>
      <c r="WVU23"/>
      <c r="WVY23"/>
      <c r="WWC23"/>
      <c r="WWG23"/>
      <c r="WWK23"/>
      <c r="WWO23"/>
      <c r="WWS23"/>
      <c r="WWW23"/>
      <c r="WXA23"/>
      <c r="WXE23"/>
      <c r="WXI23"/>
      <c r="WXM23"/>
      <c r="WXQ23"/>
      <c r="WXU23"/>
      <c r="WXY23"/>
      <c r="WYC23"/>
      <c r="WYG23"/>
      <c r="WYK23"/>
      <c r="WYO23"/>
      <c r="WYS23"/>
      <c r="WYW23"/>
      <c r="WZA23"/>
      <c r="WZE23"/>
      <c r="WZI23"/>
      <c r="WZM23"/>
      <c r="WZQ23"/>
      <c r="WZU23"/>
      <c r="WZY23"/>
      <c r="XAC23"/>
      <c r="XAG23"/>
      <c r="XAK23"/>
      <c r="XAO23"/>
      <c r="XAS23"/>
      <c r="XAW23"/>
      <c r="XBA23"/>
      <c r="XBE23"/>
      <c r="XBI23"/>
      <c r="XBM23"/>
      <c r="XBQ23"/>
      <c r="XBU23"/>
      <c r="XBY23"/>
      <c r="XCC23"/>
      <c r="XCG23"/>
      <c r="XCK23"/>
      <c r="XCO23"/>
      <c r="XCS23"/>
      <c r="XCW23"/>
      <c r="XDA23"/>
      <c r="XDE23"/>
      <c r="XDI23"/>
      <c r="XDM23"/>
      <c r="XDQ23"/>
      <c r="XDU23"/>
      <c r="XDY23"/>
      <c r="XEC23"/>
      <c r="XEG23"/>
      <c r="XEK23"/>
      <c r="XEO23"/>
      <c r="XES23"/>
      <c r="XEW23"/>
      <c r="XFA23"/>
    </row>
    <row r="24" spans="1:1021 1025:2045 2049:3069 3073:4093 4097:5117 5121:6141 6145:7165 7169:8189 8193:9213 9217:10237 10241:11261 11265:12285 12289:13309 13313:14333 14337:15357 15361:16381" s="1" customFormat="1" x14ac:dyDescent="0.35">
      <c r="A24" s="21">
        <v>1</v>
      </c>
      <c r="B24" s="21">
        <v>20</v>
      </c>
      <c r="C24" s="1" t="str">
        <f xml:space="preserve"> IF('Master Player List'!L22=1,'Master Player List'!C22,"")</f>
        <v/>
      </c>
      <c r="D24" s="1" t="str">
        <f xml:space="preserve"> IF('Master Player List'!L22=1,'Master Player List'!F22,"")</f>
        <v/>
      </c>
      <c r="E24" s="21" t="str">
        <f xml:space="preserve"> IF('Master Player List'!L22=1,'Master Player List'!I22,"")</f>
        <v/>
      </c>
      <c r="F24" s="22"/>
      <c r="I24" s="21"/>
      <c r="J24" s="22"/>
      <c r="M24"/>
      <c r="N24"/>
      <c r="O24"/>
      <c r="Q24"/>
      <c r="U24"/>
      <c r="Y24"/>
      <c r="AC24"/>
      <c r="AG24"/>
      <c r="AK24"/>
      <c r="AO24"/>
      <c r="AS24"/>
      <c r="AW24"/>
      <c r="BA24"/>
      <c r="BE24"/>
      <c r="BI24"/>
      <c r="BM24"/>
      <c r="BQ24"/>
      <c r="BU24"/>
      <c r="BY24"/>
      <c r="CC24"/>
      <c r="CG24"/>
      <c r="CK24"/>
      <c r="CO24"/>
      <c r="CS24"/>
      <c r="CW24"/>
      <c r="DA24"/>
      <c r="DE24"/>
      <c r="DI24"/>
      <c r="DM24"/>
      <c r="DQ24"/>
      <c r="DU24"/>
      <c r="DY24"/>
      <c r="EC24"/>
      <c r="EG24"/>
      <c r="EK24"/>
      <c r="EO24"/>
      <c r="ES24"/>
      <c r="EW24"/>
      <c r="FA24"/>
      <c r="FE24"/>
      <c r="FI24"/>
      <c r="FM24"/>
      <c r="FQ24"/>
      <c r="FU24"/>
      <c r="FY24"/>
      <c r="GC24"/>
      <c r="GG24"/>
      <c r="GK24"/>
      <c r="GO24"/>
      <c r="GS24"/>
      <c r="GW24"/>
      <c r="HA24"/>
      <c r="HE24"/>
      <c r="HI24"/>
      <c r="HM24"/>
      <c r="HQ24"/>
      <c r="HU24"/>
      <c r="HY24"/>
      <c r="IC24"/>
      <c r="IG24"/>
      <c r="IK24"/>
      <c r="IO24"/>
      <c r="IS24"/>
      <c r="IW24"/>
      <c r="JA24"/>
      <c r="JE24"/>
      <c r="JI24"/>
      <c r="JM24"/>
      <c r="JQ24"/>
      <c r="JU24"/>
      <c r="JY24"/>
      <c r="KC24"/>
      <c r="KG24"/>
      <c r="KK24"/>
      <c r="KO24"/>
      <c r="KS24"/>
      <c r="KW24"/>
      <c r="LA24"/>
      <c r="LE24"/>
      <c r="LI24"/>
      <c r="LM24"/>
      <c r="LQ24"/>
      <c r="LU24"/>
      <c r="LY24"/>
      <c r="MC24"/>
      <c r="MG24"/>
      <c r="MK24"/>
      <c r="MO24"/>
      <c r="MS24"/>
      <c r="MW24"/>
      <c r="NA24"/>
      <c r="NE24"/>
      <c r="NI24"/>
      <c r="NM24"/>
      <c r="NQ24"/>
      <c r="NU24"/>
      <c r="NY24"/>
      <c r="OC24"/>
      <c r="OG24"/>
      <c r="OK24"/>
      <c r="OO24"/>
      <c r="OS24"/>
      <c r="OW24"/>
      <c r="PA24"/>
      <c r="PE24"/>
      <c r="PI24"/>
      <c r="PM24"/>
      <c r="PQ24"/>
      <c r="PU24"/>
      <c r="PY24"/>
      <c r="QC24"/>
      <c r="QG24"/>
      <c r="QK24"/>
      <c r="QO24"/>
      <c r="QS24"/>
      <c r="QW24"/>
      <c r="RA24"/>
      <c r="RE24"/>
      <c r="RI24"/>
      <c r="RM24"/>
      <c r="RQ24"/>
      <c r="RU24"/>
      <c r="RY24"/>
      <c r="SC24"/>
      <c r="SG24"/>
      <c r="SK24"/>
      <c r="SO24"/>
      <c r="SS24"/>
      <c r="SW24"/>
      <c r="TA24"/>
      <c r="TE24"/>
      <c r="TI24"/>
      <c r="TM24"/>
      <c r="TQ24"/>
      <c r="TU24"/>
      <c r="TY24"/>
      <c r="UC24"/>
      <c r="UG24"/>
      <c r="UK24"/>
      <c r="UO24"/>
      <c r="US24"/>
      <c r="UW24"/>
      <c r="VA24"/>
      <c r="VE24"/>
      <c r="VI24"/>
      <c r="VM24"/>
      <c r="VQ24"/>
      <c r="VU24"/>
      <c r="VY24"/>
      <c r="WC24"/>
      <c r="WG24"/>
      <c r="WK24"/>
      <c r="WO24"/>
      <c r="WS24"/>
      <c r="WW24"/>
      <c r="XA24"/>
      <c r="XE24"/>
      <c r="XI24"/>
      <c r="XM24"/>
      <c r="XQ24"/>
      <c r="XU24"/>
      <c r="XY24"/>
      <c r="YC24"/>
      <c r="YG24"/>
      <c r="YK24"/>
      <c r="YO24"/>
      <c r="YS24"/>
      <c r="YW24"/>
      <c r="ZA24"/>
      <c r="ZE24"/>
      <c r="ZI24"/>
      <c r="ZM24"/>
      <c r="ZQ24"/>
      <c r="ZU24"/>
      <c r="ZY24"/>
      <c r="AAC24"/>
      <c r="AAG24"/>
      <c r="AAK24"/>
      <c r="AAO24"/>
      <c r="AAS24"/>
      <c r="AAW24"/>
      <c r="ABA24"/>
      <c r="ABE24"/>
      <c r="ABI24"/>
      <c r="ABM24"/>
      <c r="ABQ24"/>
      <c r="ABU24"/>
      <c r="ABY24"/>
      <c r="ACC24"/>
      <c r="ACG24"/>
      <c r="ACK24"/>
      <c r="ACO24"/>
      <c r="ACS24"/>
      <c r="ACW24"/>
      <c r="ADA24"/>
      <c r="ADE24"/>
      <c r="ADI24"/>
      <c r="ADM24"/>
      <c r="ADQ24"/>
      <c r="ADU24"/>
      <c r="ADY24"/>
      <c r="AEC24"/>
      <c r="AEG24"/>
      <c r="AEK24"/>
      <c r="AEO24"/>
      <c r="AES24"/>
      <c r="AEW24"/>
      <c r="AFA24"/>
      <c r="AFE24"/>
      <c r="AFI24"/>
      <c r="AFM24"/>
      <c r="AFQ24"/>
      <c r="AFU24"/>
      <c r="AFY24"/>
      <c r="AGC24"/>
      <c r="AGG24"/>
      <c r="AGK24"/>
      <c r="AGO24"/>
      <c r="AGS24"/>
      <c r="AGW24"/>
      <c r="AHA24"/>
      <c r="AHE24"/>
      <c r="AHI24"/>
      <c r="AHM24"/>
      <c r="AHQ24"/>
      <c r="AHU24"/>
      <c r="AHY24"/>
      <c r="AIC24"/>
      <c r="AIG24"/>
      <c r="AIK24"/>
      <c r="AIO24"/>
      <c r="AIS24"/>
      <c r="AIW24"/>
      <c r="AJA24"/>
      <c r="AJE24"/>
      <c r="AJI24"/>
      <c r="AJM24"/>
      <c r="AJQ24"/>
      <c r="AJU24"/>
      <c r="AJY24"/>
      <c r="AKC24"/>
      <c r="AKG24"/>
      <c r="AKK24"/>
      <c r="AKO24"/>
      <c r="AKS24"/>
      <c r="AKW24"/>
      <c r="ALA24"/>
      <c r="ALE24"/>
      <c r="ALI24"/>
      <c r="ALM24"/>
      <c r="ALQ24"/>
      <c r="ALU24"/>
      <c r="ALY24"/>
      <c r="AMC24"/>
      <c r="AMG24"/>
      <c r="AMK24"/>
      <c r="AMO24"/>
      <c r="AMS24"/>
      <c r="AMW24"/>
      <c r="ANA24"/>
      <c r="ANE24"/>
      <c r="ANI24"/>
      <c r="ANM24"/>
      <c r="ANQ24"/>
      <c r="ANU24"/>
      <c r="ANY24"/>
      <c r="AOC24"/>
      <c r="AOG24"/>
      <c r="AOK24"/>
      <c r="AOO24"/>
      <c r="AOS24"/>
      <c r="AOW24"/>
      <c r="APA24"/>
      <c r="APE24"/>
      <c r="API24"/>
      <c r="APM24"/>
      <c r="APQ24"/>
      <c r="APU24"/>
      <c r="APY24"/>
      <c r="AQC24"/>
      <c r="AQG24"/>
      <c r="AQK24"/>
      <c r="AQO24"/>
      <c r="AQS24"/>
      <c r="AQW24"/>
      <c r="ARA24"/>
      <c r="ARE24"/>
      <c r="ARI24"/>
      <c r="ARM24"/>
      <c r="ARQ24"/>
      <c r="ARU24"/>
      <c r="ARY24"/>
      <c r="ASC24"/>
      <c r="ASG24"/>
      <c r="ASK24"/>
      <c r="ASO24"/>
      <c r="ASS24"/>
      <c r="ASW24"/>
      <c r="ATA24"/>
      <c r="ATE24"/>
      <c r="ATI24"/>
      <c r="ATM24"/>
      <c r="ATQ24"/>
      <c r="ATU24"/>
      <c r="ATY24"/>
      <c r="AUC24"/>
      <c r="AUG24"/>
      <c r="AUK24"/>
      <c r="AUO24"/>
      <c r="AUS24"/>
      <c r="AUW24"/>
      <c r="AVA24"/>
      <c r="AVE24"/>
      <c r="AVI24"/>
      <c r="AVM24"/>
      <c r="AVQ24"/>
      <c r="AVU24"/>
      <c r="AVY24"/>
      <c r="AWC24"/>
      <c r="AWG24"/>
      <c r="AWK24"/>
      <c r="AWO24"/>
      <c r="AWS24"/>
      <c r="AWW24"/>
      <c r="AXA24"/>
      <c r="AXE24"/>
      <c r="AXI24"/>
      <c r="AXM24"/>
      <c r="AXQ24"/>
      <c r="AXU24"/>
      <c r="AXY24"/>
      <c r="AYC24"/>
      <c r="AYG24"/>
      <c r="AYK24"/>
      <c r="AYO24"/>
      <c r="AYS24"/>
      <c r="AYW24"/>
      <c r="AZA24"/>
      <c r="AZE24"/>
      <c r="AZI24"/>
      <c r="AZM24"/>
      <c r="AZQ24"/>
      <c r="AZU24"/>
      <c r="AZY24"/>
      <c r="BAC24"/>
      <c r="BAG24"/>
      <c r="BAK24"/>
      <c r="BAO24"/>
      <c r="BAS24"/>
      <c r="BAW24"/>
      <c r="BBA24"/>
      <c r="BBE24"/>
      <c r="BBI24"/>
      <c r="BBM24"/>
      <c r="BBQ24"/>
      <c r="BBU24"/>
      <c r="BBY24"/>
      <c r="BCC24"/>
      <c r="BCG24"/>
      <c r="BCK24"/>
      <c r="BCO24"/>
      <c r="BCS24"/>
      <c r="BCW24"/>
      <c r="BDA24"/>
      <c r="BDE24"/>
      <c r="BDI24"/>
      <c r="BDM24"/>
      <c r="BDQ24"/>
      <c r="BDU24"/>
      <c r="BDY24"/>
      <c r="BEC24"/>
      <c r="BEG24"/>
      <c r="BEK24"/>
      <c r="BEO24"/>
      <c r="BES24"/>
      <c r="BEW24"/>
      <c r="BFA24"/>
      <c r="BFE24"/>
      <c r="BFI24"/>
      <c r="BFM24"/>
      <c r="BFQ24"/>
      <c r="BFU24"/>
      <c r="BFY24"/>
      <c r="BGC24"/>
      <c r="BGG24"/>
      <c r="BGK24"/>
      <c r="BGO24"/>
      <c r="BGS24"/>
      <c r="BGW24"/>
      <c r="BHA24"/>
      <c r="BHE24"/>
      <c r="BHI24"/>
      <c r="BHM24"/>
      <c r="BHQ24"/>
      <c r="BHU24"/>
      <c r="BHY24"/>
      <c r="BIC24"/>
      <c r="BIG24"/>
      <c r="BIK24"/>
      <c r="BIO24"/>
      <c r="BIS24"/>
      <c r="BIW24"/>
      <c r="BJA24"/>
      <c r="BJE24"/>
      <c r="BJI24"/>
      <c r="BJM24"/>
      <c r="BJQ24"/>
      <c r="BJU24"/>
      <c r="BJY24"/>
      <c r="BKC24"/>
      <c r="BKG24"/>
      <c r="BKK24"/>
      <c r="BKO24"/>
      <c r="BKS24"/>
      <c r="BKW24"/>
      <c r="BLA24"/>
      <c r="BLE24"/>
      <c r="BLI24"/>
      <c r="BLM24"/>
      <c r="BLQ24"/>
      <c r="BLU24"/>
      <c r="BLY24"/>
      <c r="BMC24"/>
      <c r="BMG24"/>
      <c r="BMK24"/>
      <c r="BMO24"/>
      <c r="BMS24"/>
      <c r="BMW24"/>
      <c r="BNA24"/>
      <c r="BNE24"/>
      <c r="BNI24"/>
      <c r="BNM24"/>
      <c r="BNQ24"/>
      <c r="BNU24"/>
      <c r="BNY24"/>
      <c r="BOC24"/>
      <c r="BOG24"/>
      <c r="BOK24"/>
      <c r="BOO24"/>
      <c r="BOS24"/>
      <c r="BOW24"/>
      <c r="BPA24"/>
      <c r="BPE24"/>
      <c r="BPI24"/>
      <c r="BPM24"/>
      <c r="BPQ24"/>
      <c r="BPU24"/>
      <c r="BPY24"/>
      <c r="BQC24"/>
      <c r="BQG24"/>
      <c r="BQK24"/>
      <c r="BQO24"/>
      <c r="BQS24"/>
      <c r="BQW24"/>
      <c r="BRA24"/>
      <c r="BRE24"/>
      <c r="BRI24"/>
      <c r="BRM24"/>
      <c r="BRQ24"/>
      <c r="BRU24"/>
      <c r="BRY24"/>
      <c r="BSC24"/>
      <c r="BSG24"/>
      <c r="BSK24"/>
      <c r="BSO24"/>
      <c r="BSS24"/>
      <c r="BSW24"/>
      <c r="BTA24"/>
      <c r="BTE24"/>
      <c r="BTI24"/>
      <c r="BTM24"/>
      <c r="BTQ24"/>
      <c r="BTU24"/>
      <c r="BTY24"/>
      <c r="BUC24"/>
      <c r="BUG24"/>
      <c r="BUK24"/>
      <c r="BUO24"/>
      <c r="BUS24"/>
      <c r="BUW24"/>
      <c r="BVA24"/>
      <c r="BVE24"/>
      <c r="BVI24"/>
      <c r="BVM24"/>
      <c r="BVQ24"/>
      <c r="BVU24"/>
      <c r="BVY24"/>
      <c r="BWC24"/>
      <c r="BWG24"/>
      <c r="BWK24"/>
      <c r="BWO24"/>
      <c r="BWS24"/>
      <c r="BWW24"/>
      <c r="BXA24"/>
      <c r="BXE24"/>
      <c r="BXI24"/>
      <c r="BXM24"/>
      <c r="BXQ24"/>
      <c r="BXU24"/>
      <c r="BXY24"/>
      <c r="BYC24"/>
      <c r="BYG24"/>
      <c r="BYK24"/>
      <c r="BYO24"/>
      <c r="BYS24"/>
      <c r="BYW24"/>
      <c r="BZA24"/>
      <c r="BZE24"/>
      <c r="BZI24"/>
      <c r="BZM24"/>
      <c r="BZQ24"/>
      <c r="BZU24"/>
      <c r="BZY24"/>
      <c r="CAC24"/>
      <c r="CAG24"/>
      <c r="CAK24"/>
      <c r="CAO24"/>
      <c r="CAS24"/>
      <c r="CAW24"/>
      <c r="CBA24"/>
      <c r="CBE24"/>
      <c r="CBI24"/>
      <c r="CBM24"/>
      <c r="CBQ24"/>
      <c r="CBU24"/>
      <c r="CBY24"/>
      <c r="CCC24"/>
      <c r="CCG24"/>
      <c r="CCK24"/>
      <c r="CCO24"/>
      <c r="CCS24"/>
      <c r="CCW24"/>
      <c r="CDA24"/>
      <c r="CDE24"/>
      <c r="CDI24"/>
      <c r="CDM24"/>
      <c r="CDQ24"/>
      <c r="CDU24"/>
      <c r="CDY24"/>
      <c r="CEC24"/>
      <c r="CEG24"/>
      <c r="CEK24"/>
      <c r="CEO24"/>
      <c r="CES24"/>
      <c r="CEW24"/>
      <c r="CFA24"/>
      <c r="CFE24"/>
      <c r="CFI24"/>
      <c r="CFM24"/>
      <c r="CFQ24"/>
      <c r="CFU24"/>
      <c r="CFY24"/>
      <c r="CGC24"/>
      <c r="CGG24"/>
      <c r="CGK24"/>
      <c r="CGO24"/>
      <c r="CGS24"/>
      <c r="CGW24"/>
      <c r="CHA24"/>
      <c r="CHE24"/>
      <c r="CHI24"/>
      <c r="CHM24"/>
      <c r="CHQ24"/>
      <c r="CHU24"/>
      <c r="CHY24"/>
      <c r="CIC24"/>
      <c r="CIG24"/>
      <c r="CIK24"/>
      <c r="CIO24"/>
      <c r="CIS24"/>
      <c r="CIW24"/>
      <c r="CJA24"/>
      <c r="CJE24"/>
      <c r="CJI24"/>
      <c r="CJM24"/>
      <c r="CJQ24"/>
      <c r="CJU24"/>
      <c r="CJY24"/>
      <c r="CKC24"/>
      <c r="CKG24"/>
      <c r="CKK24"/>
      <c r="CKO24"/>
      <c r="CKS24"/>
      <c r="CKW24"/>
      <c r="CLA24"/>
      <c r="CLE24"/>
      <c r="CLI24"/>
      <c r="CLM24"/>
      <c r="CLQ24"/>
      <c r="CLU24"/>
      <c r="CLY24"/>
      <c r="CMC24"/>
      <c r="CMG24"/>
      <c r="CMK24"/>
      <c r="CMO24"/>
      <c r="CMS24"/>
      <c r="CMW24"/>
      <c r="CNA24"/>
      <c r="CNE24"/>
      <c r="CNI24"/>
      <c r="CNM24"/>
      <c r="CNQ24"/>
      <c r="CNU24"/>
      <c r="CNY24"/>
      <c r="COC24"/>
      <c r="COG24"/>
      <c r="COK24"/>
      <c r="COO24"/>
      <c r="COS24"/>
      <c r="COW24"/>
      <c r="CPA24"/>
      <c r="CPE24"/>
      <c r="CPI24"/>
      <c r="CPM24"/>
      <c r="CPQ24"/>
      <c r="CPU24"/>
      <c r="CPY24"/>
      <c r="CQC24"/>
      <c r="CQG24"/>
      <c r="CQK24"/>
      <c r="CQO24"/>
      <c r="CQS24"/>
      <c r="CQW24"/>
      <c r="CRA24"/>
      <c r="CRE24"/>
      <c r="CRI24"/>
      <c r="CRM24"/>
      <c r="CRQ24"/>
      <c r="CRU24"/>
      <c r="CRY24"/>
      <c r="CSC24"/>
      <c r="CSG24"/>
      <c r="CSK24"/>
      <c r="CSO24"/>
      <c r="CSS24"/>
      <c r="CSW24"/>
      <c r="CTA24"/>
      <c r="CTE24"/>
      <c r="CTI24"/>
      <c r="CTM24"/>
      <c r="CTQ24"/>
      <c r="CTU24"/>
      <c r="CTY24"/>
      <c r="CUC24"/>
      <c r="CUG24"/>
      <c r="CUK24"/>
      <c r="CUO24"/>
      <c r="CUS24"/>
      <c r="CUW24"/>
      <c r="CVA24"/>
      <c r="CVE24"/>
      <c r="CVI24"/>
      <c r="CVM24"/>
      <c r="CVQ24"/>
      <c r="CVU24"/>
      <c r="CVY24"/>
      <c r="CWC24"/>
      <c r="CWG24"/>
      <c r="CWK24"/>
      <c r="CWO24"/>
      <c r="CWS24"/>
      <c r="CWW24"/>
      <c r="CXA24"/>
      <c r="CXE24"/>
      <c r="CXI24"/>
      <c r="CXM24"/>
      <c r="CXQ24"/>
      <c r="CXU24"/>
      <c r="CXY24"/>
      <c r="CYC24"/>
      <c r="CYG24"/>
      <c r="CYK24"/>
      <c r="CYO24"/>
      <c r="CYS24"/>
      <c r="CYW24"/>
      <c r="CZA24"/>
      <c r="CZE24"/>
      <c r="CZI24"/>
      <c r="CZM24"/>
      <c r="CZQ24"/>
      <c r="CZU24"/>
      <c r="CZY24"/>
      <c r="DAC24"/>
      <c r="DAG24"/>
      <c r="DAK24"/>
      <c r="DAO24"/>
      <c r="DAS24"/>
      <c r="DAW24"/>
      <c r="DBA24"/>
      <c r="DBE24"/>
      <c r="DBI24"/>
      <c r="DBM24"/>
      <c r="DBQ24"/>
      <c r="DBU24"/>
      <c r="DBY24"/>
      <c r="DCC24"/>
      <c r="DCG24"/>
      <c r="DCK24"/>
      <c r="DCO24"/>
      <c r="DCS24"/>
      <c r="DCW24"/>
      <c r="DDA24"/>
      <c r="DDE24"/>
      <c r="DDI24"/>
      <c r="DDM24"/>
      <c r="DDQ24"/>
      <c r="DDU24"/>
      <c r="DDY24"/>
      <c r="DEC24"/>
      <c r="DEG24"/>
      <c r="DEK24"/>
      <c r="DEO24"/>
      <c r="DES24"/>
      <c r="DEW24"/>
      <c r="DFA24"/>
      <c r="DFE24"/>
      <c r="DFI24"/>
      <c r="DFM24"/>
      <c r="DFQ24"/>
      <c r="DFU24"/>
      <c r="DFY24"/>
      <c r="DGC24"/>
      <c r="DGG24"/>
      <c r="DGK24"/>
      <c r="DGO24"/>
      <c r="DGS24"/>
      <c r="DGW24"/>
      <c r="DHA24"/>
      <c r="DHE24"/>
      <c r="DHI24"/>
      <c r="DHM24"/>
      <c r="DHQ24"/>
      <c r="DHU24"/>
      <c r="DHY24"/>
      <c r="DIC24"/>
      <c r="DIG24"/>
      <c r="DIK24"/>
      <c r="DIO24"/>
      <c r="DIS24"/>
      <c r="DIW24"/>
      <c r="DJA24"/>
      <c r="DJE24"/>
      <c r="DJI24"/>
      <c r="DJM24"/>
      <c r="DJQ24"/>
      <c r="DJU24"/>
      <c r="DJY24"/>
      <c r="DKC24"/>
      <c r="DKG24"/>
      <c r="DKK24"/>
      <c r="DKO24"/>
      <c r="DKS24"/>
      <c r="DKW24"/>
      <c r="DLA24"/>
      <c r="DLE24"/>
      <c r="DLI24"/>
      <c r="DLM24"/>
      <c r="DLQ24"/>
      <c r="DLU24"/>
      <c r="DLY24"/>
      <c r="DMC24"/>
      <c r="DMG24"/>
      <c r="DMK24"/>
      <c r="DMO24"/>
      <c r="DMS24"/>
      <c r="DMW24"/>
      <c r="DNA24"/>
      <c r="DNE24"/>
      <c r="DNI24"/>
      <c r="DNM24"/>
      <c r="DNQ24"/>
      <c r="DNU24"/>
      <c r="DNY24"/>
      <c r="DOC24"/>
      <c r="DOG24"/>
      <c r="DOK24"/>
      <c r="DOO24"/>
      <c r="DOS24"/>
      <c r="DOW24"/>
      <c r="DPA24"/>
      <c r="DPE24"/>
      <c r="DPI24"/>
      <c r="DPM24"/>
      <c r="DPQ24"/>
      <c r="DPU24"/>
      <c r="DPY24"/>
      <c r="DQC24"/>
      <c r="DQG24"/>
      <c r="DQK24"/>
      <c r="DQO24"/>
      <c r="DQS24"/>
      <c r="DQW24"/>
      <c r="DRA24"/>
      <c r="DRE24"/>
      <c r="DRI24"/>
      <c r="DRM24"/>
      <c r="DRQ24"/>
      <c r="DRU24"/>
      <c r="DRY24"/>
      <c r="DSC24"/>
      <c r="DSG24"/>
      <c r="DSK24"/>
      <c r="DSO24"/>
      <c r="DSS24"/>
      <c r="DSW24"/>
      <c r="DTA24"/>
      <c r="DTE24"/>
      <c r="DTI24"/>
      <c r="DTM24"/>
      <c r="DTQ24"/>
      <c r="DTU24"/>
      <c r="DTY24"/>
      <c r="DUC24"/>
      <c r="DUG24"/>
      <c r="DUK24"/>
      <c r="DUO24"/>
      <c r="DUS24"/>
      <c r="DUW24"/>
      <c r="DVA24"/>
      <c r="DVE24"/>
      <c r="DVI24"/>
      <c r="DVM24"/>
      <c r="DVQ24"/>
      <c r="DVU24"/>
      <c r="DVY24"/>
      <c r="DWC24"/>
      <c r="DWG24"/>
      <c r="DWK24"/>
      <c r="DWO24"/>
      <c r="DWS24"/>
      <c r="DWW24"/>
      <c r="DXA24"/>
      <c r="DXE24"/>
      <c r="DXI24"/>
      <c r="DXM24"/>
      <c r="DXQ24"/>
      <c r="DXU24"/>
      <c r="DXY24"/>
      <c r="DYC24"/>
      <c r="DYG24"/>
      <c r="DYK24"/>
      <c r="DYO24"/>
      <c r="DYS24"/>
      <c r="DYW24"/>
      <c r="DZA24"/>
      <c r="DZE24"/>
      <c r="DZI24"/>
      <c r="DZM24"/>
      <c r="DZQ24"/>
      <c r="DZU24"/>
      <c r="DZY24"/>
      <c r="EAC24"/>
      <c r="EAG24"/>
      <c r="EAK24"/>
      <c r="EAO24"/>
      <c r="EAS24"/>
      <c r="EAW24"/>
      <c r="EBA24"/>
      <c r="EBE24"/>
      <c r="EBI24"/>
      <c r="EBM24"/>
      <c r="EBQ24"/>
      <c r="EBU24"/>
      <c r="EBY24"/>
      <c r="ECC24"/>
      <c r="ECG24"/>
      <c r="ECK24"/>
      <c r="ECO24"/>
      <c r="ECS24"/>
      <c r="ECW24"/>
      <c r="EDA24"/>
      <c r="EDE24"/>
      <c r="EDI24"/>
      <c r="EDM24"/>
      <c r="EDQ24"/>
      <c r="EDU24"/>
      <c r="EDY24"/>
      <c r="EEC24"/>
      <c r="EEG24"/>
      <c r="EEK24"/>
      <c r="EEO24"/>
      <c r="EES24"/>
      <c r="EEW24"/>
      <c r="EFA24"/>
      <c r="EFE24"/>
      <c r="EFI24"/>
      <c r="EFM24"/>
      <c r="EFQ24"/>
      <c r="EFU24"/>
      <c r="EFY24"/>
      <c r="EGC24"/>
      <c r="EGG24"/>
      <c r="EGK24"/>
      <c r="EGO24"/>
      <c r="EGS24"/>
      <c r="EGW24"/>
      <c r="EHA24"/>
      <c r="EHE24"/>
      <c r="EHI24"/>
      <c r="EHM24"/>
      <c r="EHQ24"/>
      <c r="EHU24"/>
      <c r="EHY24"/>
      <c r="EIC24"/>
      <c r="EIG24"/>
      <c r="EIK24"/>
      <c r="EIO24"/>
      <c r="EIS24"/>
      <c r="EIW24"/>
      <c r="EJA24"/>
      <c r="EJE24"/>
      <c r="EJI24"/>
      <c r="EJM24"/>
      <c r="EJQ24"/>
      <c r="EJU24"/>
      <c r="EJY24"/>
      <c r="EKC24"/>
      <c r="EKG24"/>
      <c r="EKK24"/>
      <c r="EKO24"/>
      <c r="EKS24"/>
      <c r="EKW24"/>
      <c r="ELA24"/>
      <c r="ELE24"/>
      <c r="ELI24"/>
      <c r="ELM24"/>
      <c r="ELQ24"/>
      <c r="ELU24"/>
      <c r="ELY24"/>
      <c r="EMC24"/>
      <c r="EMG24"/>
      <c r="EMK24"/>
      <c r="EMO24"/>
      <c r="EMS24"/>
      <c r="EMW24"/>
      <c r="ENA24"/>
      <c r="ENE24"/>
      <c r="ENI24"/>
      <c r="ENM24"/>
      <c r="ENQ24"/>
      <c r="ENU24"/>
      <c r="ENY24"/>
      <c r="EOC24"/>
      <c r="EOG24"/>
      <c r="EOK24"/>
      <c r="EOO24"/>
      <c r="EOS24"/>
      <c r="EOW24"/>
      <c r="EPA24"/>
      <c r="EPE24"/>
      <c r="EPI24"/>
      <c r="EPM24"/>
      <c r="EPQ24"/>
      <c r="EPU24"/>
      <c r="EPY24"/>
      <c r="EQC24"/>
      <c r="EQG24"/>
      <c r="EQK24"/>
      <c r="EQO24"/>
      <c r="EQS24"/>
      <c r="EQW24"/>
      <c r="ERA24"/>
      <c r="ERE24"/>
      <c r="ERI24"/>
      <c r="ERM24"/>
      <c r="ERQ24"/>
      <c r="ERU24"/>
      <c r="ERY24"/>
      <c r="ESC24"/>
      <c r="ESG24"/>
      <c r="ESK24"/>
      <c r="ESO24"/>
      <c r="ESS24"/>
      <c r="ESW24"/>
      <c r="ETA24"/>
      <c r="ETE24"/>
      <c r="ETI24"/>
      <c r="ETM24"/>
      <c r="ETQ24"/>
      <c r="ETU24"/>
      <c r="ETY24"/>
      <c r="EUC24"/>
      <c r="EUG24"/>
      <c r="EUK24"/>
      <c r="EUO24"/>
      <c r="EUS24"/>
      <c r="EUW24"/>
      <c r="EVA24"/>
      <c r="EVE24"/>
      <c r="EVI24"/>
      <c r="EVM24"/>
      <c r="EVQ24"/>
      <c r="EVU24"/>
      <c r="EVY24"/>
      <c r="EWC24"/>
      <c r="EWG24"/>
      <c r="EWK24"/>
      <c r="EWO24"/>
      <c r="EWS24"/>
      <c r="EWW24"/>
      <c r="EXA24"/>
      <c r="EXE24"/>
      <c r="EXI24"/>
      <c r="EXM24"/>
      <c r="EXQ24"/>
      <c r="EXU24"/>
      <c r="EXY24"/>
      <c r="EYC24"/>
      <c r="EYG24"/>
      <c r="EYK24"/>
      <c r="EYO24"/>
      <c r="EYS24"/>
      <c r="EYW24"/>
      <c r="EZA24"/>
      <c r="EZE24"/>
      <c r="EZI24"/>
      <c r="EZM24"/>
      <c r="EZQ24"/>
      <c r="EZU24"/>
      <c r="EZY24"/>
      <c r="FAC24"/>
      <c r="FAG24"/>
      <c r="FAK24"/>
      <c r="FAO24"/>
      <c r="FAS24"/>
      <c r="FAW24"/>
      <c r="FBA24"/>
      <c r="FBE24"/>
      <c r="FBI24"/>
      <c r="FBM24"/>
      <c r="FBQ24"/>
      <c r="FBU24"/>
      <c r="FBY24"/>
      <c r="FCC24"/>
      <c r="FCG24"/>
      <c r="FCK24"/>
      <c r="FCO24"/>
      <c r="FCS24"/>
      <c r="FCW24"/>
      <c r="FDA24"/>
      <c r="FDE24"/>
      <c r="FDI24"/>
      <c r="FDM24"/>
      <c r="FDQ24"/>
      <c r="FDU24"/>
      <c r="FDY24"/>
      <c r="FEC24"/>
      <c r="FEG24"/>
      <c r="FEK24"/>
      <c r="FEO24"/>
      <c r="FES24"/>
      <c r="FEW24"/>
      <c r="FFA24"/>
      <c r="FFE24"/>
      <c r="FFI24"/>
      <c r="FFM24"/>
      <c r="FFQ24"/>
      <c r="FFU24"/>
      <c r="FFY24"/>
      <c r="FGC24"/>
      <c r="FGG24"/>
      <c r="FGK24"/>
      <c r="FGO24"/>
      <c r="FGS24"/>
      <c r="FGW24"/>
      <c r="FHA24"/>
      <c r="FHE24"/>
      <c r="FHI24"/>
      <c r="FHM24"/>
      <c r="FHQ24"/>
      <c r="FHU24"/>
      <c r="FHY24"/>
      <c r="FIC24"/>
      <c r="FIG24"/>
      <c r="FIK24"/>
      <c r="FIO24"/>
      <c r="FIS24"/>
      <c r="FIW24"/>
      <c r="FJA24"/>
      <c r="FJE24"/>
      <c r="FJI24"/>
      <c r="FJM24"/>
      <c r="FJQ24"/>
      <c r="FJU24"/>
      <c r="FJY24"/>
      <c r="FKC24"/>
      <c r="FKG24"/>
      <c r="FKK24"/>
      <c r="FKO24"/>
      <c r="FKS24"/>
      <c r="FKW24"/>
      <c r="FLA24"/>
      <c r="FLE24"/>
      <c r="FLI24"/>
      <c r="FLM24"/>
      <c r="FLQ24"/>
      <c r="FLU24"/>
      <c r="FLY24"/>
      <c r="FMC24"/>
      <c r="FMG24"/>
      <c r="FMK24"/>
      <c r="FMO24"/>
      <c r="FMS24"/>
      <c r="FMW24"/>
      <c r="FNA24"/>
      <c r="FNE24"/>
      <c r="FNI24"/>
      <c r="FNM24"/>
      <c r="FNQ24"/>
      <c r="FNU24"/>
      <c r="FNY24"/>
      <c r="FOC24"/>
      <c r="FOG24"/>
      <c r="FOK24"/>
      <c r="FOO24"/>
      <c r="FOS24"/>
      <c r="FOW24"/>
      <c r="FPA24"/>
      <c r="FPE24"/>
      <c r="FPI24"/>
      <c r="FPM24"/>
      <c r="FPQ24"/>
      <c r="FPU24"/>
      <c r="FPY24"/>
      <c r="FQC24"/>
      <c r="FQG24"/>
      <c r="FQK24"/>
      <c r="FQO24"/>
      <c r="FQS24"/>
      <c r="FQW24"/>
      <c r="FRA24"/>
      <c r="FRE24"/>
      <c r="FRI24"/>
      <c r="FRM24"/>
      <c r="FRQ24"/>
      <c r="FRU24"/>
      <c r="FRY24"/>
      <c r="FSC24"/>
      <c r="FSG24"/>
      <c r="FSK24"/>
      <c r="FSO24"/>
      <c r="FSS24"/>
      <c r="FSW24"/>
      <c r="FTA24"/>
      <c r="FTE24"/>
      <c r="FTI24"/>
      <c r="FTM24"/>
      <c r="FTQ24"/>
      <c r="FTU24"/>
      <c r="FTY24"/>
      <c r="FUC24"/>
      <c r="FUG24"/>
      <c r="FUK24"/>
      <c r="FUO24"/>
      <c r="FUS24"/>
      <c r="FUW24"/>
      <c r="FVA24"/>
      <c r="FVE24"/>
      <c r="FVI24"/>
      <c r="FVM24"/>
      <c r="FVQ24"/>
      <c r="FVU24"/>
      <c r="FVY24"/>
      <c r="FWC24"/>
      <c r="FWG24"/>
      <c r="FWK24"/>
      <c r="FWO24"/>
      <c r="FWS24"/>
      <c r="FWW24"/>
      <c r="FXA24"/>
      <c r="FXE24"/>
      <c r="FXI24"/>
      <c r="FXM24"/>
      <c r="FXQ24"/>
      <c r="FXU24"/>
      <c r="FXY24"/>
      <c r="FYC24"/>
      <c r="FYG24"/>
      <c r="FYK24"/>
      <c r="FYO24"/>
      <c r="FYS24"/>
      <c r="FYW24"/>
      <c r="FZA24"/>
      <c r="FZE24"/>
      <c r="FZI24"/>
      <c r="FZM24"/>
      <c r="FZQ24"/>
      <c r="FZU24"/>
      <c r="FZY24"/>
      <c r="GAC24"/>
      <c r="GAG24"/>
      <c r="GAK24"/>
      <c r="GAO24"/>
      <c r="GAS24"/>
      <c r="GAW24"/>
      <c r="GBA24"/>
      <c r="GBE24"/>
      <c r="GBI24"/>
      <c r="GBM24"/>
      <c r="GBQ24"/>
      <c r="GBU24"/>
      <c r="GBY24"/>
      <c r="GCC24"/>
      <c r="GCG24"/>
      <c r="GCK24"/>
      <c r="GCO24"/>
      <c r="GCS24"/>
      <c r="GCW24"/>
      <c r="GDA24"/>
      <c r="GDE24"/>
      <c r="GDI24"/>
      <c r="GDM24"/>
      <c r="GDQ24"/>
      <c r="GDU24"/>
      <c r="GDY24"/>
      <c r="GEC24"/>
      <c r="GEG24"/>
      <c r="GEK24"/>
      <c r="GEO24"/>
      <c r="GES24"/>
      <c r="GEW24"/>
      <c r="GFA24"/>
      <c r="GFE24"/>
      <c r="GFI24"/>
      <c r="GFM24"/>
      <c r="GFQ24"/>
      <c r="GFU24"/>
      <c r="GFY24"/>
      <c r="GGC24"/>
      <c r="GGG24"/>
      <c r="GGK24"/>
      <c r="GGO24"/>
      <c r="GGS24"/>
      <c r="GGW24"/>
      <c r="GHA24"/>
      <c r="GHE24"/>
      <c r="GHI24"/>
      <c r="GHM24"/>
      <c r="GHQ24"/>
      <c r="GHU24"/>
      <c r="GHY24"/>
      <c r="GIC24"/>
      <c r="GIG24"/>
      <c r="GIK24"/>
      <c r="GIO24"/>
      <c r="GIS24"/>
      <c r="GIW24"/>
      <c r="GJA24"/>
      <c r="GJE24"/>
      <c r="GJI24"/>
      <c r="GJM24"/>
      <c r="GJQ24"/>
      <c r="GJU24"/>
      <c r="GJY24"/>
      <c r="GKC24"/>
      <c r="GKG24"/>
      <c r="GKK24"/>
      <c r="GKO24"/>
      <c r="GKS24"/>
      <c r="GKW24"/>
      <c r="GLA24"/>
      <c r="GLE24"/>
      <c r="GLI24"/>
      <c r="GLM24"/>
      <c r="GLQ24"/>
      <c r="GLU24"/>
      <c r="GLY24"/>
      <c r="GMC24"/>
      <c r="GMG24"/>
      <c r="GMK24"/>
      <c r="GMO24"/>
      <c r="GMS24"/>
      <c r="GMW24"/>
      <c r="GNA24"/>
      <c r="GNE24"/>
      <c r="GNI24"/>
      <c r="GNM24"/>
      <c r="GNQ24"/>
      <c r="GNU24"/>
      <c r="GNY24"/>
      <c r="GOC24"/>
      <c r="GOG24"/>
      <c r="GOK24"/>
      <c r="GOO24"/>
      <c r="GOS24"/>
      <c r="GOW24"/>
      <c r="GPA24"/>
      <c r="GPE24"/>
      <c r="GPI24"/>
      <c r="GPM24"/>
      <c r="GPQ24"/>
      <c r="GPU24"/>
      <c r="GPY24"/>
      <c r="GQC24"/>
      <c r="GQG24"/>
      <c r="GQK24"/>
      <c r="GQO24"/>
      <c r="GQS24"/>
      <c r="GQW24"/>
      <c r="GRA24"/>
      <c r="GRE24"/>
      <c r="GRI24"/>
      <c r="GRM24"/>
      <c r="GRQ24"/>
      <c r="GRU24"/>
      <c r="GRY24"/>
      <c r="GSC24"/>
      <c r="GSG24"/>
      <c r="GSK24"/>
      <c r="GSO24"/>
      <c r="GSS24"/>
      <c r="GSW24"/>
      <c r="GTA24"/>
      <c r="GTE24"/>
      <c r="GTI24"/>
      <c r="GTM24"/>
      <c r="GTQ24"/>
      <c r="GTU24"/>
      <c r="GTY24"/>
      <c r="GUC24"/>
      <c r="GUG24"/>
      <c r="GUK24"/>
      <c r="GUO24"/>
      <c r="GUS24"/>
      <c r="GUW24"/>
      <c r="GVA24"/>
      <c r="GVE24"/>
      <c r="GVI24"/>
      <c r="GVM24"/>
      <c r="GVQ24"/>
      <c r="GVU24"/>
      <c r="GVY24"/>
      <c r="GWC24"/>
      <c r="GWG24"/>
      <c r="GWK24"/>
      <c r="GWO24"/>
      <c r="GWS24"/>
      <c r="GWW24"/>
      <c r="GXA24"/>
      <c r="GXE24"/>
      <c r="GXI24"/>
      <c r="GXM24"/>
      <c r="GXQ24"/>
      <c r="GXU24"/>
      <c r="GXY24"/>
      <c r="GYC24"/>
      <c r="GYG24"/>
      <c r="GYK24"/>
      <c r="GYO24"/>
      <c r="GYS24"/>
      <c r="GYW24"/>
      <c r="GZA24"/>
      <c r="GZE24"/>
      <c r="GZI24"/>
      <c r="GZM24"/>
      <c r="GZQ24"/>
      <c r="GZU24"/>
      <c r="GZY24"/>
      <c r="HAC24"/>
      <c r="HAG24"/>
      <c r="HAK24"/>
      <c r="HAO24"/>
      <c r="HAS24"/>
      <c r="HAW24"/>
      <c r="HBA24"/>
      <c r="HBE24"/>
      <c r="HBI24"/>
      <c r="HBM24"/>
      <c r="HBQ24"/>
      <c r="HBU24"/>
      <c r="HBY24"/>
      <c r="HCC24"/>
      <c r="HCG24"/>
      <c r="HCK24"/>
      <c r="HCO24"/>
      <c r="HCS24"/>
      <c r="HCW24"/>
      <c r="HDA24"/>
      <c r="HDE24"/>
      <c r="HDI24"/>
      <c r="HDM24"/>
      <c r="HDQ24"/>
      <c r="HDU24"/>
      <c r="HDY24"/>
      <c r="HEC24"/>
      <c r="HEG24"/>
      <c r="HEK24"/>
      <c r="HEO24"/>
      <c r="HES24"/>
      <c r="HEW24"/>
      <c r="HFA24"/>
      <c r="HFE24"/>
      <c r="HFI24"/>
      <c r="HFM24"/>
      <c r="HFQ24"/>
      <c r="HFU24"/>
      <c r="HFY24"/>
      <c r="HGC24"/>
      <c r="HGG24"/>
      <c r="HGK24"/>
      <c r="HGO24"/>
      <c r="HGS24"/>
      <c r="HGW24"/>
      <c r="HHA24"/>
      <c r="HHE24"/>
      <c r="HHI24"/>
      <c r="HHM24"/>
      <c r="HHQ24"/>
      <c r="HHU24"/>
      <c r="HHY24"/>
      <c r="HIC24"/>
      <c r="HIG24"/>
      <c r="HIK24"/>
      <c r="HIO24"/>
      <c r="HIS24"/>
      <c r="HIW24"/>
      <c r="HJA24"/>
      <c r="HJE24"/>
      <c r="HJI24"/>
      <c r="HJM24"/>
      <c r="HJQ24"/>
      <c r="HJU24"/>
      <c r="HJY24"/>
      <c r="HKC24"/>
      <c r="HKG24"/>
      <c r="HKK24"/>
      <c r="HKO24"/>
      <c r="HKS24"/>
      <c r="HKW24"/>
      <c r="HLA24"/>
      <c r="HLE24"/>
      <c r="HLI24"/>
      <c r="HLM24"/>
      <c r="HLQ24"/>
      <c r="HLU24"/>
      <c r="HLY24"/>
      <c r="HMC24"/>
      <c r="HMG24"/>
      <c r="HMK24"/>
      <c r="HMO24"/>
      <c r="HMS24"/>
      <c r="HMW24"/>
      <c r="HNA24"/>
      <c r="HNE24"/>
      <c r="HNI24"/>
      <c r="HNM24"/>
      <c r="HNQ24"/>
      <c r="HNU24"/>
      <c r="HNY24"/>
      <c r="HOC24"/>
      <c r="HOG24"/>
      <c r="HOK24"/>
      <c r="HOO24"/>
      <c r="HOS24"/>
      <c r="HOW24"/>
      <c r="HPA24"/>
      <c r="HPE24"/>
      <c r="HPI24"/>
      <c r="HPM24"/>
      <c r="HPQ24"/>
      <c r="HPU24"/>
      <c r="HPY24"/>
      <c r="HQC24"/>
      <c r="HQG24"/>
      <c r="HQK24"/>
      <c r="HQO24"/>
      <c r="HQS24"/>
      <c r="HQW24"/>
      <c r="HRA24"/>
      <c r="HRE24"/>
      <c r="HRI24"/>
      <c r="HRM24"/>
      <c r="HRQ24"/>
      <c r="HRU24"/>
      <c r="HRY24"/>
      <c r="HSC24"/>
      <c r="HSG24"/>
      <c r="HSK24"/>
      <c r="HSO24"/>
      <c r="HSS24"/>
      <c r="HSW24"/>
      <c r="HTA24"/>
      <c r="HTE24"/>
      <c r="HTI24"/>
      <c r="HTM24"/>
      <c r="HTQ24"/>
      <c r="HTU24"/>
      <c r="HTY24"/>
      <c r="HUC24"/>
      <c r="HUG24"/>
      <c r="HUK24"/>
      <c r="HUO24"/>
      <c r="HUS24"/>
      <c r="HUW24"/>
      <c r="HVA24"/>
      <c r="HVE24"/>
      <c r="HVI24"/>
      <c r="HVM24"/>
      <c r="HVQ24"/>
      <c r="HVU24"/>
      <c r="HVY24"/>
      <c r="HWC24"/>
      <c r="HWG24"/>
      <c r="HWK24"/>
      <c r="HWO24"/>
      <c r="HWS24"/>
      <c r="HWW24"/>
      <c r="HXA24"/>
      <c r="HXE24"/>
      <c r="HXI24"/>
      <c r="HXM24"/>
      <c r="HXQ24"/>
      <c r="HXU24"/>
      <c r="HXY24"/>
      <c r="HYC24"/>
      <c r="HYG24"/>
      <c r="HYK24"/>
      <c r="HYO24"/>
      <c r="HYS24"/>
      <c r="HYW24"/>
      <c r="HZA24"/>
      <c r="HZE24"/>
      <c r="HZI24"/>
      <c r="HZM24"/>
      <c r="HZQ24"/>
      <c r="HZU24"/>
      <c r="HZY24"/>
      <c r="IAC24"/>
      <c r="IAG24"/>
      <c r="IAK24"/>
      <c r="IAO24"/>
      <c r="IAS24"/>
      <c r="IAW24"/>
      <c r="IBA24"/>
      <c r="IBE24"/>
      <c r="IBI24"/>
      <c r="IBM24"/>
      <c r="IBQ24"/>
      <c r="IBU24"/>
      <c r="IBY24"/>
      <c r="ICC24"/>
      <c r="ICG24"/>
      <c r="ICK24"/>
      <c r="ICO24"/>
      <c r="ICS24"/>
      <c r="ICW24"/>
      <c r="IDA24"/>
      <c r="IDE24"/>
      <c r="IDI24"/>
      <c r="IDM24"/>
      <c r="IDQ24"/>
      <c r="IDU24"/>
      <c r="IDY24"/>
      <c r="IEC24"/>
      <c r="IEG24"/>
      <c r="IEK24"/>
      <c r="IEO24"/>
      <c r="IES24"/>
      <c r="IEW24"/>
      <c r="IFA24"/>
      <c r="IFE24"/>
      <c r="IFI24"/>
      <c r="IFM24"/>
      <c r="IFQ24"/>
      <c r="IFU24"/>
      <c r="IFY24"/>
      <c r="IGC24"/>
      <c r="IGG24"/>
      <c r="IGK24"/>
      <c r="IGO24"/>
      <c r="IGS24"/>
      <c r="IGW24"/>
      <c r="IHA24"/>
      <c r="IHE24"/>
      <c r="IHI24"/>
      <c r="IHM24"/>
      <c r="IHQ24"/>
      <c r="IHU24"/>
      <c r="IHY24"/>
      <c r="IIC24"/>
      <c r="IIG24"/>
      <c r="IIK24"/>
      <c r="IIO24"/>
      <c r="IIS24"/>
      <c r="IIW24"/>
      <c r="IJA24"/>
      <c r="IJE24"/>
      <c r="IJI24"/>
      <c r="IJM24"/>
      <c r="IJQ24"/>
      <c r="IJU24"/>
      <c r="IJY24"/>
      <c r="IKC24"/>
      <c r="IKG24"/>
      <c r="IKK24"/>
      <c r="IKO24"/>
      <c r="IKS24"/>
      <c r="IKW24"/>
      <c r="ILA24"/>
      <c r="ILE24"/>
      <c r="ILI24"/>
      <c r="ILM24"/>
      <c r="ILQ24"/>
      <c r="ILU24"/>
      <c r="ILY24"/>
      <c r="IMC24"/>
      <c r="IMG24"/>
      <c r="IMK24"/>
      <c r="IMO24"/>
      <c r="IMS24"/>
      <c r="IMW24"/>
      <c r="INA24"/>
      <c r="INE24"/>
      <c r="INI24"/>
      <c r="INM24"/>
      <c r="INQ24"/>
      <c r="INU24"/>
      <c r="INY24"/>
      <c r="IOC24"/>
      <c r="IOG24"/>
      <c r="IOK24"/>
      <c r="IOO24"/>
      <c r="IOS24"/>
      <c r="IOW24"/>
      <c r="IPA24"/>
      <c r="IPE24"/>
      <c r="IPI24"/>
      <c r="IPM24"/>
      <c r="IPQ24"/>
      <c r="IPU24"/>
      <c r="IPY24"/>
      <c r="IQC24"/>
      <c r="IQG24"/>
      <c r="IQK24"/>
      <c r="IQO24"/>
      <c r="IQS24"/>
      <c r="IQW24"/>
      <c r="IRA24"/>
      <c r="IRE24"/>
      <c r="IRI24"/>
      <c r="IRM24"/>
      <c r="IRQ24"/>
      <c r="IRU24"/>
      <c r="IRY24"/>
      <c r="ISC24"/>
      <c r="ISG24"/>
      <c r="ISK24"/>
      <c r="ISO24"/>
      <c r="ISS24"/>
      <c r="ISW24"/>
      <c r="ITA24"/>
      <c r="ITE24"/>
      <c r="ITI24"/>
      <c r="ITM24"/>
      <c r="ITQ24"/>
      <c r="ITU24"/>
      <c r="ITY24"/>
      <c r="IUC24"/>
      <c r="IUG24"/>
      <c r="IUK24"/>
      <c r="IUO24"/>
      <c r="IUS24"/>
      <c r="IUW24"/>
      <c r="IVA24"/>
      <c r="IVE24"/>
      <c r="IVI24"/>
      <c r="IVM24"/>
      <c r="IVQ24"/>
      <c r="IVU24"/>
      <c r="IVY24"/>
      <c r="IWC24"/>
      <c r="IWG24"/>
      <c r="IWK24"/>
      <c r="IWO24"/>
      <c r="IWS24"/>
      <c r="IWW24"/>
      <c r="IXA24"/>
      <c r="IXE24"/>
      <c r="IXI24"/>
      <c r="IXM24"/>
      <c r="IXQ24"/>
      <c r="IXU24"/>
      <c r="IXY24"/>
      <c r="IYC24"/>
      <c r="IYG24"/>
      <c r="IYK24"/>
      <c r="IYO24"/>
      <c r="IYS24"/>
      <c r="IYW24"/>
      <c r="IZA24"/>
      <c r="IZE24"/>
      <c r="IZI24"/>
      <c r="IZM24"/>
      <c r="IZQ24"/>
      <c r="IZU24"/>
      <c r="IZY24"/>
      <c r="JAC24"/>
      <c r="JAG24"/>
      <c r="JAK24"/>
      <c r="JAO24"/>
      <c r="JAS24"/>
      <c r="JAW24"/>
      <c r="JBA24"/>
      <c r="JBE24"/>
      <c r="JBI24"/>
      <c r="JBM24"/>
      <c r="JBQ24"/>
      <c r="JBU24"/>
      <c r="JBY24"/>
      <c r="JCC24"/>
      <c r="JCG24"/>
      <c r="JCK24"/>
      <c r="JCO24"/>
      <c r="JCS24"/>
      <c r="JCW24"/>
      <c r="JDA24"/>
      <c r="JDE24"/>
      <c r="JDI24"/>
      <c r="JDM24"/>
      <c r="JDQ24"/>
      <c r="JDU24"/>
      <c r="JDY24"/>
      <c r="JEC24"/>
      <c r="JEG24"/>
      <c r="JEK24"/>
      <c r="JEO24"/>
      <c r="JES24"/>
      <c r="JEW24"/>
      <c r="JFA24"/>
      <c r="JFE24"/>
      <c r="JFI24"/>
      <c r="JFM24"/>
      <c r="JFQ24"/>
      <c r="JFU24"/>
      <c r="JFY24"/>
      <c r="JGC24"/>
      <c r="JGG24"/>
      <c r="JGK24"/>
      <c r="JGO24"/>
      <c r="JGS24"/>
      <c r="JGW24"/>
      <c r="JHA24"/>
      <c r="JHE24"/>
      <c r="JHI24"/>
      <c r="JHM24"/>
      <c r="JHQ24"/>
      <c r="JHU24"/>
      <c r="JHY24"/>
      <c r="JIC24"/>
      <c r="JIG24"/>
      <c r="JIK24"/>
      <c r="JIO24"/>
      <c r="JIS24"/>
      <c r="JIW24"/>
      <c r="JJA24"/>
      <c r="JJE24"/>
      <c r="JJI24"/>
      <c r="JJM24"/>
      <c r="JJQ24"/>
      <c r="JJU24"/>
      <c r="JJY24"/>
      <c r="JKC24"/>
      <c r="JKG24"/>
      <c r="JKK24"/>
      <c r="JKO24"/>
      <c r="JKS24"/>
      <c r="JKW24"/>
      <c r="JLA24"/>
      <c r="JLE24"/>
      <c r="JLI24"/>
      <c r="JLM24"/>
      <c r="JLQ24"/>
      <c r="JLU24"/>
      <c r="JLY24"/>
      <c r="JMC24"/>
      <c r="JMG24"/>
      <c r="JMK24"/>
      <c r="JMO24"/>
      <c r="JMS24"/>
      <c r="JMW24"/>
      <c r="JNA24"/>
      <c r="JNE24"/>
      <c r="JNI24"/>
      <c r="JNM24"/>
      <c r="JNQ24"/>
      <c r="JNU24"/>
      <c r="JNY24"/>
      <c r="JOC24"/>
      <c r="JOG24"/>
      <c r="JOK24"/>
      <c r="JOO24"/>
      <c r="JOS24"/>
      <c r="JOW24"/>
      <c r="JPA24"/>
      <c r="JPE24"/>
      <c r="JPI24"/>
      <c r="JPM24"/>
      <c r="JPQ24"/>
      <c r="JPU24"/>
      <c r="JPY24"/>
      <c r="JQC24"/>
      <c r="JQG24"/>
      <c r="JQK24"/>
      <c r="JQO24"/>
      <c r="JQS24"/>
      <c r="JQW24"/>
      <c r="JRA24"/>
      <c r="JRE24"/>
      <c r="JRI24"/>
      <c r="JRM24"/>
      <c r="JRQ24"/>
      <c r="JRU24"/>
      <c r="JRY24"/>
      <c r="JSC24"/>
      <c r="JSG24"/>
      <c r="JSK24"/>
      <c r="JSO24"/>
      <c r="JSS24"/>
      <c r="JSW24"/>
      <c r="JTA24"/>
      <c r="JTE24"/>
      <c r="JTI24"/>
      <c r="JTM24"/>
      <c r="JTQ24"/>
      <c r="JTU24"/>
      <c r="JTY24"/>
      <c r="JUC24"/>
      <c r="JUG24"/>
      <c r="JUK24"/>
      <c r="JUO24"/>
      <c r="JUS24"/>
      <c r="JUW24"/>
      <c r="JVA24"/>
      <c r="JVE24"/>
      <c r="JVI24"/>
      <c r="JVM24"/>
      <c r="JVQ24"/>
      <c r="JVU24"/>
      <c r="JVY24"/>
      <c r="JWC24"/>
      <c r="JWG24"/>
      <c r="JWK24"/>
      <c r="JWO24"/>
      <c r="JWS24"/>
      <c r="JWW24"/>
      <c r="JXA24"/>
      <c r="JXE24"/>
      <c r="JXI24"/>
      <c r="JXM24"/>
      <c r="JXQ24"/>
      <c r="JXU24"/>
      <c r="JXY24"/>
      <c r="JYC24"/>
      <c r="JYG24"/>
      <c r="JYK24"/>
      <c r="JYO24"/>
      <c r="JYS24"/>
      <c r="JYW24"/>
      <c r="JZA24"/>
      <c r="JZE24"/>
      <c r="JZI24"/>
      <c r="JZM24"/>
      <c r="JZQ24"/>
      <c r="JZU24"/>
      <c r="JZY24"/>
      <c r="KAC24"/>
      <c r="KAG24"/>
      <c r="KAK24"/>
      <c r="KAO24"/>
      <c r="KAS24"/>
      <c r="KAW24"/>
      <c r="KBA24"/>
      <c r="KBE24"/>
      <c r="KBI24"/>
      <c r="KBM24"/>
      <c r="KBQ24"/>
      <c r="KBU24"/>
      <c r="KBY24"/>
      <c r="KCC24"/>
      <c r="KCG24"/>
      <c r="KCK24"/>
      <c r="KCO24"/>
      <c r="KCS24"/>
      <c r="KCW24"/>
      <c r="KDA24"/>
      <c r="KDE24"/>
      <c r="KDI24"/>
      <c r="KDM24"/>
      <c r="KDQ24"/>
      <c r="KDU24"/>
      <c r="KDY24"/>
      <c r="KEC24"/>
      <c r="KEG24"/>
      <c r="KEK24"/>
      <c r="KEO24"/>
      <c r="KES24"/>
      <c r="KEW24"/>
      <c r="KFA24"/>
      <c r="KFE24"/>
      <c r="KFI24"/>
      <c r="KFM24"/>
      <c r="KFQ24"/>
      <c r="KFU24"/>
      <c r="KFY24"/>
      <c r="KGC24"/>
      <c r="KGG24"/>
      <c r="KGK24"/>
      <c r="KGO24"/>
      <c r="KGS24"/>
      <c r="KGW24"/>
      <c r="KHA24"/>
      <c r="KHE24"/>
      <c r="KHI24"/>
      <c r="KHM24"/>
      <c r="KHQ24"/>
      <c r="KHU24"/>
      <c r="KHY24"/>
      <c r="KIC24"/>
      <c r="KIG24"/>
      <c r="KIK24"/>
      <c r="KIO24"/>
      <c r="KIS24"/>
      <c r="KIW24"/>
      <c r="KJA24"/>
      <c r="KJE24"/>
      <c r="KJI24"/>
      <c r="KJM24"/>
      <c r="KJQ24"/>
      <c r="KJU24"/>
      <c r="KJY24"/>
      <c r="KKC24"/>
      <c r="KKG24"/>
      <c r="KKK24"/>
      <c r="KKO24"/>
      <c r="KKS24"/>
      <c r="KKW24"/>
      <c r="KLA24"/>
      <c r="KLE24"/>
      <c r="KLI24"/>
      <c r="KLM24"/>
      <c r="KLQ24"/>
      <c r="KLU24"/>
      <c r="KLY24"/>
      <c r="KMC24"/>
      <c r="KMG24"/>
      <c r="KMK24"/>
      <c r="KMO24"/>
      <c r="KMS24"/>
      <c r="KMW24"/>
      <c r="KNA24"/>
      <c r="KNE24"/>
      <c r="KNI24"/>
      <c r="KNM24"/>
      <c r="KNQ24"/>
      <c r="KNU24"/>
      <c r="KNY24"/>
      <c r="KOC24"/>
      <c r="KOG24"/>
      <c r="KOK24"/>
      <c r="KOO24"/>
      <c r="KOS24"/>
      <c r="KOW24"/>
      <c r="KPA24"/>
      <c r="KPE24"/>
      <c r="KPI24"/>
      <c r="KPM24"/>
      <c r="KPQ24"/>
      <c r="KPU24"/>
      <c r="KPY24"/>
      <c r="KQC24"/>
      <c r="KQG24"/>
      <c r="KQK24"/>
      <c r="KQO24"/>
      <c r="KQS24"/>
      <c r="KQW24"/>
      <c r="KRA24"/>
      <c r="KRE24"/>
      <c r="KRI24"/>
      <c r="KRM24"/>
      <c r="KRQ24"/>
      <c r="KRU24"/>
      <c r="KRY24"/>
      <c r="KSC24"/>
      <c r="KSG24"/>
      <c r="KSK24"/>
      <c r="KSO24"/>
      <c r="KSS24"/>
      <c r="KSW24"/>
      <c r="KTA24"/>
      <c r="KTE24"/>
      <c r="KTI24"/>
      <c r="KTM24"/>
      <c r="KTQ24"/>
      <c r="KTU24"/>
      <c r="KTY24"/>
      <c r="KUC24"/>
      <c r="KUG24"/>
      <c r="KUK24"/>
      <c r="KUO24"/>
      <c r="KUS24"/>
      <c r="KUW24"/>
      <c r="KVA24"/>
      <c r="KVE24"/>
      <c r="KVI24"/>
      <c r="KVM24"/>
      <c r="KVQ24"/>
      <c r="KVU24"/>
      <c r="KVY24"/>
      <c r="KWC24"/>
      <c r="KWG24"/>
      <c r="KWK24"/>
      <c r="KWO24"/>
      <c r="KWS24"/>
      <c r="KWW24"/>
      <c r="KXA24"/>
      <c r="KXE24"/>
      <c r="KXI24"/>
      <c r="KXM24"/>
      <c r="KXQ24"/>
      <c r="KXU24"/>
      <c r="KXY24"/>
      <c r="KYC24"/>
      <c r="KYG24"/>
      <c r="KYK24"/>
      <c r="KYO24"/>
      <c r="KYS24"/>
      <c r="KYW24"/>
      <c r="KZA24"/>
      <c r="KZE24"/>
      <c r="KZI24"/>
      <c r="KZM24"/>
      <c r="KZQ24"/>
      <c r="KZU24"/>
      <c r="KZY24"/>
      <c r="LAC24"/>
      <c r="LAG24"/>
      <c r="LAK24"/>
      <c r="LAO24"/>
      <c r="LAS24"/>
      <c r="LAW24"/>
      <c r="LBA24"/>
      <c r="LBE24"/>
      <c r="LBI24"/>
      <c r="LBM24"/>
      <c r="LBQ24"/>
      <c r="LBU24"/>
      <c r="LBY24"/>
      <c r="LCC24"/>
      <c r="LCG24"/>
      <c r="LCK24"/>
      <c r="LCO24"/>
      <c r="LCS24"/>
      <c r="LCW24"/>
      <c r="LDA24"/>
      <c r="LDE24"/>
      <c r="LDI24"/>
      <c r="LDM24"/>
      <c r="LDQ24"/>
      <c r="LDU24"/>
      <c r="LDY24"/>
      <c r="LEC24"/>
      <c r="LEG24"/>
      <c r="LEK24"/>
      <c r="LEO24"/>
      <c r="LES24"/>
      <c r="LEW24"/>
      <c r="LFA24"/>
      <c r="LFE24"/>
      <c r="LFI24"/>
      <c r="LFM24"/>
      <c r="LFQ24"/>
      <c r="LFU24"/>
      <c r="LFY24"/>
      <c r="LGC24"/>
      <c r="LGG24"/>
      <c r="LGK24"/>
      <c r="LGO24"/>
      <c r="LGS24"/>
      <c r="LGW24"/>
      <c r="LHA24"/>
      <c r="LHE24"/>
      <c r="LHI24"/>
      <c r="LHM24"/>
      <c r="LHQ24"/>
      <c r="LHU24"/>
      <c r="LHY24"/>
      <c r="LIC24"/>
      <c r="LIG24"/>
      <c r="LIK24"/>
      <c r="LIO24"/>
      <c r="LIS24"/>
      <c r="LIW24"/>
      <c r="LJA24"/>
      <c r="LJE24"/>
      <c r="LJI24"/>
      <c r="LJM24"/>
      <c r="LJQ24"/>
      <c r="LJU24"/>
      <c r="LJY24"/>
      <c r="LKC24"/>
      <c r="LKG24"/>
      <c r="LKK24"/>
      <c r="LKO24"/>
      <c r="LKS24"/>
      <c r="LKW24"/>
      <c r="LLA24"/>
      <c r="LLE24"/>
      <c r="LLI24"/>
      <c r="LLM24"/>
      <c r="LLQ24"/>
      <c r="LLU24"/>
      <c r="LLY24"/>
      <c r="LMC24"/>
      <c r="LMG24"/>
      <c r="LMK24"/>
      <c r="LMO24"/>
      <c r="LMS24"/>
      <c r="LMW24"/>
      <c r="LNA24"/>
      <c r="LNE24"/>
      <c r="LNI24"/>
      <c r="LNM24"/>
      <c r="LNQ24"/>
      <c r="LNU24"/>
      <c r="LNY24"/>
      <c r="LOC24"/>
      <c r="LOG24"/>
      <c r="LOK24"/>
      <c r="LOO24"/>
      <c r="LOS24"/>
      <c r="LOW24"/>
      <c r="LPA24"/>
      <c r="LPE24"/>
      <c r="LPI24"/>
      <c r="LPM24"/>
      <c r="LPQ24"/>
      <c r="LPU24"/>
      <c r="LPY24"/>
      <c r="LQC24"/>
      <c r="LQG24"/>
      <c r="LQK24"/>
      <c r="LQO24"/>
      <c r="LQS24"/>
      <c r="LQW24"/>
      <c r="LRA24"/>
      <c r="LRE24"/>
      <c r="LRI24"/>
      <c r="LRM24"/>
      <c r="LRQ24"/>
      <c r="LRU24"/>
      <c r="LRY24"/>
      <c r="LSC24"/>
      <c r="LSG24"/>
      <c r="LSK24"/>
      <c r="LSO24"/>
      <c r="LSS24"/>
      <c r="LSW24"/>
      <c r="LTA24"/>
      <c r="LTE24"/>
      <c r="LTI24"/>
      <c r="LTM24"/>
      <c r="LTQ24"/>
      <c r="LTU24"/>
      <c r="LTY24"/>
      <c r="LUC24"/>
      <c r="LUG24"/>
      <c r="LUK24"/>
      <c r="LUO24"/>
      <c r="LUS24"/>
      <c r="LUW24"/>
      <c r="LVA24"/>
      <c r="LVE24"/>
      <c r="LVI24"/>
      <c r="LVM24"/>
      <c r="LVQ24"/>
      <c r="LVU24"/>
      <c r="LVY24"/>
      <c r="LWC24"/>
      <c r="LWG24"/>
      <c r="LWK24"/>
      <c r="LWO24"/>
      <c r="LWS24"/>
      <c r="LWW24"/>
      <c r="LXA24"/>
      <c r="LXE24"/>
      <c r="LXI24"/>
      <c r="LXM24"/>
      <c r="LXQ24"/>
      <c r="LXU24"/>
      <c r="LXY24"/>
      <c r="LYC24"/>
      <c r="LYG24"/>
      <c r="LYK24"/>
      <c r="LYO24"/>
      <c r="LYS24"/>
      <c r="LYW24"/>
      <c r="LZA24"/>
      <c r="LZE24"/>
      <c r="LZI24"/>
      <c r="LZM24"/>
      <c r="LZQ24"/>
      <c r="LZU24"/>
      <c r="LZY24"/>
      <c r="MAC24"/>
      <c r="MAG24"/>
      <c r="MAK24"/>
      <c r="MAO24"/>
      <c r="MAS24"/>
      <c r="MAW24"/>
      <c r="MBA24"/>
      <c r="MBE24"/>
      <c r="MBI24"/>
      <c r="MBM24"/>
      <c r="MBQ24"/>
      <c r="MBU24"/>
      <c r="MBY24"/>
      <c r="MCC24"/>
      <c r="MCG24"/>
      <c r="MCK24"/>
      <c r="MCO24"/>
      <c r="MCS24"/>
      <c r="MCW24"/>
      <c r="MDA24"/>
      <c r="MDE24"/>
      <c r="MDI24"/>
      <c r="MDM24"/>
      <c r="MDQ24"/>
      <c r="MDU24"/>
      <c r="MDY24"/>
      <c r="MEC24"/>
      <c r="MEG24"/>
      <c r="MEK24"/>
      <c r="MEO24"/>
      <c r="MES24"/>
      <c r="MEW24"/>
      <c r="MFA24"/>
      <c r="MFE24"/>
      <c r="MFI24"/>
      <c r="MFM24"/>
      <c r="MFQ24"/>
      <c r="MFU24"/>
      <c r="MFY24"/>
      <c r="MGC24"/>
      <c r="MGG24"/>
      <c r="MGK24"/>
      <c r="MGO24"/>
      <c r="MGS24"/>
      <c r="MGW24"/>
      <c r="MHA24"/>
      <c r="MHE24"/>
      <c r="MHI24"/>
      <c r="MHM24"/>
      <c r="MHQ24"/>
      <c r="MHU24"/>
      <c r="MHY24"/>
      <c r="MIC24"/>
      <c r="MIG24"/>
      <c r="MIK24"/>
      <c r="MIO24"/>
      <c r="MIS24"/>
      <c r="MIW24"/>
      <c r="MJA24"/>
      <c r="MJE24"/>
      <c r="MJI24"/>
      <c r="MJM24"/>
      <c r="MJQ24"/>
      <c r="MJU24"/>
      <c r="MJY24"/>
      <c r="MKC24"/>
      <c r="MKG24"/>
      <c r="MKK24"/>
      <c r="MKO24"/>
      <c r="MKS24"/>
      <c r="MKW24"/>
      <c r="MLA24"/>
      <c r="MLE24"/>
      <c r="MLI24"/>
      <c r="MLM24"/>
      <c r="MLQ24"/>
      <c r="MLU24"/>
      <c r="MLY24"/>
      <c r="MMC24"/>
      <c r="MMG24"/>
      <c r="MMK24"/>
      <c r="MMO24"/>
      <c r="MMS24"/>
      <c r="MMW24"/>
      <c r="MNA24"/>
      <c r="MNE24"/>
      <c r="MNI24"/>
      <c r="MNM24"/>
      <c r="MNQ24"/>
      <c r="MNU24"/>
      <c r="MNY24"/>
      <c r="MOC24"/>
      <c r="MOG24"/>
      <c r="MOK24"/>
      <c r="MOO24"/>
      <c r="MOS24"/>
      <c r="MOW24"/>
      <c r="MPA24"/>
      <c r="MPE24"/>
      <c r="MPI24"/>
      <c r="MPM24"/>
      <c r="MPQ24"/>
      <c r="MPU24"/>
      <c r="MPY24"/>
      <c r="MQC24"/>
      <c r="MQG24"/>
      <c r="MQK24"/>
      <c r="MQO24"/>
      <c r="MQS24"/>
      <c r="MQW24"/>
      <c r="MRA24"/>
      <c r="MRE24"/>
      <c r="MRI24"/>
      <c r="MRM24"/>
      <c r="MRQ24"/>
      <c r="MRU24"/>
      <c r="MRY24"/>
      <c r="MSC24"/>
      <c r="MSG24"/>
      <c r="MSK24"/>
      <c r="MSO24"/>
      <c r="MSS24"/>
      <c r="MSW24"/>
      <c r="MTA24"/>
      <c r="MTE24"/>
      <c r="MTI24"/>
      <c r="MTM24"/>
      <c r="MTQ24"/>
      <c r="MTU24"/>
      <c r="MTY24"/>
      <c r="MUC24"/>
      <c r="MUG24"/>
      <c r="MUK24"/>
      <c r="MUO24"/>
      <c r="MUS24"/>
      <c r="MUW24"/>
      <c r="MVA24"/>
      <c r="MVE24"/>
      <c r="MVI24"/>
      <c r="MVM24"/>
      <c r="MVQ24"/>
      <c r="MVU24"/>
      <c r="MVY24"/>
      <c r="MWC24"/>
      <c r="MWG24"/>
      <c r="MWK24"/>
      <c r="MWO24"/>
      <c r="MWS24"/>
      <c r="MWW24"/>
      <c r="MXA24"/>
      <c r="MXE24"/>
      <c r="MXI24"/>
      <c r="MXM24"/>
      <c r="MXQ24"/>
      <c r="MXU24"/>
      <c r="MXY24"/>
      <c r="MYC24"/>
      <c r="MYG24"/>
      <c r="MYK24"/>
      <c r="MYO24"/>
      <c r="MYS24"/>
      <c r="MYW24"/>
      <c r="MZA24"/>
      <c r="MZE24"/>
      <c r="MZI24"/>
      <c r="MZM24"/>
      <c r="MZQ24"/>
      <c r="MZU24"/>
      <c r="MZY24"/>
      <c r="NAC24"/>
      <c r="NAG24"/>
      <c r="NAK24"/>
      <c r="NAO24"/>
      <c r="NAS24"/>
      <c r="NAW24"/>
      <c r="NBA24"/>
      <c r="NBE24"/>
      <c r="NBI24"/>
      <c r="NBM24"/>
      <c r="NBQ24"/>
      <c r="NBU24"/>
      <c r="NBY24"/>
      <c r="NCC24"/>
      <c r="NCG24"/>
      <c r="NCK24"/>
      <c r="NCO24"/>
      <c r="NCS24"/>
      <c r="NCW24"/>
      <c r="NDA24"/>
      <c r="NDE24"/>
      <c r="NDI24"/>
      <c r="NDM24"/>
      <c r="NDQ24"/>
      <c r="NDU24"/>
      <c r="NDY24"/>
      <c r="NEC24"/>
      <c r="NEG24"/>
      <c r="NEK24"/>
      <c r="NEO24"/>
      <c r="NES24"/>
      <c r="NEW24"/>
      <c r="NFA24"/>
      <c r="NFE24"/>
      <c r="NFI24"/>
      <c r="NFM24"/>
      <c r="NFQ24"/>
      <c r="NFU24"/>
      <c r="NFY24"/>
      <c r="NGC24"/>
      <c r="NGG24"/>
      <c r="NGK24"/>
      <c r="NGO24"/>
      <c r="NGS24"/>
      <c r="NGW24"/>
      <c r="NHA24"/>
      <c r="NHE24"/>
      <c r="NHI24"/>
      <c r="NHM24"/>
      <c r="NHQ24"/>
      <c r="NHU24"/>
      <c r="NHY24"/>
      <c r="NIC24"/>
      <c r="NIG24"/>
      <c r="NIK24"/>
      <c r="NIO24"/>
      <c r="NIS24"/>
      <c r="NIW24"/>
      <c r="NJA24"/>
      <c r="NJE24"/>
      <c r="NJI24"/>
      <c r="NJM24"/>
      <c r="NJQ24"/>
      <c r="NJU24"/>
      <c r="NJY24"/>
      <c r="NKC24"/>
      <c r="NKG24"/>
      <c r="NKK24"/>
      <c r="NKO24"/>
      <c r="NKS24"/>
      <c r="NKW24"/>
      <c r="NLA24"/>
      <c r="NLE24"/>
      <c r="NLI24"/>
      <c r="NLM24"/>
      <c r="NLQ24"/>
      <c r="NLU24"/>
      <c r="NLY24"/>
      <c r="NMC24"/>
      <c r="NMG24"/>
      <c r="NMK24"/>
      <c r="NMO24"/>
      <c r="NMS24"/>
      <c r="NMW24"/>
      <c r="NNA24"/>
      <c r="NNE24"/>
      <c r="NNI24"/>
      <c r="NNM24"/>
      <c r="NNQ24"/>
      <c r="NNU24"/>
      <c r="NNY24"/>
      <c r="NOC24"/>
      <c r="NOG24"/>
      <c r="NOK24"/>
      <c r="NOO24"/>
      <c r="NOS24"/>
      <c r="NOW24"/>
      <c r="NPA24"/>
      <c r="NPE24"/>
      <c r="NPI24"/>
      <c r="NPM24"/>
      <c r="NPQ24"/>
      <c r="NPU24"/>
      <c r="NPY24"/>
      <c r="NQC24"/>
      <c r="NQG24"/>
      <c r="NQK24"/>
      <c r="NQO24"/>
      <c r="NQS24"/>
      <c r="NQW24"/>
      <c r="NRA24"/>
      <c r="NRE24"/>
      <c r="NRI24"/>
      <c r="NRM24"/>
      <c r="NRQ24"/>
      <c r="NRU24"/>
      <c r="NRY24"/>
      <c r="NSC24"/>
      <c r="NSG24"/>
      <c r="NSK24"/>
      <c r="NSO24"/>
      <c r="NSS24"/>
      <c r="NSW24"/>
      <c r="NTA24"/>
      <c r="NTE24"/>
      <c r="NTI24"/>
      <c r="NTM24"/>
      <c r="NTQ24"/>
      <c r="NTU24"/>
      <c r="NTY24"/>
      <c r="NUC24"/>
      <c r="NUG24"/>
      <c r="NUK24"/>
      <c r="NUO24"/>
      <c r="NUS24"/>
      <c r="NUW24"/>
      <c r="NVA24"/>
      <c r="NVE24"/>
      <c r="NVI24"/>
      <c r="NVM24"/>
      <c r="NVQ24"/>
      <c r="NVU24"/>
      <c r="NVY24"/>
      <c r="NWC24"/>
      <c r="NWG24"/>
      <c r="NWK24"/>
      <c r="NWO24"/>
      <c r="NWS24"/>
      <c r="NWW24"/>
      <c r="NXA24"/>
      <c r="NXE24"/>
      <c r="NXI24"/>
      <c r="NXM24"/>
      <c r="NXQ24"/>
      <c r="NXU24"/>
      <c r="NXY24"/>
      <c r="NYC24"/>
      <c r="NYG24"/>
      <c r="NYK24"/>
      <c r="NYO24"/>
      <c r="NYS24"/>
      <c r="NYW24"/>
      <c r="NZA24"/>
      <c r="NZE24"/>
      <c r="NZI24"/>
      <c r="NZM24"/>
      <c r="NZQ24"/>
      <c r="NZU24"/>
      <c r="NZY24"/>
      <c r="OAC24"/>
      <c r="OAG24"/>
      <c r="OAK24"/>
      <c r="OAO24"/>
      <c r="OAS24"/>
      <c r="OAW24"/>
      <c r="OBA24"/>
      <c r="OBE24"/>
      <c r="OBI24"/>
      <c r="OBM24"/>
      <c r="OBQ24"/>
      <c r="OBU24"/>
      <c r="OBY24"/>
      <c r="OCC24"/>
      <c r="OCG24"/>
      <c r="OCK24"/>
      <c r="OCO24"/>
      <c r="OCS24"/>
      <c r="OCW24"/>
      <c r="ODA24"/>
      <c r="ODE24"/>
      <c r="ODI24"/>
      <c r="ODM24"/>
      <c r="ODQ24"/>
      <c r="ODU24"/>
      <c r="ODY24"/>
      <c r="OEC24"/>
      <c r="OEG24"/>
      <c r="OEK24"/>
      <c r="OEO24"/>
      <c r="OES24"/>
      <c r="OEW24"/>
      <c r="OFA24"/>
      <c r="OFE24"/>
      <c r="OFI24"/>
      <c r="OFM24"/>
      <c r="OFQ24"/>
      <c r="OFU24"/>
      <c r="OFY24"/>
      <c r="OGC24"/>
      <c r="OGG24"/>
      <c r="OGK24"/>
      <c r="OGO24"/>
      <c r="OGS24"/>
      <c r="OGW24"/>
      <c r="OHA24"/>
      <c r="OHE24"/>
      <c r="OHI24"/>
      <c r="OHM24"/>
      <c r="OHQ24"/>
      <c r="OHU24"/>
      <c r="OHY24"/>
      <c r="OIC24"/>
      <c r="OIG24"/>
      <c r="OIK24"/>
      <c r="OIO24"/>
      <c r="OIS24"/>
      <c r="OIW24"/>
      <c r="OJA24"/>
      <c r="OJE24"/>
      <c r="OJI24"/>
      <c r="OJM24"/>
      <c r="OJQ24"/>
      <c r="OJU24"/>
      <c r="OJY24"/>
      <c r="OKC24"/>
      <c r="OKG24"/>
      <c r="OKK24"/>
      <c r="OKO24"/>
      <c r="OKS24"/>
      <c r="OKW24"/>
      <c r="OLA24"/>
      <c r="OLE24"/>
      <c r="OLI24"/>
      <c r="OLM24"/>
      <c r="OLQ24"/>
      <c r="OLU24"/>
      <c r="OLY24"/>
      <c r="OMC24"/>
      <c r="OMG24"/>
      <c r="OMK24"/>
      <c r="OMO24"/>
      <c r="OMS24"/>
      <c r="OMW24"/>
      <c r="ONA24"/>
      <c r="ONE24"/>
      <c r="ONI24"/>
      <c r="ONM24"/>
      <c r="ONQ24"/>
      <c r="ONU24"/>
      <c r="ONY24"/>
      <c r="OOC24"/>
      <c r="OOG24"/>
      <c r="OOK24"/>
      <c r="OOO24"/>
      <c r="OOS24"/>
      <c r="OOW24"/>
      <c r="OPA24"/>
      <c r="OPE24"/>
      <c r="OPI24"/>
      <c r="OPM24"/>
      <c r="OPQ24"/>
      <c r="OPU24"/>
      <c r="OPY24"/>
      <c r="OQC24"/>
      <c r="OQG24"/>
      <c r="OQK24"/>
      <c r="OQO24"/>
      <c r="OQS24"/>
      <c r="OQW24"/>
      <c r="ORA24"/>
      <c r="ORE24"/>
      <c r="ORI24"/>
      <c r="ORM24"/>
      <c r="ORQ24"/>
      <c r="ORU24"/>
      <c r="ORY24"/>
      <c r="OSC24"/>
      <c r="OSG24"/>
      <c r="OSK24"/>
      <c r="OSO24"/>
      <c r="OSS24"/>
      <c r="OSW24"/>
      <c r="OTA24"/>
      <c r="OTE24"/>
      <c r="OTI24"/>
      <c r="OTM24"/>
      <c r="OTQ24"/>
      <c r="OTU24"/>
      <c r="OTY24"/>
      <c r="OUC24"/>
      <c r="OUG24"/>
      <c r="OUK24"/>
      <c r="OUO24"/>
      <c r="OUS24"/>
      <c r="OUW24"/>
      <c r="OVA24"/>
      <c r="OVE24"/>
      <c r="OVI24"/>
      <c r="OVM24"/>
      <c r="OVQ24"/>
      <c r="OVU24"/>
      <c r="OVY24"/>
      <c r="OWC24"/>
      <c r="OWG24"/>
      <c r="OWK24"/>
      <c r="OWO24"/>
      <c r="OWS24"/>
      <c r="OWW24"/>
      <c r="OXA24"/>
      <c r="OXE24"/>
      <c r="OXI24"/>
      <c r="OXM24"/>
      <c r="OXQ24"/>
      <c r="OXU24"/>
      <c r="OXY24"/>
      <c r="OYC24"/>
      <c r="OYG24"/>
      <c r="OYK24"/>
      <c r="OYO24"/>
      <c r="OYS24"/>
      <c r="OYW24"/>
      <c r="OZA24"/>
      <c r="OZE24"/>
      <c r="OZI24"/>
      <c r="OZM24"/>
      <c r="OZQ24"/>
      <c r="OZU24"/>
      <c r="OZY24"/>
      <c r="PAC24"/>
      <c r="PAG24"/>
      <c r="PAK24"/>
      <c r="PAO24"/>
      <c r="PAS24"/>
      <c r="PAW24"/>
      <c r="PBA24"/>
      <c r="PBE24"/>
      <c r="PBI24"/>
      <c r="PBM24"/>
      <c r="PBQ24"/>
      <c r="PBU24"/>
      <c r="PBY24"/>
      <c r="PCC24"/>
      <c r="PCG24"/>
      <c r="PCK24"/>
      <c r="PCO24"/>
      <c r="PCS24"/>
      <c r="PCW24"/>
      <c r="PDA24"/>
      <c r="PDE24"/>
      <c r="PDI24"/>
      <c r="PDM24"/>
      <c r="PDQ24"/>
      <c r="PDU24"/>
      <c r="PDY24"/>
      <c r="PEC24"/>
      <c r="PEG24"/>
      <c r="PEK24"/>
      <c r="PEO24"/>
      <c r="PES24"/>
      <c r="PEW24"/>
      <c r="PFA24"/>
      <c r="PFE24"/>
      <c r="PFI24"/>
      <c r="PFM24"/>
      <c r="PFQ24"/>
      <c r="PFU24"/>
      <c r="PFY24"/>
      <c r="PGC24"/>
      <c r="PGG24"/>
      <c r="PGK24"/>
      <c r="PGO24"/>
      <c r="PGS24"/>
      <c r="PGW24"/>
      <c r="PHA24"/>
      <c r="PHE24"/>
      <c r="PHI24"/>
      <c r="PHM24"/>
      <c r="PHQ24"/>
      <c r="PHU24"/>
      <c r="PHY24"/>
      <c r="PIC24"/>
      <c r="PIG24"/>
      <c r="PIK24"/>
      <c r="PIO24"/>
      <c r="PIS24"/>
      <c r="PIW24"/>
      <c r="PJA24"/>
      <c r="PJE24"/>
      <c r="PJI24"/>
      <c r="PJM24"/>
      <c r="PJQ24"/>
      <c r="PJU24"/>
      <c r="PJY24"/>
      <c r="PKC24"/>
      <c r="PKG24"/>
      <c r="PKK24"/>
      <c r="PKO24"/>
      <c r="PKS24"/>
      <c r="PKW24"/>
      <c r="PLA24"/>
      <c r="PLE24"/>
      <c r="PLI24"/>
      <c r="PLM24"/>
      <c r="PLQ24"/>
      <c r="PLU24"/>
      <c r="PLY24"/>
      <c r="PMC24"/>
      <c r="PMG24"/>
      <c r="PMK24"/>
      <c r="PMO24"/>
      <c r="PMS24"/>
      <c r="PMW24"/>
      <c r="PNA24"/>
      <c r="PNE24"/>
      <c r="PNI24"/>
      <c r="PNM24"/>
      <c r="PNQ24"/>
      <c r="PNU24"/>
      <c r="PNY24"/>
      <c r="POC24"/>
      <c r="POG24"/>
      <c r="POK24"/>
      <c r="POO24"/>
      <c r="POS24"/>
      <c r="POW24"/>
      <c r="PPA24"/>
      <c r="PPE24"/>
      <c r="PPI24"/>
      <c r="PPM24"/>
      <c r="PPQ24"/>
      <c r="PPU24"/>
      <c r="PPY24"/>
      <c r="PQC24"/>
      <c r="PQG24"/>
      <c r="PQK24"/>
      <c r="PQO24"/>
      <c r="PQS24"/>
      <c r="PQW24"/>
      <c r="PRA24"/>
      <c r="PRE24"/>
      <c r="PRI24"/>
      <c r="PRM24"/>
      <c r="PRQ24"/>
      <c r="PRU24"/>
      <c r="PRY24"/>
      <c r="PSC24"/>
      <c r="PSG24"/>
      <c r="PSK24"/>
      <c r="PSO24"/>
      <c r="PSS24"/>
      <c r="PSW24"/>
      <c r="PTA24"/>
      <c r="PTE24"/>
      <c r="PTI24"/>
      <c r="PTM24"/>
      <c r="PTQ24"/>
      <c r="PTU24"/>
      <c r="PTY24"/>
      <c r="PUC24"/>
      <c r="PUG24"/>
      <c r="PUK24"/>
      <c r="PUO24"/>
      <c r="PUS24"/>
      <c r="PUW24"/>
      <c r="PVA24"/>
      <c r="PVE24"/>
      <c r="PVI24"/>
      <c r="PVM24"/>
      <c r="PVQ24"/>
      <c r="PVU24"/>
      <c r="PVY24"/>
      <c r="PWC24"/>
      <c r="PWG24"/>
      <c r="PWK24"/>
      <c r="PWO24"/>
      <c r="PWS24"/>
      <c r="PWW24"/>
      <c r="PXA24"/>
      <c r="PXE24"/>
      <c r="PXI24"/>
      <c r="PXM24"/>
      <c r="PXQ24"/>
      <c r="PXU24"/>
      <c r="PXY24"/>
      <c r="PYC24"/>
      <c r="PYG24"/>
      <c r="PYK24"/>
      <c r="PYO24"/>
      <c r="PYS24"/>
      <c r="PYW24"/>
      <c r="PZA24"/>
      <c r="PZE24"/>
      <c r="PZI24"/>
      <c r="PZM24"/>
      <c r="PZQ24"/>
      <c r="PZU24"/>
      <c r="PZY24"/>
      <c r="QAC24"/>
      <c r="QAG24"/>
      <c r="QAK24"/>
      <c r="QAO24"/>
      <c r="QAS24"/>
      <c r="QAW24"/>
      <c r="QBA24"/>
      <c r="QBE24"/>
      <c r="QBI24"/>
      <c r="QBM24"/>
      <c r="QBQ24"/>
      <c r="QBU24"/>
      <c r="QBY24"/>
      <c r="QCC24"/>
      <c r="QCG24"/>
      <c r="QCK24"/>
      <c r="QCO24"/>
      <c r="QCS24"/>
      <c r="QCW24"/>
      <c r="QDA24"/>
      <c r="QDE24"/>
      <c r="QDI24"/>
      <c r="QDM24"/>
      <c r="QDQ24"/>
      <c r="QDU24"/>
      <c r="QDY24"/>
      <c r="QEC24"/>
      <c r="QEG24"/>
      <c r="QEK24"/>
      <c r="QEO24"/>
      <c r="QES24"/>
      <c r="QEW24"/>
      <c r="QFA24"/>
      <c r="QFE24"/>
      <c r="QFI24"/>
      <c r="QFM24"/>
      <c r="QFQ24"/>
      <c r="QFU24"/>
      <c r="QFY24"/>
      <c r="QGC24"/>
      <c r="QGG24"/>
      <c r="QGK24"/>
      <c r="QGO24"/>
      <c r="QGS24"/>
      <c r="QGW24"/>
      <c r="QHA24"/>
      <c r="QHE24"/>
      <c r="QHI24"/>
      <c r="QHM24"/>
      <c r="QHQ24"/>
      <c r="QHU24"/>
      <c r="QHY24"/>
      <c r="QIC24"/>
      <c r="QIG24"/>
      <c r="QIK24"/>
      <c r="QIO24"/>
      <c r="QIS24"/>
      <c r="QIW24"/>
      <c r="QJA24"/>
      <c r="QJE24"/>
      <c r="QJI24"/>
      <c r="QJM24"/>
      <c r="QJQ24"/>
      <c r="QJU24"/>
      <c r="QJY24"/>
      <c r="QKC24"/>
      <c r="QKG24"/>
      <c r="QKK24"/>
      <c r="QKO24"/>
      <c r="QKS24"/>
      <c r="QKW24"/>
      <c r="QLA24"/>
      <c r="QLE24"/>
      <c r="QLI24"/>
      <c r="QLM24"/>
      <c r="QLQ24"/>
      <c r="QLU24"/>
      <c r="QLY24"/>
      <c r="QMC24"/>
      <c r="QMG24"/>
      <c r="QMK24"/>
      <c r="QMO24"/>
      <c r="QMS24"/>
      <c r="QMW24"/>
      <c r="QNA24"/>
      <c r="QNE24"/>
      <c r="QNI24"/>
      <c r="QNM24"/>
      <c r="QNQ24"/>
      <c r="QNU24"/>
      <c r="QNY24"/>
      <c r="QOC24"/>
      <c r="QOG24"/>
      <c r="QOK24"/>
      <c r="QOO24"/>
      <c r="QOS24"/>
      <c r="QOW24"/>
      <c r="QPA24"/>
      <c r="QPE24"/>
      <c r="QPI24"/>
      <c r="QPM24"/>
      <c r="QPQ24"/>
      <c r="QPU24"/>
      <c r="QPY24"/>
      <c r="QQC24"/>
      <c r="QQG24"/>
      <c r="QQK24"/>
      <c r="QQO24"/>
      <c r="QQS24"/>
      <c r="QQW24"/>
      <c r="QRA24"/>
      <c r="QRE24"/>
      <c r="QRI24"/>
      <c r="QRM24"/>
      <c r="QRQ24"/>
      <c r="QRU24"/>
      <c r="QRY24"/>
      <c r="QSC24"/>
      <c r="QSG24"/>
      <c r="QSK24"/>
      <c r="QSO24"/>
      <c r="QSS24"/>
      <c r="QSW24"/>
      <c r="QTA24"/>
      <c r="QTE24"/>
      <c r="QTI24"/>
      <c r="QTM24"/>
      <c r="QTQ24"/>
      <c r="QTU24"/>
      <c r="QTY24"/>
      <c r="QUC24"/>
      <c r="QUG24"/>
      <c r="QUK24"/>
      <c r="QUO24"/>
      <c r="QUS24"/>
      <c r="QUW24"/>
      <c r="QVA24"/>
      <c r="QVE24"/>
      <c r="QVI24"/>
      <c r="QVM24"/>
      <c r="QVQ24"/>
      <c r="QVU24"/>
      <c r="QVY24"/>
      <c r="QWC24"/>
      <c r="QWG24"/>
      <c r="QWK24"/>
      <c r="QWO24"/>
      <c r="QWS24"/>
      <c r="QWW24"/>
      <c r="QXA24"/>
      <c r="QXE24"/>
      <c r="QXI24"/>
      <c r="QXM24"/>
      <c r="QXQ24"/>
      <c r="QXU24"/>
      <c r="QXY24"/>
      <c r="QYC24"/>
      <c r="QYG24"/>
      <c r="QYK24"/>
      <c r="QYO24"/>
      <c r="QYS24"/>
      <c r="QYW24"/>
      <c r="QZA24"/>
      <c r="QZE24"/>
      <c r="QZI24"/>
      <c r="QZM24"/>
      <c r="QZQ24"/>
      <c r="QZU24"/>
      <c r="QZY24"/>
      <c r="RAC24"/>
      <c r="RAG24"/>
      <c r="RAK24"/>
      <c r="RAO24"/>
      <c r="RAS24"/>
      <c r="RAW24"/>
      <c r="RBA24"/>
      <c r="RBE24"/>
      <c r="RBI24"/>
      <c r="RBM24"/>
      <c r="RBQ24"/>
      <c r="RBU24"/>
      <c r="RBY24"/>
      <c r="RCC24"/>
      <c r="RCG24"/>
      <c r="RCK24"/>
      <c r="RCO24"/>
      <c r="RCS24"/>
      <c r="RCW24"/>
      <c r="RDA24"/>
      <c r="RDE24"/>
      <c r="RDI24"/>
      <c r="RDM24"/>
      <c r="RDQ24"/>
      <c r="RDU24"/>
      <c r="RDY24"/>
      <c r="REC24"/>
      <c r="REG24"/>
      <c r="REK24"/>
      <c r="REO24"/>
      <c r="RES24"/>
      <c r="REW24"/>
      <c r="RFA24"/>
      <c r="RFE24"/>
      <c r="RFI24"/>
      <c r="RFM24"/>
      <c r="RFQ24"/>
      <c r="RFU24"/>
      <c r="RFY24"/>
      <c r="RGC24"/>
      <c r="RGG24"/>
      <c r="RGK24"/>
      <c r="RGO24"/>
      <c r="RGS24"/>
      <c r="RGW24"/>
      <c r="RHA24"/>
      <c r="RHE24"/>
      <c r="RHI24"/>
      <c r="RHM24"/>
      <c r="RHQ24"/>
      <c r="RHU24"/>
      <c r="RHY24"/>
      <c r="RIC24"/>
      <c r="RIG24"/>
      <c r="RIK24"/>
      <c r="RIO24"/>
      <c r="RIS24"/>
      <c r="RIW24"/>
      <c r="RJA24"/>
      <c r="RJE24"/>
      <c r="RJI24"/>
      <c r="RJM24"/>
      <c r="RJQ24"/>
      <c r="RJU24"/>
      <c r="RJY24"/>
      <c r="RKC24"/>
      <c r="RKG24"/>
      <c r="RKK24"/>
      <c r="RKO24"/>
      <c r="RKS24"/>
      <c r="RKW24"/>
      <c r="RLA24"/>
      <c r="RLE24"/>
      <c r="RLI24"/>
      <c r="RLM24"/>
      <c r="RLQ24"/>
      <c r="RLU24"/>
      <c r="RLY24"/>
      <c r="RMC24"/>
      <c r="RMG24"/>
      <c r="RMK24"/>
      <c r="RMO24"/>
      <c r="RMS24"/>
      <c r="RMW24"/>
      <c r="RNA24"/>
      <c r="RNE24"/>
      <c r="RNI24"/>
      <c r="RNM24"/>
      <c r="RNQ24"/>
      <c r="RNU24"/>
      <c r="RNY24"/>
      <c r="ROC24"/>
      <c r="ROG24"/>
      <c r="ROK24"/>
      <c r="ROO24"/>
      <c r="ROS24"/>
      <c r="ROW24"/>
      <c r="RPA24"/>
      <c r="RPE24"/>
      <c r="RPI24"/>
      <c r="RPM24"/>
      <c r="RPQ24"/>
      <c r="RPU24"/>
      <c r="RPY24"/>
      <c r="RQC24"/>
      <c r="RQG24"/>
      <c r="RQK24"/>
      <c r="RQO24"/>
      <c r="RQS24"/>
      <c r="RQW24"/>
      <c r="RRA24"/>
      <c r="RRE24"/>
      <c r="RRI24"/>
      <c r="RRM24"/>
      <c r="RRQ24"/>
      <c r="RRU24"/>
      <c r="RRY24"/>
      <c r="RSC24"/>
      <c r="RSG24"/>
      <c r="RSK24"/>
      <c r="RSO24"/>
      <c r="RSS24"/>
      <c r="RSW24"/>
      <c r="RTA24"/>
      <c r="RTE24"/>
      <c r="RTI24"/>
      <c r="RTM24"/>
      <c r="RTQ24"/>
      <c r="RTU24"/>
      <c r="RTY24"/>
      <c r="RUC24"/>
      <c r="RUG24"/>
      <c r="RUK24"/>
      <c r="RUO24"/>
      <c r="RUS24"/>
      <c r="RUW24"/>
      <c r="RVA24"/>
      <c r="RVE24"/>
      <c r="RVI24"/>
      <c r="RVM24"/>
      <c r="RVQ24"/>
      <c r="RVU24"/>
      <c r="RVY24"/>
      <c r="RWC24"/>
      <c r="RWG24"/>
      <c r="RWK24"/>
      <c r="RWO24"/>
      <c r="RWS24"/>
      <c r="RWW24"/>
      <c r="RXA24"/>
      <c r="RXE24"/>
      <c r="RXI24"/>
      <c r="RXM24"/>
      <c r="RXQ24"/>
      <c r="RXU24"/>
      <c r="RXY24"/>
      <c r="RYC24"/>
      <c r="RYG24"/>
      <c r="RYK24"/>
      <c r="RYO24"/>
      <c r="RYS24"/>
      <c r="RYW24"/>
      <c r="RZA24"/>
      <c r="RZE24"/>
      <c r="RZI24"/>
      <c r="RZM24"/>
      <c r="RZQ24"/>
      <c r="RZU24"/>
      <c r="RZY24"/>
      <c r="SAC24"/>
      <c r="SAG24"/>
      <c r="SAK24"/>
      <c r="SAO24"/>
      <c r="SAS24"/>
      <c r="SAW24"/>
      <c r="SBA24"/>
      <c r="SBE24"/>
      <c r="SBI24"/>
      <c r="SBM24"/>
      <c r="SBQ24"/>
      <c r="SBU24"/>
      <c r="SBY24"/>
      <c r="SCC24"/>
      <c r="SCG24"/>
      <c r="SCK24"/>
      <c r="SCO24"/>
      <c r="SCS24"/>
      <c r="SCW24"/>
      <c r="SDA24"/>
      <c r="SDE24"/>
      <c r="SDI24"/>
      <c r="SDM24"/>
      <c r="SDQ24"/>
      <c r="SDU24"/>
      <c r="SDY24"/>
      <c r="SEC24"/>
      <c r="SEG24"/>
      <c r="SEK24"/>
      <c r="SEO24"/>
      <c r="SES24"/>
      <c r="SEW24"/>
      <c r="SFA24"/>
      <c r="SFE24"/>
      <c r="SFI24"/>
      <c r="SFM24"/>
      <c r="SFQ24"/>
      <c r="SFU24"/>
      <c r="SFY24"/>
      <c r="SGC24"/>
      <c r="SGG24"/>
      <c r="SGK24"/>
      <c r="SGO24"/>
      <c r="SGS24"/>
      <c r="SGW24"/>
      <c r="SHA24"/>
      <c r="SHE24"/>
      <c r="SHI24"/>
      <c r="SHM24"/>
      <c r="SHQ24"/>
      <c r="SHU24"/>
      <c r="SHY24"/>
      <c r="SIC24"/>
      <c r="SIG24"/>
      <c r="SIK24"/>
      <c r="SIO24"/>
      <c r="SIS24"/>
      <c r="SIW24"/>
      <c r="SJA24"/>
      <c r="SJE24"/>
      <c r="SJI24"/>
      <c r="SJM24"/>
      <c r="SJQ24"/>
      <c r="SJU24"/>
      <c r="SJY24"/>
      <c r="SKC24"/>
      <c r="SKG24"/>
      <c r="SKK24"/>
      <c r="SKO24"/>
      <c r="SKS24"/>
      <c r="SKW24"/>
      <c r="SLA24"/>
      <c r="SLE24"/>
      <c r="SLI24"/>
      <c r="SLM24"/>
      <c r="SLQ24"/>
      <c r="SLU24"/>
      <c r="SLY24"/>
      <c r="SMC24"/>
      <c r="SMG24"/>
      <c r="SMK24"/>
      <c r="SMO24"/>
      <c r="SMS24"/>
      <c r="SMW24"/>
      <c r="SNA24"/>
      <c r="SNE24"/>
      <c r="SNI24"/>
      <c r="SNM24"/>
      <c r="SNQ24"/>
      <c r="SNU24"/>
      <c r="SNY24"/>
      <c r="SOC24"/>
      <c r="SOG24"/>
      <c r="SOK24"/>
      <c r="SOO24"/>
      <c r="SOS24"/>
      <c r="SOW24"/>
      <c r="SPA24"/>
      <c r="SPE24"/>
      <c r="SPI24"/>
      <c r="SPM24"/>
      <c r="SPQ24"/>
      <c r="SPU24"/>
      <c r="SPY24"/>
      <c r="SQC24"/>
      <c r="SQG24"/>
      <c r="SQK24"/>
      <c r="SQO24"/>
      <c r="SQS24"/>
      <c r="SQW24"/>
      <c r="SRA24"/>
      <c r="SRE24"/>
      <c r="SRI24"/>
      <c r="SRM24"/>
      <c r="SRQ24"/>
      <c r="SRU24"/>
      <c r="SRY24"/>
      <c r="SSC24"/>
      <c r="SSG24"/>
      <c r="SSK24"/>
      <c r="SSO24"/>
      <c r="SSS24"/>
      <c r="SSW24"/>
      <c r="STA24"/>
      <c r="STE24"/>
      <c r="STI24"/>
      <c r="STM24"/>
      <c r="STQ24"/>
      <c r="STU24"/>
      <c r="STY24"/>
      <c r="SUC24"/>
      <c r="SUG24"/>
      <c r="SUK24"/>
      <c r="SUO24"/>
      <c r="SUS24"/>
      <c r="SUW24"/>
      <c r="SVA24"/>
      <c r="SVE24"/>
      <c r="SVI24"/>
      <c r="SVM24"/>
      <c r="SVQ24"/>
      <c r="SVU24"/>
      <c r="SVY24"/>
      <c r="SWC24"/>
      <c r="SWG24"/>
      <c r="SWK24"/>
      <c r="SWO24"/>
      <c r="SWS24"/>
      <c r="SWW24"/>
      <c r="SXA24"/>
      <c r="SXE24"/>
      <c r="SXI24"/>
      <c r="SXM24"/>
      <c r="SXQ24"/>
      <c r="SXU24"/>
      <c r="SXY24"/>
      <c r="SYC24"/>
      <c r="SYG24"/>
      <c r="SYK24"/>
      <c r="SYO24"/>
      <c r="SYS24"/>
      <c r="SYW24"/>
      <c r="SZA24"/>
      <c r="SZE24"/>
      <c r="SZI24"/>
      <c r="SZM24"/>
      <c r="SZQ24"/>
      <c r="SZU24"/>
      <c r="SZY24"/>
      <c r="TAC24"/>
      <c r="TAG24"/>
      <c r="TAK24"/>
      <c r="TAO24"/>
      <c r="TAS24"/>
      <c r="TAW24"/>
      <c r="TBA24"/>
      <c r="TBE24"/>
      <c r="TBI24"/>
      <c r="TBM24"/>
      <c r="TBQ24"/>
      <c r="TBU24"/>
      <c r="TBY24"/>
      <c r="TCC24"/>
      <c r="TCG24"/>
      <c r="TCK24"/>
      <c r="TCO24"/>
      <c r="TCS24"/>
      <c r="TCW24"/>
      <c r="TDA24"/>
      <c r="TDE24"/>
      <c r="TDI24"/>
      <c r="TDM24"/>
      <c r="TDQ24"/>
      <c r="TDU24"/>
      <c r="TDY24"/>
      <c r="TEC24"/>
      <c r="TEG24"/>
      <c r="TEK24"/>
      <c r="TEO24"/>
      <c r="TES24"/>
      <c r="TEW24"/>
      <c r="TFA24"/>
      <c r="TFE24"/>
      <c r="TFI24"/>
      <c r="TFM24"/>
      <c r="TFQ24"/>
      <c r="TFU24"/>
      <c r="TFY24"/>
      <c r="TGC24"/>
      <c r="TGG24"/>
      <c r="TGK24"/>
      <c r="TGO24"/>
      <c r="TGS24"/>
      <c r="TGW24"/>
      <c r="THA24"/>
      <c r="THE24"/>
      <c r="THI24"/>
      <c r="THM24"/>
      <c r="THQ24"/>
      <c r="THU24"/>
      <c r="THY24"/>
      <c r="TIC24"/>
      <c r="TIG24"/>
      <c r="TIK24"/>
      <c r="TIO24"/>
      <c r="TIS24"/>
      <c r="TIW24"/>
      <c r="TJA24"/>
      <c r="TJE24"/>
      <c r="TJI24"/>
      <c r="TJM24"/>
      <c r="TJQ24"/>
      <c r="TJU24"/>
      <c r="TJY24"/>
      <c r="TKC24"/>
      <c r="TKG24"/>
      <c r="TKK24"/>
      <c r="TKO24"/>
      <c r="TKS24"/>
      <c r="TKW24"/>
      <c r="TLA24"/>
      <c r="TLE24"/>
      <c r="TLI24"/>
      <c r="TLM24"/>
      <c r="TLQ24"/>
      <c r="TLU24"/>
      <c r="TLY24"/>
      <c r="TMC24"/>
      <c r="TMG24"/>
      <c r="TMK24"/>
      <c r="TMO24"/>
      <c r="TMS24"/>
      <c r="TMW24"/>
      <c r="TNA24"/>
      <c r="TNE24"/>
      <c r="TNI24"/>
      <c r="TNM24"/>
      <c r="TNQ24"/>
      <c r="TNU24"/>
      <c r="TNY24"/>
      <c r="TOC24"/>
      <c r="TOG24"/>
      <c r="TOK24"/>
      <c r="TOO24"/>
      <c r="TOS24"/>
      <c r="TOW24"/>
      <c r="TPA24"/>
      <c r="TPE24"/>
      <c r="TPI24"/>
      <c r="TPM24"/>
      <c r="TPQ24"/>
      <c r="TPU24"/>
      <c r="TPY24"/>
      <c r="TQC24"/>
      <c r="TQG24"/>
      <c r="TQK24"/>
      <c r="TQO24"/>
      <c r="TQS24"/>
      <c r="TQW24"/>
      <c r="TRA24"/>
      <c r="TRE24"/>
      <c r="TRI24"/>
      <c r="TRM24"/>
      <c r="TRQ24"/>
      <c r="TRU24"/>
      <c r="TRY24"/>
      <c r="TSC24"/>
      <c r="TSG24"/>
      <c r="TSK24"/>
      <c r="TSO24"/>
      <c r="TSS24"/>
      <c r="TSW24"/>
      <c r="TTA24"/>
      <c r="TTE24"/>
      <c r="TTI24"/>
      <c r="TTM24"/>
      <c r="TTQ24"/>
      <c r="TTU24"/>
      <c r="TTY24"/>
      <c r="TUC24"/>
      <c r="TUG24"/>
      <c r="TUK24"/>
      <c r="TUO24"/>
      <c r="TUS24"/>
      <c r="TUW24"/>
      <c r="TVA24"/>
      <c r="TVE24"/>
      <c r="TVI24"/>
      <c r="TVM24"/>
      <c r="TVQ24"/>
      <c r="TVU24"/>
      <c r="TVY24"/>
      <c r="TWC24"/>
      <c r="TWG24"/>
      <c r="TWK24"/>
      <c r="TWO24"/>
      <c r="TWS24"/>
      <c r="TWW24"/>
      <c r="TXA24"/>
      <c r="TXE24"/>
      <c r="TXI24"/>
      <c r="TXM24"/>
      <c r="TXQ24"/>
      <c r="TXU24"/>
      <c r="TXY24"/>
      <c r="TYC24"/>
      <c r="TYG24"/>
      <c r="TYK24"/>
      <c r="TYO24"/>
      <c r="TYS24"/>
      <c r="TYW24"/>
      <c r="TZA24"/>
      <c r="TZE24"/>
      <c r="TZI24"/>
      <c r="TZM24"/>
      <c r="TZQ24"/>
      <c r="TZU24"/>
      <c r="TZY24"/>
      <c r="UAC24"/>
      <c r="UAG24"/>
      <c r="UAK24"/>
      <c r="UAO24"/>
      <c r="UAS24"/>
      <c r="UAW24"/>
      <c r="UBA24"/>
      <c r="UBE24"/>
      <c r="UBI24"/>
      <c r="UBM24"/>
      <c r="UBQ24"/>
      <c r="UBU24"/>
      <c r="UBY24"/>
      <c r="UCC24"/>
      <c r="UCG24"/>
      <c r="UCK24"/>
      <c r="UCO24"/>
      <c r="UCS24"/>
      <c r="UCW24"/>
      <c r="UDA24"/>
      <c r="UDE24"/>
      <c r="UDI24"/>
      <c r="UDM24"/>
      <c r="UDQ24"/>
      <c r="UDU24"/>
      <c r="UDY24"/>
      <c r="UEC24"/>
      <c r="UEG24"/>
      <c r="UEK24"/>
      <c r="UEO24"/>
      <c r="UES24"/>
      <c r="UEW24"/>
      <c r="UFA24"/>
      <c r="UFE24"/>
      <c r="UFI24"/>
      <c r="UFM24"/>
      <c r="UFQ24"/>
      <c r="UFU24"/>
      <c r="UFY24"/>
      <c r="UGC24"/>
      <c r="UGG24"/>
      <c r="UGK24"/>
      <c r="UGO24"/>
      <c r="UGS24"/>
      <c r="UGW24"/>
      <c r="UHA24"/>
      <c r="UHE24"/>
      <c r="UHI24"/>
      <c r="UHM24"/>
      <c r="UHQ24"/>
      <c r="UHU24"/>
      <c r="UHY24"/>
      <c r="UIC24"/>
      <c r="UIG24"/>
      <c r="UIK24"/>
      <c r="UIO24"/>
      <c r="UIS24"/>
      <c r="UIW24"/>
      <c r="UJA24"/>
      <c r="UJE24"/>
      <c r="UJI24"/>
      <c r="UJM24"/>
      <c r="UJQ24"/>
      <c r="UJU24"/>
      <c r="UJY24"/>
      <c r="UKC24"/>
      <c r="UKG24"/>
      <c r="UKK24"/>
      <c r="UKO24"/>
      <c r="UKS24"/>
      <c r="UKW24"/>
      <c r="ULA24"/>
      <c r="ULE24"/>
      <c r="ULI24"/>
      <c r="ULM24"/>
      <c r="ULQ24"/>
      <c r="ULU24"/>
      <c r="ULY24"/>
      <c r="UMC24"/>
      <c r="UMG24"/>
      <c r="UMK24"/>
      <c r="UMO24"/>
      <c r="UMS24"/>
      <c r="UMW24"/>
      <c r="UNA24"/>
      <c r="UNE24"/>
      <c r="UNI24"/>
      <c r="UNM24"/>
      <c r="UNQ24"/>
      <c r="UNU24"/>
      <c r="UNY24"/>
      <c r="UOC24"/>
      <c r="UOG24"/>
      <c r="UOK24"/>
      <c r="UOO24"/>
      <c r="UOS24"/>
      <c r="UOW24"/>
      <c r="UPA24"/>
      <c r="UPE24"/>
      <c r="UPI24"/>
      <c r="UPM24"/>
      <c r="UPQ24"/>
      <c r="UPU24"/>
      <c r="UPY24"/>
      <c r="UQC24"/>
      <c r="UQG24"/>
      <c r="UQK24"/>
      <c r="UQO24"/>
      <c r="UQS24"/>
      <c r="UQW24"/>
      <c r="URA24"/>
      <c r="URE24"/>
      <c r="URI24"/>
      <c r="URM24"/>
      <c r="URQ24"/>
      <c r="URU24"/>
      <c r="URY24"/>
      <c r="USC24"/>
      <c r="USG24"/>
      <c r="USK24"/>
      <c r="USO24"/>
      <c r="USS24"/>
      <c r="USW24"/>
      <c r="UTA24"/>
      <c r="UTE24"/>
      <c r="UTI24"/>
      <c r="UTM24"/>
      <c r="UTQ24"/>
      <c r="UTU24"/>
      <c r="UTY24"/>
      <c r="UUC24"/>
      <c r="UUG24"/>
      <c r="UUK24"/>
      <c r="UUO24"/>
      <c r="UUS24"/>
      <c r="UUW24"/>
      <c r="UVA24"/>
      <c r="UVE24"/>
      <c r="UVI24"/>
      <c r="UVM24"/>
      <c r="UVQ24"/>
      <c r="UVU24"/>
      <c r="UVY24"/>
      <c r="UWC24"/>
      <c r="UWG24"/>
      <c r="UWK24"/>
      <c r="UWO24"/>
      <c r="UWS24"/>
      <c r="UWW24"/>
      <c r="UXA24"/>
      <c r="UXE24"/>
      <c r="UXI24"/>
      <c r="UXM24"/>
      <c r="UXQ24"/>
      <c r="UXU24"/>
      <c r="UXY24"/>
      <c r="UYC24"/>
      <c r="UYG24"/>
      <c r="UYK24"/>
      <c r="UYO24"/>
      <c r="UYS24"/>
      <c r="UYW24"/>
      <c r="UZA24"/>
      <c r="UZE24"/>
      <c r="UZI24"/>
      <c r="UZM24"/>
      <c r="UZQ24"/>
      <c r="UZU24"/>
      <c r="UZY24"/>
      <c r="VAC24"/>
      <c r="VAG24"/>
      <c r="VAK24"/>
      <c r="VAO24"/>
      <c r="VAS24"/>
      <c r="VAW24"/>
      <c r="VBA24"/>
      <c r="VBE24"/>
      <c r="VBI24"/>
      <c r="VBM24"/>
      <c r="VBQ24"/>
      <c r="VBU24"/>
      <c r="VBY24"/>
      <c r="VCC24"/>
      <c r="VCG24"/>
      <c r="VCK24"/>
      <c r="VCO24"/>
      <c r="VCS24"/>
      <c r="VCW24"/>
      <c r="VDA24"/>
      <c r="VDE24"/>
      <c r="VDI24"/>
      <c r="VDM24"/>
      <c r="VDQ24"/>
      <c r="VDU24"/>
      <c r="VDY24"/>
      <c r="VEC24"/>
      <c r="VEG24"/>
      <c r="VEK24"/>
      <c r="VEO24"/>
      <c r="VES24"/>
      <c r="VEW24"/>
      <c r="VFA24"/>
      <c r="VFE24"/>
      <c r="VFI24"/>
      <c r="VFM24"/>
      <c r="VFQ24"/>
      <c r="VFU24"/>
      <c r="VFY24"/>
      <c r="VGC24"/>
      <c r="VGG24"/>
      <c r="VGK24"/>
      <c r="VGO24"/>
      <c r="VGS24"/>
      <c r="VGW24"/>
      <c r="VHA24"/>
      <c r="VHE24"/>
      <c r="VHI24"/>
      <c r="VHM24"/>
      <c r="VHQ24"/>
      <c r="VHU24"/>
      <c r="VHY24"/>
      <c r="VIC24"/>
      <c r="VIG24"/>
      <c r="VIK24"/>
      <c r="VIO24"/>
      <c r="VIS24"/>
      <c r="VIW24"/>
      <c r="VJA24"/>
      <c r="VJE24"/>
      <c r="VJI24"/>
      <c r="VJM24"/>
      <c r="VJQ24"/>
      <c r="VJU24"/>
      <c r="VJY24"/>
      <c r="VKC24"/>
      <c r="VKG24"/>
      <c r="VKK24"/>
      <c r="VKO24"/>
      <c r="VKS24"/>
      <c r="VKW24"/>
      <c r="VLA24"/>
      <c r="VLE24"/>
      <c r="VLI24"/>
      <c r="VLM24"/>
      <c r="VLQ24"/>
      <c r="VLU24"/>
      <c r="VLY24"/>
      <c r="VMC24"/>
      <c r="VMG24"/>
      <c r="VMK24"/>
      <c r="VMO24"/>
      <c r="VMS24"/>
      <c r="VMW24"/>
      <c r="VNA24"/>
      <c r="VNE24"/>
      <c r="VNI24"/>
      <c r="VNM24"/>
      <c r="VNQ24"/>
      <c r="VNU24"/>
      <c r="VNY24"/>
      <c r="VOC24"/>
      <c r="VOG24"/>
      <c r="VOK24"/>
      <c r="VOO24"/>
      <c r="VOS24"/>
      <c r="VOW24"/>
      <c r="VPA24"/>
      <c r="VPE24"/>
      <c r="VPI24"/>
      <c r="VPM24"/>
      <c r="VPQ24"/>
      <c r="VPU24"/>
      <c r="VPY24"/>
      <c r="VQC24"/>
      <c r="VQG24"/>
      <c r="VQK24"/>
      <c r="VQO24"/>
      <c r="VQS24"/>
      <c r="VQW24"/>
      <c r="VRA24"/>
      <c r="VRE24"/>
      <c r="VRI24"/>
      <c r="VRM24"/>
      <c r="VRQ24"/>
      <c r="VRU24"/>
      <c r="VRY24"/>
      <c r="VSC24"/>
      <c r="VSG24"/>
      <c r="VSK24"/>
      <c r="VSO24"/>
      <c r="VSS24"/>
      <c r="VSW24"/>
      <c r="VTA24"/>
      <c r="VTE24"/>
      <c r="VTI24"/>
      <c r="VTM24"/>
      <c r="VTQ24"/>
      <c r="VTU24"/>
      <c r="VTY24"/>
      <c r="VUC24"/>
      <c r="VUG24"/>
      <c r="VUK24"/>
      <c r="VUO24"/>
      <c r="VUS24"/>
      <c r="VUW24"/>
      <c r="VVA24"/>
      <c r="VVE24"/>
      <c r="VVI24"/>
      <c r="VVM24"/>
      <c r="VVQ24"/>
      <c r="VVU24"/>
      <c r="VVY24"/>
      <c r="VWC24"/>
      <c r="VWG24"/>
      <c r="VWK24"/>
      <c r="VWO24"/>
      <c r="VWS24"/>
      <c r="VWW24"/>
      <c r="VXA24"/>
      <c r="VXE24"/>
      <c r="VXI24"/>
      <c r="VXM24"/>
      <c r="VXQ24"/>
      <c r="VXU24"/>
      <c r="VXY24"/>
      <c r="VYC24"/>
      <c r="VYG24"/>
      <c r="VYK24"/>
      <c r="VYO24"/>
      <c r="VYS24"/>
      <c r="VYW24"/>
      <c r="VZA24"/>
      <c r="VZE24"/>
      <c r="VZI24"/>
      <c r="VZM24"/>
      <c r="VZQ24"/>
      <c r="VZU24"/>
      <c r="VZY24"/>
      <c r="WAC24"/>
      <c r="WAG24"/>
      <c r="WAK24"/>
      <c r="WAO24"/>
      <c r="WAS24"/>
      <c r="WAW24"/>
      <c r="WBA24"/>
      <c r="WBE24"/>
      <c r="WBI24"/>
      <c r="WBM24"/>
      <c r="WBQ24"/>
      <c r="WBU24"/>
      <c r="WBY24"/>
      <c r="WCC24"/>
      <c r="WCG24"/>
      <c r="WCK24"/>
      <c r="WCO24"/>
      <c r="WCS24"/>
      <c r="WCW24"/>
      <c r="WDA24"/>
      <c r="WDE24"/>
      <c r="WDI24"/>
      <c r="WDM24"/>
      <c r="WDQ24"/>
      <c r="WDU24"/>
      <c r="WDY24"/>
      <c r="WEC24"/>
      <c r="WEG24"/>
      <c r="WEK24"/>
      <c r="WEO24"/>
      <c r="WES24"/>
      <c r="WEW24"/>
      <c r="WFA24"/>
      <c r="WFE24"/>
      <c r="WFI24"/>
      <c r="WFM24"/>
      <c r="WFQ24"/>
      <c r="WFU24"/>
      <c r="WFY24"/>
      <c r="WGC24"/>
      <c r="WGG24"/>
      <c r="WGK24"/>
      <c r="WGO24"/>
      <c r="WGS24"/>
      <c r="WGW24"/>
      <c r="WHA24"/>
      <c r="WHE24"/>
      <c r="WHI24"/>
      <c r="WHM24"/>
      <c r="WHQ24"/>
      <c r="WHU24"/>
      <c r="WHY24"/>
      <c r="WIC24"/>
      <c r="WIG24"/>
      <c r="WIK24"/>
      <c r="WIO24"/>
      <c r="WIS24"/>
      <c r="WIW24"/>
      <c r="WJA24"/>
      <c r="WJE24"/>
      <c r="WJI24"/>
      <c r="WJM24"/>
      <c r="WJQ24"/>
      <c r="WJU24"/>
      <c r="WJY24"/>
      <c r="WKC24"/>
      <c r="WKG24"/>
      <c r="WKK24"/>
      <c r="WKO24"/>
      <c r="WKS24"/>
      <c r="WKW24"/>
      <c r="WLA24"/>
      <c r="WLE24"/>
      <c r="WLI24"/>
      <c r="WLM24"/>
      <c r="WLQ24"/>
      <c r="WLU24"/>
      <c r="WLY24"/>
      <c r="WMC24"/>
      <c r="WMG24"/>
      <c r="WMK24"/>
      <c r="WMO24"/>
      <c r="WMS24"/>
      <c r="WMW24"/>
      <c r="WNA24"/>
      <c r="WNE24"/>
      <c r="WNI24"/>
      <c r="WNM24"/>
      <c r="WNQ24"/>
      <c r="WNU24"/>
      <c r="WNY24"/>
      <c r="WOC24"/>
      <c r="WOG24"/>
      <c r="WOK24"/>
      <c r="WOO24"/>
      <c r="WOS24"/>
      <c r="WOW24"/>
      <c r="WPA24"/>
      <c r="WPE24"/>
      <c r="WPI24"/>
      <c r="WPM24"/>
      <c r="WPQ24"/>
      <c r="WPU24"/>
      <c r="WPY24"/>
      <c r="WQC24"/>
      <c r="WQG24"/>
      <c r="WQK24"/>
      <c r="WQO24"/>
      <c r="WQS24"/>
      <c r="WQW24"/>
      <c r="WRA24"/>
      <c r="WRE24"/>
      <c r="WRI24"/>
      <c r="WRM24"/>
      <c r="WRQ24"/>
      <c r="WRU24"/>
      <c r="WRY24"/>
      <c r="WSC24"/>
      <c r="WSG24"/>
      <c r="WSK24"/>
      <c r="WSO24"/>
      <c r="WSS24"/>
      <c r="WSW24"/>
      <c r="WTA24"/>
      <c r="WTE24"/>
      <c r="WTI24"/>
      <c r="WTM24"/>
      <c r="WTQ24"/>
      <c r="WTU24"/>
      <c r="WTY24"/>
      <c r="WUC24"/>
      <c r="WUG24"/>
      <c r="WUK24"/>
      <c r="WUO24"/>
      <c r="WUS24"/>
      <c r="WUW24"/>
      <c r="WVA24"/>
      <c r="WVE24"/>
      <c r="WVI24"/>
      <c r="WVM24"/>
      <c r="WVQ24"/>
      <c r="WVU24"/>
      <c r="WVY24"/>
      <c r="WWC24"/>
      <c r="WWG24"/>
      <c r="WWK24"/>
      <c r="WWO24"/>
      <c r="WWS24"/>
      <c r="WWW24"/>
      <c r="WXA24"/>
      <c r="WXE24"/>
      <c r="WXI24"/>
      <c r="WXM24"/>
      <c r="WXQ24"/>
      <c r="WXU24"/>
      <c r="WXY24"/>
      <c r="WYC24"/>
      <c r="WYG24"/>
      <c r="WYK24"/>
      <c r="WYO24"/>
      <c r="WYS24"/>
      <c r="WYW24"/>
      <c r="WZA24"/>
      <c r="WZE24"/>
      <c r="WZI24"/>
      <c r="WZM24"/>
      <c r="WZQ24"/>
      <c r="WZU24"/>
      <c r="WZY24"/>
      <c r="XAC24"/>
      <c r="XAG24"/>
      <c r="XAK24"/>
      <c r="XAO24"/>
      <c r="XAS24"/>
      <c r="XAW24"/>
      <c r="XBA24"/>
      <c r="XBE24"/>
      <c r="XBI24"/>
      <c r="XBM24"/>
      <c r="XBQ24"/>
      <c r="XBU24"/>
      <c r="XBY24"/>
      <c r="XCC24"/>
      <c r="XCG24"/>
      <c r="XCK24"/>
      <c r="XCO24"/>
      <c r="XCS24"/>
      <c r="XCW24"/>
      <c r="XDA24"/>
      <c r="XDE24"/>
      <c r="XDI24"/>
      <c r="XDM24"/>
      <c r="XDQ24"/>
      <c r="XDU24"/>
      <c r="XDY24"/>
      <c r="XEC24"/>
      <c r="XEG24"/>
      <c r="XEK24"/>
      <c r="XEO24"/>
      <c r="XES24"/>
      <c r="XEW24"/>
      <c r="XFA24"/>
    </row>
    <row r="25" spans="1:1021 1025:2045 2049:3069 3073:4093 4097:5117 5121:6141 6145:7165 7169:8189 8193:9213 9217:10237 10241:11261 11265:12285 12289:13309 13313:14333 14337:15357 15361:16381" s="1" customFormat="1" x14ac:dyDescent="0.35">
      <c r="A25" s="21">
        <v>1</v>
      </c>
      <c r="B25" s="21">
        <v>21</v>
      </c>
      <c r="C25" s="1" t="str">
        <f xml:space="preserve"> IF('Master Player List'!L23=1,'Master Player List'!C23,"")</f>
        <v/>
      </c>
      <c r="D25" s="1" t="str">
        <f xml:space="preserve"> IF('Master Player List'!L23=1,'Master Player List'!F23,"")</f>
        <v/>
      </c>
      <c r="E25" s="21" t="str">
        <f xml:space="preserve"> IF('Master Player List'!L23=1,'Master Player List'!I23,"")</f>
        <v/>
      </c>
      <c r="F25" s="22"/>
      <c r="I25" s="21"/>
      <c r="J25" s="22"/>
      <c r="M25"/>
      <c r="N25"/>
      <c r="O25"/>
      <c r="Q25"/>
      <c r="U25"/>
      <c r="Y25"/>
      <c r="AC25"/>
      <c r="AG25"/>
      <c r="AK25"/>
      <c r="AO25"/>
      <c r="AS25"/>
      <c r="AW25"/>
      <c r="BA25"/>
      <c r="BE25"/>
      <c r="BI25"/>
      <c r="BM25"/>
      <c r="BQ25"/>
      <c r="BU25"/>
      <c r="BY25"/>
      <c r="CC25"/>
      <c r="CG25"/>
      <c r="CK25"/>
      <c r="CO25"/>
      <c r="CS25"/>
      <c r="CW25"/>
      <c r="DA25"/>
      <c r="DE25"/>
      <c r="DI25"/>
      <c r="DM25"/>
      <c r="DQ25"/>
      <c r="DU25"/>
      <c r="DY25"/>
      <c r="EC25"/>
      <c r="EG25"/>
      <c r="EK25"/>
      <c r="EO25"/>
      <c r="ES25"/>
      <c r="EW25"/>
      <c r="FA25"/>
      <c r="FE25"/>
      <c r="FI25"/>
      <c r="FM25"/>
      <c r="FQ25"/>
      <c r="FU25"/>
      <c r="FY25"/>
      <c r="GC25"/>
      <c r="GG25"/>
      <c r="GK25"/>
      <c r="GO25"/>
      <c r="GS25"/>
      <c r="GW25"/>
      <c r="HA25"/>
      <c r="HE25"/>
      <c r="HI25"/>
      <c r="HM25"/>
      <c r="HQ25"/>
      <c r="HU25"/>
      <c r="HY25"/>
      <c r="IC25"/>
      <c r="IG25"/>
      <c r="IK25"/>
      <c r="IO25"/>
      <c r="IS25"/>
      <c r="IW25"/>
      <c r="JA25"/>
      <c r="JE25"/>
      <c r="JI25"/>
      <c r="JM25"/>
      <c r="JQ25"/>
      <c r="JU25"/>
      <c r="JY25"/>
      <c r="KC25"/>
      <c r="KG25"/>
      <c r="KK25"/>
      <c r="KO25"/>
      <c r="KS25"/>
      <c r="KW25"/>
      <c r="LA25"/>
      <c r="LE25"/>
      <c r="LI25"/>
      <c r="LM25"/>
      <c r="LQ25"/>
      <c r="LU25"/>
      <c r="LY25"/>
      <c r="MC25"/>
      <c r="MG25"/>
      <c r="MK25"/>
      <c r="MO25"/>
      <c r="MS25"/>
      <c r="MW25"/>
      <c r="NA25"/>
      <c r="NE25"/>
      <c r="NI25"/>
      <c r="NM25"/>
      <c r="NQ25"/>
      <c r="NU25"/>
      <c r="NY25"/>
      <c r="OC25"/>
      <c r="OG25"/>
      <c r="OK25"/>
      <c r="OO25"/>
      <c r="OS25"/>
      <c r="OW25"/>
      <c r="PA25"/>
      <c r="PE25"/>
      <c r="PI25"/>
      <c r="PM25"/>
      <c r="PQ25"/>
      <c r="PU25"/>
      <c r="PY25"/>
      <c r="QC25"/>
      <c r="QG25"/>
      <c r="QK25"/>
      <c r="QO25"/>
      <c r="QS25"/>
      <c r="QW25"/>
      <c r="RA25"/>
      <c r="RE25"/>
      <c r="RI25"/>
      <c r="RM25"/>
      <c r="RQ25"/>
      <c r="RU25"/>
      <c r="RY25"/>
      <c r="SC25"/>
      <c r="SG25"/>
      <c r="SK25"/>
      <c r="SO25"/>
      <c r="SS25"/>
      <c r="SW25"/>
      <c r="TA25"/>
      <c r="TE25"/>
      <c r="TI25"/>
      <c r="TM25"/>
      <c r="TQ25"/>
      <c r="TU25"/>
      <c r="TY25"/>
      <c r="UC25"/>
      <c r="UG25"/>
      <c r="UK25"/>
      <c r="UO25"/>
      <c r="US25"/>
      <c r="UW25"/>
      <c r="VA25"/>
      <c r="VE25"/>
      <c r="VI25"/>
      <c r="VM25"/>
      <c r="VQ25"/>
      <c r="VU25"/>
      <c r="VY25"/>
      <c r="WC25"/>
      <c r="WG25"/>
      <c r="WK25"/>
      <c r="WO25"/>
      <c r="WS25"/>
      <c r="WW25"/>
      <c r="XA25"/>
      <c r="XE25"/>
      <c r="XI25"/>
      <c r="XM25"/>
      <c r="XQ25"/>
      <c r="XU25"/>
      <c r="XY25"/>
      <c r="YC25"/>
      <c r="YG25"/>
      <c r="YK25"/>
      <c r="YO25"/>
      <c r="YS25"/>
      <c r="YW25"/>
      <c r="ZA25"/>
      <c r="ZE25"/>
      <c r="ZI25"/>
      <c r="ZM25"/>
      <c r="ZQ25"/>
      <c r="ZU25"/>
      <c r="ZY25"/>
      <c r="AAC25"/>
      <c r="AAG25"/>
      <c r="AAK25"/>
      <c r="AAO25"/>
      <c r="AAS25"/>
      <c r="AAW25"/>
      <c r="ABA25"/>
      <c r="ABE25"/>
      <c r="ABI25"/>
      <c r="ABM25"/>
      <c r="ABQ25"/>
      <c r="ABU25"/>
      <c r="ABY25"/>
      <c r="ACC25"/>
      <c r="ACG25"/>
      <c r="ACK25"/>
      <c r="ACO25"/>
      <c r="ACS25"/>
      <c r="ACW25"/>
      <c r="ADA25"/>
      <c r="ADE25"/>
      <c r="ADI25"/>
      <c r="ADM25"/>
      <c r="ADQ25"/>
      <c r="ADU25"/>
      <c r="ADY25"/>
      <c r="AEC25"/>
      <c r="AEG25"/>
      <c r="AEK25"/>
      <c r="AEO25"/>
      <c r="AES25"/>
      <c r="AEW25"/>
      <c r="AFA25"/>
      <c r="AFE25"/>
      <c r="AFI25"/>
      <c r="AFM25"/>
      <c r="AFQ25"/>
      <c r="AFU25"/>
      <c r="AFY25"/>
      <c r="AGC25"/>
      <c r="AGG25"/>
      <c r="AGK25"/>
      <c r="AGO25"/>
      <c r="AGS25"/>
      <c r="AGW25"/>
      <c r="AHA25"/>
      <c r="AHE25"/>
      <c r="AHI25"/>
      <c r="AHM25"/>
      <c r="AHQ25"/>
      <c r="AHU25"/>
      <c r="AHY25"/>
      <c r="AIC25"/>
      <c r="AIG25"/>
      <c r="AIK25"/>
      <c r="AIO25"/>
      <c r="AIS25"/>
      <c r="AIW25"/>
      <c r="AJA25"/>
      <c r="AJE25"/>
      <c r="AJI25"/>
      <c r="AJM25"/>
      <c r="AJQ25"/>
      <c r="AJU25"/>
      <c r="AJY25"/>
      <c r="AKC25"/>
      <c r="AKG25"/>
      <c r="AKK25"/>
      <c r="AKO25"/>
      <c r="AKS25"/>
      <c r="AKW25"/>
      <c r="ALA25"/>
      <c r="ALE25"/>
      <c r="ALI25"/>
      <c r="ALM25"/>
      <c r="ALQ25"/>
      <c r="ALU25"/>
      <c r="ALY25"/>
      <c r="AMC25"/>
      <c r="AMG25"/>
      <c r="AMK25"/>
      <c r="AMO25"/>
      <c r="AMS25"/>
      <c r="AMW25"/>
      <c r="ANA25"/>
      <c r="ANE25"/>
      <c r="ANI25"/>
      <c r="ANM25"/>
      <c r="ANQ25"/>
      <c r="ANU25"/>
      <c r="ANY25"/>
      <c r="AOC25"/>
      <c r="AOG25"/>
      <c r="AOK25"/>
      <c r="AOO25"/>
      <c r="AOS25"/>
      <c r="AOW25"/>
      <c r="APA25"/>
      <c r="APE25"/>
      <c r="API25"/>
      <c r="APM25"/>
      <c r="APQ25"/>
      <c r="APU25"/>
      <c r="APY25"/>
      <c r="AQC25"/>
      <c r="AQG25"/>
      <c r="AQK25"/>
      <c r="AQO25"/>
      <c r="AQS25"/>
      <c r="AQW25"/>
      <c r="ARA25"/>
      <c r="ARE25"/>
      <c r="ARI25"/>
      <c r="ARM25"/>
      <c r="ARQ25"/>
      <c r="ARU25"/>
      <c r="ARY25"/>
      <c r="ASC25"/>
      <c r="ASG25"/>
      <c r="ASK25"/>
      <c r="ASO25"/>
      <c r="ASS25"/>
      <c r="ASW25"/>
      <c r="ATA25"/>
      <c r="ATE25"/>
      <c r="ATI25"/>
      <c r="ATM25"/>
      <c r="ATQ25"/>
      <c r="ATU25"/>
      <c r="ATY25"/>
      <c r="AUC25"/>
      <c r="AUG25"/>
      <c r="AUK25"/>
      <c r="AUO25"/>
      <c r="AUS25"/>
      <c r="AUW25"/>
      <c r="AVA25"/>
      <c r="AVE25"/>
      <c r="AVI25"/>
      <c r="AVM25"/>
      <c r="AVQ25"/>
      <c r="AVU25"/>
      <c r="AVY25"/>
      <c r="AWC25"/>
      <c r="AWG25"/>
      <c r="AWK25"/>
      <c r="AWO25"/>
      <c r="AWS25"/>
      <c r="AWW25"/>
      <c r="AXA25"/>
      <c r="AXE25"/>
      <c r="AXI25"/>
      <c r="AXM25"/>
      <c r="AXQ25"/>
      <c r="AXU25"/>
      <c r="AXY25"/>
      <c r="AYC25"/>
      <c r="AYG25"/>
      <c r="AYK25"/>
      <c r="AYO25"/>
      <c r="AYS25"/>
      <c r="AYW25"/>
      <c r="AZA25"/>
      <c r="AZE25"/>
      <c r="AZI25"/>
      <c r="AZM25"/>
      <c r="AZQ25"/>
      <c r="AZU25"/>
      <c r="AZY25"/>
      <c r="BAC25"/>
      <c r="BAG25"/>
      <c r="BAK25"/>
      <c r="BAO25"/>
      <c r="BAS25"/>
      <c r="BAW25"/>
      <c r="BBA25"/>
      <c r="BBE25"/>
      <c r="BBI25"/>
      <c r="BBM25"/>
      <c r="BBQ25"/>
      <c r="BBU25"/>
      <c r="BBY25"/>
      <c r="BCC25"/>
      <c r="BCG25"/>
      <c r="BCK25"/>
      <c r="BCO25"/>
      <c r="BCS25"/>
      <c r="BCW25"/>
      <c r="BDA25"/>
      <c r="BDE25"/>
      <c r="BDI25"/>
      <c r="BDM25"/>
      <c r="BDQ25"/>
      <c r="BDU25"/>
      <c r="BDY25"/>
      <c r="BEC25"/>
      <c r="BEG25"/>
      <c r="BEK25"/>
      <c r="BEO25"/>
      <c r="BES25"/>
      <c r="BEW25"/>
      <c r="BFA25"/>
      <c r="BFE25"/>
      <c r="BFI25"/>
      <c r="BFM25"/>
      <c r="BFQ25"/>
      <c r="BFU25"/>
      <c r="BFY25"/>
      <c r="BGC25"/>
      <c r="BGG25"/>
      <c r="BGK25"/>
      <c r="BGO25"/>
      <c r="BGS25"/>
      <c r="BGW25"/>
      <c r="BHA25"/>
      <c r="BHE25"/>
      <c r="BHI25"/>
      <c r="BHM25"/>
      <c r="BHQ25"/>
      <c r="BHU25"/>
      <c r="BHY25"/>
      <c r="BIC25"/>
      <c r="BIG25"/>
      <c r="BIK25"/>
      <c r="BIO25"/>
      <c r="BIS25"/>
      <c r="BIW25"/>
      <c r="BJA25"/>
      <c r="BJE25"/>
      <c r="BJI25"/>
      <c r="BJM25"/>
      <c r="BJQ25"/>
      <c r="BJU25"/>
      <c r="BJY25"/>
      <c r="BKC25"/>
      <c r="BKG25"/>
      <c r="BKK25"/>
      <c r="BKO25"/>
      <c r="BKS25"/>
      <c r="BKW25"/>
      <c r="BLA25"/>
      <c r="BLE25"/>
      <c r="BLI25"/>
      <c r="BLM25"/>
      <c r="BLQ25"/>
      <c r="BLU25"/>
      <c r="BLY25"/>
      <c r="BMC25"/>
      <c r="BMG25"/>
      <c r="BMK25"/>
      <c r="BMO25"/>
      <c r="BMS25"/>
      <c r="BMW25"/>
      <c r="BNA25"/>
      <c r="BNE25"/>
      <c r="BNI25"/>
      <c r="BNM25"/>
      <c r="BNQ25"/>
      <c r="BNU25"/>
      <c r="BNY25"/>
      <c r="BOC25"/>
      <c r="BOG25"/>
      <c r="BOK25"/>
      <c r="BOO25"/>
      <c r="BOS25"/>
      <c r="BOW25"/>
      <c r="BPA25"/>
      <c r="BPE25"/>
      <c r="BPI25"/>
      <c r="BPM25"/>
      <c r="BPQ25"/>
      <c r="BPU25"/>
      <c r="BPY25"/>
      <c r="BQC25"/>
      <c r="BQG25"/>
      <c r="BQK25"/>
      <c r="BQO25"/>
      <c r="BQS25"/>
      <c r="BQW25"/>
      <c r="BRA25"/>
      <c r="BRE25"/>
      <c r="BRI25"/>
      <c r="BRM25"/>
      <c r="BRQ25"/>
      <c r="BRU25"/>
      <c r="BRY25"/>
      <c r="BSC25"/>
      <c r="BSG25"/>
      <c r="BSK25"/>
      <c r="BSO25"/>
      <c r="BSS25"/>
      <c r="BSW25"/>
      <c r="BTA25"/>
      <c r="BTE25"/>
      <c r="BTI25"/>
      <c r="BTM25"/>
      <c r="BTQ25"/>
      <c r="BTU25"/>
      <c r="BTY25"/>
      <c r="BUC25"/>
      <c r="BUG25"/>
      <c r="BUK25"/>
      <c r="BUO25"/>
      <c r="BUS25"/>
      <c r="BUW25"/>
      <c r="BVA25"/>
      <c r="BVE25"/>
      <c r="BVI25"/>
      <c r="BVM25"/>
      <c r="BVQ25"/>
      <c r="BVU25"/>
      <c r="BVY25"/>
      <c r="BWC25"/>
      <c r="BWG25"/>
      <c r="BWK25"/>
      <c r="BWO25"/>
      <c r="BWS25"/>
      <c r="BWW25"/>
      <c r="BXA25"/>
      <c r="BXE25"/>
      <c r="BXI25"/>
      <c r="BXM25"/>
      <c r="BXQ25"/>
      <c r="BXU25"/>
      <c r="BXY25"/>
      <c r="BYC25"/>
      <c r="BYG25"/>
      <c r="BYK25"/>
      <c r="BYO25"/>
      <c r="BYS25"/>
      <c r="BYW25"/>
      <c r="BZA25"/>
      <c r="BZE25"/>
      <c r="BZI25"/>
      <c r="BZM25"/>
      <c r="BZQ25"/>
      <c r="BZU25"/>
      <c r="BZY25"/>
      <c r="CAC25"/>
      <c r="CAG25"/>
      <c r="CAK25"/>
      <c r="CAO25"/>
      <c r="CAS25"/>
      <c r="CAW25"/>
      <c r="CBA25"/>
      <c r="CBE25"/>
      <c r="CBI25"/>
      <c r="CBM25"/>
      <c r="CBQ25"/>
      <c r="CBU25"/>
      <c r="CBY25"/>
      <c r="CCC25"/>
      <c r="CCG25"/>
      <c r="CCK25"/>
      <c r="CCO25"/>
      <c r="CCS25"/>
      <c r="CCW25"/>
      <c r="CDA25"/>
      <c r="CDE25"/>
      <c r="CDI25"/>
      <c r="CDM25"/>
      <c r="CDQ25"/>
      <c r="CDU25"/>
      <c r="CDY25"/>
      <c r="CEC25"/>
      <c r="CEG25"/>
      <c r="CEK25"/>
      <c r="CEO25"/>
      <c r="CES25"/>
      <c r="CEW25"/>
      <c r="CFA25"/>
      <c r="CFE25"/>
      <c r="CFI25"/>
      <c r="CFM25"/>
      <c r="CFQ25"/>
      <c r="CFU25"/>
      <c r="CFY25"/>
      <c r="CGC25"/>
      <c r="CGG25"/>
      <c r="CGK25"/>
      <c r="CGO25"/>
      <c r="CGS25"/>
      <c r="CGW25"/>
      <c r="CHA25"/>
      <c r="CHE25"/>
      <c r="CHI25"/>
      <c r="CHM25"/>
      <c r="CHQ25"/>
      <c r="CHU25"/>
      <c r="CHY25"/>
      <c r="CIC25"/>
      <c r="CIG25"/>
      <c r="CIK25"/>
      <c r="CIO25"/>
      <c r="CIS25"/>
      <c r="CIW25"/>
      <c r="CJA25"/>
      <c r="CJE25"/>
      <c r="CJI25"/>
      <c r="CJM25"/>
      <c r="CJQ25"/>
      <c r="CJU25"/>
      <c r="CJY25"/>
      <c r="CKC25"/>
      <c r="CKG25"/>
      <c r="CKK25"/>
      <c r="CKO25"/>
      <c r="CKS25"/>
      <c r="CKW25"/>
      <c r="CLA25"/>
      <c r="CLE25"/>
      <c r="CLI25"/>
      <c r="CLM25"/>
      <c r="CLQ25"/>
      <c r="CLU25"/>
      <c r="CLY25"/>
      <c r="CMC25"/>
      <c r="CMG25"/>
      <c r="CMK25"/>
      <c r="CMO25"/>
      <c r="CMS25"/>
      <c r="CMW25"/>
      <c r="CNA25"/>
      <c r="CNE25"/>
      <c r="CNI25"/>
      <c r="CNM25"/>
      <c r="CNQ25"/>
      <c r="CNU25"/>
      <c r="CNY25"/>
      <c r="COC25"/>
      <c r="COG25"/>
      <c r="COK25"/>
      <c r="COO25"/>
      <c r="COS25"/>
      <c r="COW25"/>
      <c r="CPA25"/>
      <c r="CPE25"/>
      <c r="CPI25"/>
      <c r="CPM25"/>
      <c r="CPQ25"/>
      <c r="CPU25"/>
      <c r="CPY25"/>
      <c r="CQC25"/>
      <c r="CQG25"/>
      <c r="CQK25"/>
      <c r="CQO25"/>
      <c r="CQS25"/>
      <c r="CQW25"/>
      <c r="CRA25"/>
      <c r="CRE25"/>
      <c r="CRI25"/>
      <c r="CRM25"/>
      <c r="CRQ25"/>
      <c r="CRU25"/>
      <c r="CRY25"/>
      <c r="CSC25"/>
      <c r="CSG25"/>
      <c r="CSK25"/>
      <c r="CSO25"/>
      <c r="CSS25"/>
      <c r="CSW25"/>
      <c r="CTA25"/>
      <c r="CTE25"/>
      <c r="CTI25"/>
      <c r="CTM25"/>
      <c r="CTQ25"/>
      <c r="CTU25"/>
      <c r="CTY25"/>
      <c r="CUC25"/>
      <c r="CUG25"/>
      <c r="CUK25"/>
      <c r="CUO25"/>
      <c r="CUS25"/>
      <c r="CUW25"/>
      <c r="CVA25"/>
      <c r="CVE25"/>
      <c r="CVI25"/>
      <c r="CVM25"/>
      <c r="CVQ25"/>
      <c r="CVU25"/>
      <c r="CVY25"/>
      <c r="CWC25"/>
      <c r="CWG25"/>
      <c r="CWK25"/>
      <c r="CWO25"/>
      <c r="CWS25"/>
      <c r="CWW25"/>
      <c r="CXA25"/>
      <c r="CXE25"/>
      <c r="CXI25"/>
      <c r="CXM25"/>
      <c r="CXQ25"/>
      <c r="CXU25"/>
      <c r="CXY25"/>
      <c r="CYC25"/>
      <c r="CYG25"/>
      <c r="CYK25"/>
      <c r="CYO25"/>
      <c r="CYS25"/>
      <c r="CYW25"/>
      <c r="CZA25"/>
      <c r="CZE25"/>
      <c r="CZI25"/>
      <c r="CZM25"/>
      <c r="CZQ25"/>
      <c r="CZU25"/>
      <c r="CZY25"/>
      <c r="DAC25"/>
      <c r="DAG25"/>
      <c r="DAK25"/>
      <c r="DAO25"/>
      <c r="DAS25"/>
      <c r="DAW25"/>
      <c r="DBA25"/>
      <c r="DBE25"/>
      <c r="DBI25"/>
      <c r="DBM25"/>
      <c r="DBQ25"/>
      <c r="DBU25"/>
      <c r="DBY25"/>
      <c r="DCC25"/>
      <c r="DCG25"/>
      <c r="DCK25"/>
      <c r="DCO25"/>
      <c r="DCS25"/>
      <c r="DCW25"/>
      <c r="DDA25"/>
      <c r="DDE25"/>
      <c r="DDI25"/>
      <c r="DDM25"/>
      <c r="DDQ25"/>
      <c r="DDU25"/>
      <c r="DDY25"/>
      <c r="DEC25"/>
      <c r="DEG25"/>
      <c r="DEK25"/>
      <c r="DEO25"/>
      <c r="DES25"/>
      <c r="DEW25"/>
      <c r="DFA25"/>
      <c r="DFE25"/>
      <c r="DFI25"/>
      <c r="DFM25"/>
      <c r="DFQ25"/>
      <c r="DFU25"/>
      <c r="DFY25"/>
      <c r="DGC25"/>
      <c r="DGG25"/>
      <c r="DGK25"/>
      <c r="DGO25"/>
      <c r="DGS25"/>
      <c r="DGW25"/>
      <c r="DHA25"/>
      <c r="DHE25"/>
      <c r="DHI25"/>
      <c r="DHM25"/>
      <c r="DHQ25"/>
      <c r="DHU25"/>
      <c r="DHY25"/>
      <c r="DIC25"/>
      <c r="DIG25"/>
      <c r="DIK25"/>
      <c r="DIO25"/>
      <c r="DIS25"/>
      <c r="DIW25"/>
      <c r="DJA25"/>
      <c r="DJE25"/>
      <c r="DJI25"/>
      <c r="DJM25"/>
      <c r="DJQ25"/>
      <c r="DJU25"/>
      <c r="DJY25"/>
      <c r="DKC25"/>
      <c r="DKG25"/>
      <c r="DKK25"/>
      <c r="DKO25"/>
      <c r="DKS25"/>
      <c r="DKW25"/>
      <c r="DLA25"/>
      <c r="DLE25"/>
      <c r="DLI25"/>
      <c r="DLM25"/>
      <c r="DLQ25"/>
      <c r="DLU25"/>
      <c r="DLY25"/>
      <c r="DMC25"/>
      <c r="DMG25"/>
      <c r="DMK25"/>
      <c r="DMO25"/>
      <c r="DMS25"/>
      <c r="DMW25"/>
      <c r="DNA25"/>
      <c r="DNE25"/>
      <c r="DNI25"/>
      <c r="DNM25"/>
      <c r="DNQ25"/>
      <c r="DNU25"/>
      <c r="DNY25"/>
      <c r="DOC25"/>
      <c r="DOG25"/>
      <c r="DOK25"/>
      <c r="DOO25"/>
      <c r="DOS25"/>
      <c r="DOW25"/>
      <c r="DPA25"/>
      <c r="DPE25"/>
      <c r="DPI25"/>
      <c r="DPM25"/>
      <c r="DPQ25"/>
      <c r="DPU25"/>
      <c r="DPY25"/>
      <c r="DQC25"/>
      <c r="DQG25"/>
      <c r="DQK25"/>
      <c r="DQO25"/>
      <c r="DQS25"/>
      <c r="DQW25"/>
      <c r="DRA25"/>
      <c r="DRE25"/>
      <c r="DRI25"/>
      <c r="DRM25"/>
      <c r="DRQ25"/>
      <c r="DRU25"/>
      <c r="DRY25"/>
      <c r="DSC25"/>
      <c r="DSG25"/>
      <c r="DSK25"/>
      <c r="DSO25"/>
      <c r="DSS25"/>
      <c r="DSW25"/>
      <c r="DTA25"/>
      <c r="DTE25"/>
      <c r="DTI25"/>
      <c r="DTM25"/>
      <c r="DTQ25"/>
      <c r="DTU25"/>
      <c r="DTY25"/>
      <c r="DUC25"/>
      <c r="DUG25"/>
      <c r="DUK25"/>
      <c r="DUO25"/>
      <c r="DUS25"/>
      <c r="DUW25"/>
      <c r="DVA25"/>
      <c r="DVE25"/>
      <c r="DVI25"/>
      <c r="DVM25"/>
      <c r="DVQ25"/>
      <c r="DVU25"/>
      <c r="DVY25"/>
      <c r="DWC25"/>
      <c r="DWG25"/>
      <c r="DWK25"/>
      <c r="DWO25"/>
      <c r="DWS25"/>
      <c r="DWW25"/>
      <c r="DXA25"/>
      <c r="DXE25"/>
      <c r="DXI25"/>
      <c r="DXM25"/>
      <c r="DXQ25"/>
      <c r="DXU25"/>
      <c r="DXY25"/>
      <c r="DYC25"/>
      <c r="DYG25"/>
      <c r="DYK25"/>
      <c r="DYO25"/>
      <c r="DYS25"/>
      <c r="DYW25"/>
      <c r="DZA25"/>
      <c r="DZE25"/>
      <c r="DZI25"/>
      <c r="DZM25"/>
      <c r="DZQ25"/>
      <c r="DZU25"/>
      <c r="DZY25"/>
      <c r="EAC25"/>
      <c r="EAG25"/>
      <c r="EAK25"/>
      <c r="EAO25"/>
      <c r="EAS25"/>
      <c r="EAW25"/>
      <c r="EBA25"/>
      <c r="EBE25"/>
      <c r="EBI25"/>
      <c r="EBM25"/>
      <c r="EBQ25"/>
      <c r="EBU25"/>
      <c r="EBY25"/>
      <c r="ECC25"/>
      <c r="ECG25"/>
      <c r="ECK25"/>
      <c r="ECO25"/>
      <c r="ECS25"/>
      <c r="ECW25"/>
      <c r="EDA25"/>
      <c r="EDE25"/>
      <c r="EDI25"/>
      <c r="EDM25"/>
      <c r="EDQ25"/>
      <c r="EDU25"/>
      <c r="EDY25"/>
      <c r="EEC25"/>
      <c r="EEG25"/>
      <c r="EEK25"/>
      <c r="EEO25"/>
      <c r="EES25"/>
      <c r="EEW25"/>
      <c r="EFA25"/>
      <c r="EFE25"/>
      <c r="EFI25"/>
      <c r="EFM25"/>
      <c r="EFQ25"/>
      <c r="EFU25"/>
      <c r="EFY25"/>
      <c r="EGC25"/>
      <c r="EGG25"/>
      <c r="EGK25"/>
      <c r="EGO25"/>
      <c r="EGS25"/>
      <c r="EGW25"/>
      <c r="EHA25"/>
      <c r="EHE25"/>
      <c r="EHI25"/>
      <c r="EHM25"/>
      <c r="EHQ25"/>
      <c r="EHU25"/>
      <c r="EHY25"/>
      <c r="EIC25"/>
      <c r="EIG25"/>
      <c r="EIK25"/>
      <c r="EIO25"/>
      <c r="EIS25"/>
      <c r="EIW25"/>
      <c r="EJA25"/>
      <c r="EJE25"/>
      <c r="EJI25"/>
      <c r="EJM25"/>
      <c r="EJQ25"/>
      <c r="EJU25"/>
      <c r="EJY25"/>
      <c r="EKC25"/>
      <c r="EKG25"/>
      <c r="EKK25"/>
      <c r="EKO25"/>
      <c r="EKS25"/>
      <c r="EKW25"/>
      <c r="ELA25"/>
      <c r="ELE25"/>
      <c r="ELI25"/>
      <c r="ELM25"/>
      <c r="ELQ25"/>
      <c r="ELU25"/>
      <c r="ELY25"/>
      <c r="EMC25"/>
      <c r="EMG25"/>
      <c r="EMK25"/>
      <c r="EMO25"/>
      <c r="EMS25"/>
      <c r="EMW25"/>
      <c r="ENA25"/>
      <c r="ENE25"/>
      <c r="ENI25"/>
      <c r="ENM25"/>
      <c r="ENQ25"/>
      <c r="ENU25"/>
      <c r="ENY25"/>
      <c r="EOC25"/>
      <c r="EOG25"/>
      <c r="EOK25"/>
      <c r="EOO25"/>
      <c r="EOS25"/>
      <c r="EOW25"/>
      <c r="EPA25"/>
      <c r="EPE25"/>
      <c r="EPI25"/>
      <c r="EPM25"/>
      <c r="EPQ25"/>
      <c r="EPU25"/>
      <c r="EPY25"/>
      <c r="EQC25"/>
      <c r="EQG25"/>
      <c r="EQK25"/>
      <c r="EQO25"/>
      <c r="EQS25"/>
      <c r="EQW25"/>
      <c r="ERA25"/>
      <c r="ERE25"/>
      <c r="ERI25"/>
      <c r="ERM25"/>
      <c r="ERQ25"/>
      <c r="ERU25"/>
      <c r="ERY25"/>
      <c r="ESC25"/>
      <c r="ESG25"/>
      <c r="ESK25"/>
      <c r="ESO25"/>
      <c r="ESS25"/>
      <c r="ESW25"/>
      <c r="ETA25"/>
      <c r="ETE25"/>
      <c r="ETI25"/>
      <c r="ETM25"/>
      <c r="ETQ25"/>
      <c r="ETU25"/>
      <c r="ETY25"/>
      <c r="EUC25"/>
      <c r="EUG25"/>
      <c r="EUK25"/>
      <c r="EUO25"/>
      <c r="EUS25"/>
      <c r="EUW25"/>
      <c r="EVA25"/>
      <c r="EVE25"/>
      <c r="EVI25"/>
      <c r="EVM25"/>
      <c r="EVQ25"/>
      <c r="EVU25"/>
      <c r="EVY25"/>
      <c r="EWC25"/>
      <c r="EWG25"/>
      <c r="EWK25"/>
      <c r="EWO25"/>
      <c r="EWS25"/>
      <c r="EWW25"/>
      <c r="EXA25"/>
      <c r="EXE25"/>
      <c r="EXI25"/>
      <c r="EXM25"/>
      <c r="EXQ25"/>
      <c r="EXU25"/>
      <c r="EXY25"/>
      <c r="EYC25"/>
      <c r="EYG25"/>
      <c r="EYK25"/>
      <c r="EYO25"/>
      <c r="EYS25"/>
      <c r="EYW25"/>
      <c r="EZA25"/>
      <c r="EZE25"/>
      <c r="EZI25"/>
      <c r="EZM25"/>
      <c r="EZQ25"/>
      <c r="EZU25"/>
      <c r="EZY25"/>
      <c r="FAC25"/>
      <c r="FAG25"/>
      <c r="FAK25"/>
      <c r="FAO25"/>
      <c r="FAS25"/>
      <c r="FAW25"/>
      <c r="FBA25"/>
      <c r="FBE25"/>
      <c r="FBI25"/>
      <c r="FBM25"/>
      <c r="FBQ25"/>
      <c r="FBU25"/>
      <c r="FBY25"/>
      <c r="FCC25"/>
      <c r="FCG25"/>
      <c r="FCK25"/>
      <c r="FCO25"/>
      <c r="FCS25"/>
      <c r="FCW25"/>
      <c r="FDA25"/>
      <c r="FDE25"/>
      <c r="FDI25"/>
      <c r="FDM25"/>
      <c r="FDQ25"/>
      <c r="FDU25"/>
      <c r="FDY25"/>
      <c r="FEC25"/>
      <c r="FEG25"/>
      <c r="FEK25"/>
      <c r="FEO25"/>
      <c r="FES25"/>
      <c r="FEW25"/>
      <c r="FFA25"/>
      <c r="FFE25"/>
      <c r="FFI25"/>
      <c r="FFM25"/>
      <c r="FFQ25"/>
      <c r="FFU25"/>
      <c r="FFY25"/>
      <c r="FGC25"/>
      <c r="FGG25"/>
      <c r="FGK25"/>
      <c r="FGO25"/>
      <c r="FGS25"/>
      <c r="FGW25"/>
      <c r="FHA25"/>
      <c r="FHE25"/>
      <c r="FHI25"/>
      <c r="FHM25"/>
      <c r="FHQ25"/>
      <c r="FHU25"/>
      <c r="FHY25"/>
      <c r="FIC25"/>
      <c r="FIG25"/>
      <c r="FIK25"/>
      <c r="FIO25"/>
      <c r="FIS25"/>
      <c r="FIW25"/>
      <c r="FJA25"/>
      <c r="FJE25"/>
      <c r="FJI25"/>
      <c r="FJM25"/>
      <c r="FJQ25"/>
      <c r="FJU25"/>
      <c r="FJY25"/>
      <c r="FKC25"/>
      <c r="FKG25"/>
      <c r="FKK25"/>
      <c r="FKO25"/>
      <c r="FKS25"/>
      <c r="FKW25"/>
      <c r="FLA25"/>
      <c r="FLE25"/>
      <c r="FLI25"/>
      <c r="FLM25"/>
      <c r="FLQ25"/>
      <c r="FLU25"/>
      <c r="FLY25"/>
      <c r="FMC25"/>
      <c r="FMG25"/>
      <c r="FMK25"/>
      <c r="FMO25"/>
      <c r="FMS25"/>
      <c r="FMW25"/>
      <c r="FNA25"/>
      <c r="FNE25"/>
      <c r="FNI25"/>
      <c r="FNM25"/>
      <c r="FNQ25"/>
      <c r="FNU25"/>
      <c r="FNY25"/>
      <c r="FOC25"/>
      <c r="FOG25"/>
      <c r="FOK25"/>
      <c r="FOO25"/>
      <c r="FOS25"/>
      <c r="FOW25"/>
      <c r="FPA25"/>
      <c r="FPE25"/>
      <c r="FPI25"/>
      <c r="FPM25"/>
      <c r="FPQ25"/>
      <c r="FPU25"/>
      <c r="FPY25"/>
      <c r="FQC25"/>
      <c r="FQG25"/>
      <c r="FQK25"/>
      <c r="FQO25"/>
      <c r="FQS25"/>
      <c r="FQW25"/>
      <c r="FRA25"/>
      <c r="FRE25"/>
      <c r="FRI25"/>
      <c r="FRM25"/>
      <c r="FRQ25"/>
      <c r="FRU25"/>
      <c r="FRY25"/>
      <c r="FSC25"/>
      <c r="FSG25"/>
      <c r="FSK25"/>
      <c r="FSO25"/>
      <c r="FSS25"/>
      <c r="FSW25"/>
      <c r="FTA25"/>
      <c r="FTE25"/>
      <c r="FTI25"/>
      <c r="FTM25"/>
      <c r="FTQ25"/>
      <c r="FTU25"/>
      <c r="FTY25"/>
      <c r="FUC25"/>
      <c r="FUG25"/>
      <c r="FUK25"/>
      <c r="FUO25"/>
      <c r="FUS25"/>
      <c r="FUW25"/>
      <c r="FVA25"/>
      <c r="FVE25"/>
      <c r="FVI25"/>
      <c r="FVM25"/>
      <c r="FVQ25"/>
      <c r="FVU25"/>
      <c r="FVY25"/>
      <c r="FWC25"/>
      <c r="FWG25"/>
      <c r="FWK25"/>
      <c r="FWO25"/>
      <c r="FWS25"/>
      <c r="FWW25"/>
      <c r="FXA25"/>
      <c r="FXE25"/>
      <c r="FXI25"/>
      <c r="FXM25"/>
      <c r="FXQ25"/>
      <c r="FXU25"/>
      <c r="FXY25"/>
      <c r="FYC25"/>
      <c r="FYG25"/>
      <c r="FYK25"/>
      <c r="FYO25"/>
      <c r="FYS25"/>
      <c r="FYW25"/>
      <c r="FZA25"/>
      <c r="FZE25"/>
      <c r="FZI25"/>
      <c r="FZM25"/>
      <c r="FZQ25"/>
      <c r="FZU25"/>
      <c r="FZY25"/>
      <c r="GAC25"/>
      <c r="GAG25"/>
      <c r="GAK25"/>
      <c r="GAO25"/>
      <c r="GAS25"/>
      <c r="GAW25"/>
      <c r="GBA25"/>
      <c r="GBE25"/>
      <c r="GBI25"/>
      <c r="GBM25"/>
      <c r="GBQ25"/>
      <c r="GBU25"/>
      <c r="GBY25"/>
      <c r="GCC25"/>
      <c r="GCG25"/>
      <c r="GCK25"/>
      <c r="GCO25"/>
      <c r="GCS25"/>
      <c r="GCW25"/>
      <c r="GDA25"/>
      <c r="GDE25"/>
      <c r="GDI25"/>
      <c r="GDM25"/>
      <c r="GDQ25"/>
      <c r="GDU25"/>
      <c r="GDY25"/>
      <c r="GEC25"/>
      <c r="GEG25"/>
      <c r="GEK25"/>
      <c r="GEO25"/>
      <c r="GES25"/>
      <c r="GEW25"/>
      <c r="GFA25"/>
      <c r="GFE25"/>
      <c r="GFI25"/>
      <c r="GFM25"/>
      <c r="GFQ25"/>
      <c r="GFU25"/>
      <c r="GFY25"/>
      <c r="GGC25"/>
      <c r="GGG25"/>
      <c r="GGK25"/>
      <c r="GGO25"/>
      <c r="GGS25"/>
      <c r="GGW25"/>
      <c r="GHA25"/>
      <c r="GHE25"/>
      <c r="GHI25"/>
      <c r="GHM25"/>
      <c r="GHQ25"/>
      <c r="GHU25"/>
      <c r="GHY25"/>
      <c r="GIC25"/>
      <c r="GIG25"/>
      <c r="GIK25"/>
      <c r="GIO25"/>
      <c r="GIS25"/>
      <c r="GIW25"/>
      <c r="GJA25"/>
      <c r="GJE25"/>
      <c r="GJI25"/>
      <c r="GJM25"/>
      <c r="GJQ25"/>
      <c r="GJU25"/>
      <c r="GJY25"/>
      <c r="GKC25"/>
      <c r="GKG25"/>
      <c r="GKK25"/>
      <c r="GKO25"/>
      <c r="GKS25"/>
      <c r="GKW25"/>
      <c r="GLA25"/>
      <c r="GLE25"/>
      <c r="GLI25"/>
      <c r="GLM25"/>
      <c r="GLQ25"/>
      <c r="GLU25"/>
      <c r="GLY25"/>
      <c r="GMC25"/>
      <c r="GMG25"/>
      <c r="GMK25"/>
      <c r="GMO25"/>
      <c r="GMS25"/>
      <c r="GMW25"/>
      <c r="GNA25"/>
      <c r="GNE25"/>
      <c r="GNI25"/>
      <c r="GNM25"/>
      <c r="GNQ25"/>
      <c r="GNU25"/>
      <c r="GNY25"/>
      <c r="GOC25"/>
      <c r="GOG25"/>
      <c r="GOK25"/>
      <c r="GOO25"/>
      <c r="GOS25"/>
      <c r="GOW25"/>
      <c r="GPA25"/>
      <c r="GPE25"/>
      <c r="GPI25"/>
      <c r="GPM25"/>
      <c r="GPQ25"/>
      <c r="GPU25"/>
      <c r="GPY25"/>
      <c r="GQC25"/>
      <c r="GQG25"/>
      <c r="GQK25"/>
      <c r="GQO25"/>
      <c r="GQS25"/>
      <c r="GQW25"/>
      <c r="GRA25"/>
      <c r="GRE25"/>
      <c r="GRI25"/>
      <c r="GRM25"/>
      <c r="GRQ25"/>
      <c r="GRU25"/>
      <c r="GRY25"/>
      <c r="GSC25"/>
      <c r="GSG25"/>
      <c r="GSK25"/>
      <c r="GSO25"/>
      <c r="GSS25"/>
      <c r="GSW25"/>
      <c r="GTA25"/>
      <c r="GTE25"/>
      <c r="GTI25"/>
      <c r="GTM25"/>
      <c r="GTQ25"/>
      <c r="GTU25"/>
      <c r="GTY25"/>
      <c r="GUC25"/>
      <c r="GUG25"/>
      <c r="GUK25"/>
      <c r="GUO25"/>
      <c r="GUS25"/>
      <c r="GUW25"/>
      <c r="GVA25"/>
      <c r="GVE25"/>
      <c r="GVI25"/>
      <c r="GVM25"/>
      <c r="GVQ25"/>
      <c r="GVU25"/>
      <c r="GVY25"/>
      <c r="GWC25"/>
      <c r="GWG25"/>
      <c r="GWK25"/>
      <c r="GWO25"/>
      <c r="GWS25"/>
      <c r="GWW25"/>
      <c r="GXA25"/>
      <c r="GXE25"/>
      <c r="GXI25"/>
      <c r="GXM25"/>
      <c r="GXQ25"/>
      <c r="GXU25"/>
      <c r="GXY25"/>
      <c r="GYC25"/>
      <c r="GYG25"/>
      <c r="GYK25"/>
      <c r="GYO25"/>
      <c r="GYS25"/>
      <c r="GYW25"/>
      <c r="GZA25"/>
      <c r="GZE25"/>
      <c r="GZI25"/>
      <c r="GZM25"/>
      <c r="GZQ25"/>
      <c r="GZU25"/>
      <c r="GZY25"/>
      <c r="HAC25"/>
      <c r="HAG25"/>
      <c r="HAK25"/>
      <c r="HAO25"/>
      <c r="HAS25"/>
      <c r="HAW25"/>
      <c r="HBA25"/>
      <c r="HBE25"/>
      <c r="HBI25"/>
      <c r="HBM25"/>
      <c r="HBQ25"/>
      <c r="HBU25"/>
      <c r="HBY25"/>
      <c r="HCC25"/>
      <c r="HCG25"/>
      <c r="HCK25"/>
      <c r="HCO25"/>
      <c r="HCS25"/>
      <c r="HCW25"/>
      <c r="HDA25"/>
      <c r="HDE25"/>
      <c r="HDI25"/>
      <c r="HDM25"/>
      <c r="HDQ25"/>
      <c r="HDU25"/>
      <c r="HDY25"/>
      <c r="HEC25"/>
      <c r="HEG25"/>
      <c r="HEK25"/>
      <c r="HEO25"/>
      <c r="HES25"/>
      <c r="HEW25"/>
      <c r="HFA25"/>
      <c r="HFE25"/>
      <c r="HFI25"/>
      <c r="HFM25"/>
      <c r="HFQ25"/>
      <c r="HFU25"/>
      <c r="HFY25"/>
      <c r="HGC25"/>
      <c r="HGG25"/>
      <c r="HGK25"/>
      <c r="HGO25"/>
      <c r="HGS25"/>
      <c r="HGW25"/>
      <c r="HHA25"/>
      <c r="HHE25"/>
      <c r="HHI25"/>
      <c r="HHM25"/>
      <c r="HHQ25"/>
      <c r="HHU25"/>
      <c r="HHY25"/>
      <c r="HIC25"/>
      <c r="HIG25"/>
      <c r="HIK25"/>
      <c r="HIO25"/>
      <c r="HIS25"/>
      <c r="HIW25"/>
      <c r="HJA25"/>
      <c r="HJE25"/>
      <c r="HJI25"/>
      <c r="HJM25"/>
      <c r="HJQ25"/>
      <c r="HJU25"/>
      <c r="HJY25"/>
      <c r="HKC25"/>
      <c r="HKG25"/>
      <c r="HKK25"/>
      <c r="HKO25"/>
      <c r="HKS25"/>
      <c r="HKW25"/>
      <c r="HLA25"/>
      <c r="HLE25"/>
      <c r="HLI25"/>
      <c r="HLM25"/>
      <c r="HLQ25"/>
      <c r="HLU25"/>
      <c r="HLY25"/>
      <c r="HMC25"/>
      <c r="HMG25"/>
      <c r="HMK25"/>
      <c r="HMO25"/>
      <c r="HMS25"/>
      <c r="HMW25"/>
      <c r="HNA25"/>
      <c r="HNE25"/>
      <c r="HNI25"/>
      <c r="HNM25"/>
      <c r="HNQ25"/>
      <c r="HNU25"/>
      <c r="HNY25"/>
      <c r="HOC25"/>
      <c r="HOG25"/>
      <c r="HOK25"/>
      <c r="HOO25"/>
      <c r="HOS25"/>
      <c r="HOW25"/>
      <c r="HPA25"/>
      <c r="HPE25"/>
      <c r="HPI25"/>
      <c r="HPM25"/>
      <c r="HPQ25"/>
      <c r="HPU25"/>
      <c r="HPY25"/>
      <c r="HQC25"/>
      <c r="HQG25"/>
      <c r="HQK25"/>
      <c r="HQO25"/>
      <c r="HQS25"/>
      <c r="HQW25"/>
      <c r="HRA25"/>
      <c r="HRE25"/>
      <c r="HRI25"/>
      <c r="HRM25"/>
      <c r="HRQ25"/>
      <c r="HRU25"/>
      <c r="HRY25"/>
      <c r="HSC25"/>
      <c r="HSG25"/>
      <c r="HSK25"/>
      <c r="HSO25"/>
      <c r="HSS25"/>
      <c r="HSW25"/>
      <c r="HTA25"/>
      <c r="HTE25"/>
      <c r="HTI25"/>
      <c r="HTM25"/>
      <c r="HTQ25"/>
      <c r="HTU25"/>
      <c r="HTY25"/>
      <c r="HUC25"/>
      <c r="HUG25"/>
      <c r="HUK25"/>
      <c r="HUO25"/>
      <c r="HUS25"/>
      <c r="HUW25"/>
      <c r="HVA25"/>
      <c r="HVE25"/>
      <c r="HVI25"/>
      <c r="HVM25"/>
      <c r="HVQ25"/>
      <c r="HVU25"/>
      <c r="HVY25"/>
      <c r="HWC25"/>
      <c r="HWG25"/>
      <c r="HWK25"/>
      <c r="HWO25"/>
      <c r="HWS25"/>
      <c r="HWW25"/>
      <c r="HXA25"/>
      <c r="HXE25"/>
      <c r="HXI25"/>
      <c r="HXM25"/>
      <c r="HXQ25"/>
      <c r="HXU25"/>
      <c r="HXY25"/>
      <c r="HYC25"/>
      <c r="HYG25"/>
      <c r="HYK25"/>
      <c r="HYO25"/>
      <c r="HYS25"/>
      <c r="HYW25"/>
      <c r="HZA25"/>
      <c r="HZE25"/>
      <c r="HZI25"/>
      <c r="HZM25"/>
      <c r="HZQ25"/>
      <c r="HZU25"/>
      <c r="HZY25"/>
      <c r="IAC25"/>
      <c r="IAG25"/>
      <c r="IAK25"/>
      <c r="IAO25"/>
      <c r="IAS25"/>
      <c r="IAW25"/>
      <c r="IBA25"/>
      <c r="IBE25"/>
      <c r="IBI25"/>
      <c r="IBM25"/>
      <c r="IBQ25"/>
      <c r="IBU25"/>
      <c r="IBY25"/>
      <c r="ICC25"/>
      <c r="ICG25"/>
      <c r="ICK25"/>
      <c r="ICO25"/>
      <c r="ICS25"/>
      <c r="ICW25"/>
      <c r="IDA25"/>
      <c r="IDE25"/>
      <c r="IDI25"/>
      <c r="IDM25"/>
      <c r="IDQ25"/>
      <c r="IDU25"/>
      <c r="IDY25"/>
      <c r="IEC25"/>
      <c r="IEG25"/>
      <c r="IEK25"/>
      <c r="IEO25"/>
      <c r="IES25"/>
      <c r="IEW25"/>
      <c r="IFA25"/>
      <c r="IFE25"/>
      <c r="IFI25"/>
      <c r="IFM25"/>
      <c r="IFQ25"/>
      <c r="IFU25"/>
      <c r="IFY25"/>
      <c r="IGC25"/>
      <c r="IGG25"/>
      <c r="IGK25"/>
      <c r="IGO25"/>
      <c r="IGS25"/>
      <c r="IGW25"/>
      <c r="IHA25"/>
      <c r="IHE25"/>
      <c r="IHI25"/>
      <c r="IHM25"/>
      <c r="IHQ25"/>
      <c r="IHU25"/>
      <c r="IHY25"/>
      <c r="IIC25"/>
      <c r="IIG25"/>
      <c r="IIK25"/>
      <c r="IIO25"/>
      <c r="IIS25"/>
      <c r="IIW25"/>
      <c r="IJA25"/>
      <c r="IJE25"/>
      <c r="IJI25"/>
      <c r="IJM25"/>
      <c r="IJQ25"/>
      <c r="IJU25"/>
      <c r="IJY25"/>
      <c r="IKC25"/>
      <c r="IKG25"/>
      <c r="IKK25"/>
      <c r="IKO25"/>
      <c r="IKS25"/>
      <c r="IKW25"/>
      <c r="ILA25"/>
      <c r="ILE25"/>
      <c r="ILI25"/>
      <c r="ILM25"/>
      <c r="ILQ25"/>
      <c r="ILU25"/>
      <c r="ILY25"/>
      <c r="IMC25"/>
      <c r="IMG25"/>
      <c r="IMK25"/>
      <c r="IMO25"/>
      <c r="IMS25"/>
      <c r="IMW25"/>
      <c r="INA25"/>
      <c r="INE25"/>
      <c r="INI25"/>
      <c r="INM25"/>
      <c r="INQ25"/>
      <c r="INU25"/>
      <c r="INY25"/>
      <c r="IOC25"/>
      <c r="IOG25"/>
      <c r="IOK25"/>
      <c r="IOO25"/>
      <c r="IOS25"/>
      <c r="IOW25"/>
      <c r="IPA25"/>
      <c r="IPE25"/>
      <c r="IPI25"/>
      <c r="IPM25"/>
      <c r="IPQ25"/>
      <c r="IPU25"/>
      <c r="IPY25"/>
      <c r="IQC25"/>
      <c r="IQG25"/>
      <c r="IQK25"/>
      <c r="IQO25"/>
      <c r="IQS25"/>
      <c r="IQW25"/>
      <c r="IRA25"/>
      <c r="IRE25"/>
      <c r="IRI25"/>
      <c r="IRM25"/>
      <c r="IRQ25"/>
      <c r="IRU25"/>
      <c r="IRY25"/>
      <c r="ISC25"/>
      <c r="ISG25"/>
      <c r="ISK25"/>
      <c r="ISO25"/>
      <c r="ISS25"/>
      <c r="ISW25"/>
      <c r="ITA25"/>
      <c r="ITE25"/>
      <c r="ITI25"/>
      <c r="ITM25"/>
      <c r="ITQ25"/>
      <c r="ITU25"/>
      <c r="ITY25"/>
      <c r="IUC25"/>
      <c r="IUG25"/>
      <c r="IUK25"/>
      <c r="IUO25"/>
      <c r="IUS25"/>
      <c r="IUW25"/>
      <c r="IVA25"/>
      <c r="IVE25"/>
      <c r="IVI25"/>
      <c r="IVM25"/>
      <c r="IVQ25"/>
      <c r="IVU25"/>
      <c r="IVY25"/>
      <c r="IWC25"/>
      <c r="IWG25"/>
      <c r="IWK25"/>
      <c r="IWO25"/>
      <c r="IWS25"/>
      <c r="IWW25"/>
      <c r="IXA25"/>
      <c r="IXE25"/>
      <c r="IXI25"/>
      <c r="IXM25"/>
      <c r="IXQ25"/>
      <c r="IXU25"/>
      <c r="IXY25"/>
      <c r="IYC25"/>
      <c r="IYG25"/>
      <c r="IYK25"/>
      <c r="IYO25"/>
      <c r="IYS25"/>
      <c r="IYW25"/>
      <c r="IZA25"/>
      <c r="IZE25"/>
      <c r="IZI25"/>
      <c r="IZM25"/>
      <c r="IZQ25"/>
      <c r="IZU25"/>
      <c r="IZY25"/>
      <c r="JAC25"/>
      <c r="JAG25"/>
      <c r="JAK25"/>
      <c r="JAO25"/>
      <c r="JAS25"/>
      <c r="JAW25"/>
      <c r="JBA25"/>
      <c r="JBE25"/>
      <c r="JBI25"/>
      <c r="JBM25"/>
      <c r="JBQ25"/>
      <c r="JBU25"/>
      <c r="JBY25"/>
      <c r="JCC25"/>
      <c r="JCG25"/>
      <c r="JCK25"/>
      <c r="JCO25"/>
      <c r="JCS25"/>
      <c r="JCW25"/>
      <c r="JDA25"/>
      <c r="JDE25"/>
      <c r="JDI25"/>
      <c r="JDM25"/>
      <c r="JDQ25"/>
      <c r="JDU25"/>
      <c r="JDY25"/>
      <c r="JEC25"/>
      <c r="JEG25"/>
      <c r="JEK25"/>
      <c r="JEO25"/>
      <c r="JES25"/>
      <c r="JEW25"/>
      <c r="JFA25"/>
      <c r="JFE25"/>
      <c r="JFI25"/>
      <c r="JFM25"/>
      <c r="JFQ25"/>
      <c r="JFU25"/>
      <c r="JFY25"/>
      <c r="JGC25"/>
      <c r="JGG25"/>
      <c r="JGK25"/>
      <c r="JGO25"/>
      <c r="JGS25"/>
      <c r="JGW25"/>
      <c r="JHA25"/>
      <c r="JHE25"/>
      <c r="JHI25"/>
      <c r="JHM25"/>
      <c r="JHQ25"/>
      <c r="JHU25"/>
      <c r="JHY25"/>
      <c r="JIC25"/>
      <c r="JIG25"/>
      <c r="JIK25"/>
      <c r="JIO25"/>
      <c r="JIS25"/>
      <c r="JIW25"/>
      <c r="JJA25"/>
      <c r="JJE25"/>
      <c r="JJI25"/>
      <c r="JJM25"/>
      <c r="JJQ25"/>
      <c r="JJU25"/>
      <c r="JJY25"/>
      <c r="JKC25"/>
      <c r="JKG25"/>
      <c r="JKK25"/>
      <c r="JKO25"/>
      <c r="JKS25"/>
      <c r="JKW25"/>
      <c r="JLA25"/>
      <c r="JLE25"/>
      <c r="JLI25"/>
      <c r="JLM25"/>
      <c r="JLQ25"/>
      <c r="JLU25"/>
      <c r="JLY25"/>
      <c r="JMC25"/>
      <c r="JMG25"/>
      <c r="JMK25"/>
      <c r="JMO25"/>
      <c r="JMS25"/>
      <c r="JMW25"/>
      <c r="JNA25"/>
      <c r="JNE25"/>
      <c r="JNI25"/>
      <c r="JNM25"/>
      <c r="JNQ25"/>
      <c r="JNU25"/>
      <c r="JNY25"/>
      <c r="JOC25"/>
      <c r="JOG25"/>
      <c r="JOK25"/>
      <c r="JOO25"/>
      <c r="JOS25"/>
      <c r="JOW25"/>
      <c r="JPA25"/>
      <c r="JPE25"/>
      <c r="JPI25"/>
      <c r="JPM25"/>
      <c r="JPQ25"/>
      <c r="JPU25"/>
      <c r="JPY25"/>
      <c r="JQC25"/>
      <c r="JQG25"/>
      <c r="JQK25"/>
      <c r="JQO25"/>
      <c r="JQS25"/>
      <c r="JQW25"/>
      <c r="JRA25"/>
      <c r="JRE25"/>
      <c r="JRI25"/>
      <c r="JRM25"/>
      <c r="JRQ25"/>
      <c r="JRU25"/>
      <c r="JRY25"/>
      <c r="JSC25"/>
      <c r="JSG25"/>
      <c r="JSK25"/>
      <c r="JSO25"/>
      <c r="JSS25"/>
      <c r="JSW25"/>
      <c r="JTA25"/>
      <c r="JTE25"/>
      <c r="JTI25"/>
      <c r="JTM25"/>
      <c r="JTQ25"/>
      <c r="JTU25"/>
      <c r="JTY25"/>
      <c r="JUC25"/>
      <c r="JUG25"/>
      <c r="JUK25"/>
      <c r="JUO25"/>
      <c r="JUS25"/>
      <c r="JUW25"/>
      <c r="JVA25"/>
      <c r="JVE25"/>
      <c r="JVI25"/>
      <c r="JVM25"/>
      <c r="JVQ25"/>
      <c r="JVU25"/>
      <c r="JVY25"/>
      <c r="JWC25"/>
      <c r="JWG25"/>
      <c r="JWK25"/>
      <c r="JWO25"/>
      <c r="JWS25"/>
      <c r="JWW25"/>
      <c r="JXA25"/>
      <c r="JXE25"/>
      <c r="JXI25"/>
      <c r="JXM25"/>
      <c r="JXQ25"/>
      <c r="JXU25"/>
      <c r="JXY25"/>
      <c r="JYC25"/>
      <c r="JYG25"/>
      <c r="JYK25"/>
      <c r="JYO25"/>
      <c r="JYS25"/>
      <c r="JYW25"/>
      <c r="JZA25"/>
      <c r="JZE25"/>
      <c r="JZI25"/>
      <c r="JZM25"/>
      <c r="JZQ25"/>
      <c r="JZU25"/>
      <c r="JZY25"/>
      <c r="KAC25"/>
      <c r="KAG25"/>
      <c r="KAK25"/>
      <c r="KAO25"/>
      <c r="KAS25"/>
      <c r="KAW25"/>
      <c r="KBA25"/>
      <c r="KBE25"/>
      <c r="KBI25"/>
      <c r="KBM25"/>
      <c r="KBQ25"/>
      <c r="KBU25"/>
      <c r="KBY25"/>
      <c r="KCC25"/>
      <c r="KCG25"/>
      <c r="KCK25"/>
      <c r="KCO25"/>
      <c r="KCS25"/>
      <c r="KCW25"/>
      <c r="KDA25"/>
      <c r="KDE25"/>
      <c r="KDI25"/>
      <c r="KDM25"/>
      <c r="KDQ25"/>
      <c r="KDU25"/>
      <c r="KDY25"/>
      <c r="KEC25"/>
      <c r="KEG25"/>
      <c r="KEK25"/>
      <c r="KEO25"/>
      <c r="KES25"/>
      <c r="KEW25"/>
      <c r="KFA25"/>
      <c r="KFE25"/>
      <c r="KFI25"/>
      <c r="KFM25"/>
      <c r="KFQ25"/>
      <c r="KFU25"/>
      <c r="KFY25"/>
      <c r="KGC25"/>
      <c r="KGG25"/>
      <c r="KGK25"/>
      <c r="KGO25"/>
      <c r="KGS25"/>
      <c r="KGW25"/>
      <c r="KHA25"/>
      <c r="KHE25"/>
      <c r="KHI25"/>
      <c r="KHM25"/>
      <c r="KHQ25"/>
      <c r="KHU25"/>
      <c r="KHY25"/>
      <c r="KIC25"/>
      <c r="KIG25"/>
      <c r="KIK25"/>
      <c r="KIO25"/>
      <c r="KIS25"/>
      <c r="KIW25"/>
      <c r="KJA25"/>
      <c r="KJE25"/>
      <c r="KJI25"/>
      <c r="KJM25"/>
      <c r="KJQ25"/>
      <c r="KJU25"/>
      <c r="KJY25"/>
      <c r="KKC25"/>
      <c r="KKG25"/>
      <c r="KKK25"/>
      <c r="KKO25"/>
      <c r="KKS25"/>
      <c r="KKW25"/>
      <c r="KLA25"/>
      <c r="KLE25"/>
      <c r="KLI25"/>
      <c r="KLM25"/>
      <c r="KLQ25"/>
      <c r="KLU25"/>
      <c r="KLY25"/>
      <c r="KMC25"/>
      <c r="KMG25"/>
      <c r="KMK25"/>
      <c r="KMO25"/>
      <c r="KMS25"/>
      <c r="KMW25"/>
      <c r="KNA25"/>
      <c r="KNE25"/>
      <c r="KNI25"/>
      <c r="KNM25"/>
      <c r="KNQ25"/>
      <c r="KNU25"/>
      <c r="KNY25"/>
      <c r="KOC25"/>
      <c r="KOG25"/>
      <c r="KOK25"/>
      <c r="KOO25"/>
      <c r="KOS25"/>
      <c r="KOW25"/>
      <c r="KPA25"/>
      <c r="KPE25"/>
      <c r="KPI25"/>
      <c r="KPM25"/>
      <c r="KPQ25"/>
      <c r="KPU25"/>
      <c r="KPY25"/>
      <c r="KQC25"/>
      <c r="KQG25"/>
      <c r="KQK25"/>
      <c r="KQO25"/>
      <c r="KQS25"/>
      <c r="KQW25"/>
      <c r="KRA25"/>
      <c r="KRE25"/>
      <c r="KRI25"/>
      <c r="KRM25"/>
      <c r="KRQ25"/>
      <c r="KRU25"/>
      <c r="KRY25"/>
      <c r="KSC25"/>
      <c r="KSG25"/>
      <c r="KSK25"/>
      <c r="KSO25"/>
      <c r="KSS25"/>
      <c r="KSW25"/>
      <c r="KTA25"/>
      <c r="KTE25"/>
      <c r="KTI25"/>
      <c r="KTM25"/>
      <c r="KTQ25"/>
      <c r="KTU25"/>
      <c r="KTY25"/>
      <c r="KUC25"/>
      <c r="KUG25"/>
      <c r="KUK25"/>
      <c r="KUO25"/>
      <c r="KUS25"/>
      <c r="KUW25"/>
      <c r="KVA25"/>
      <c r="KVE25"/>
      <c r="KVI25"/>
      <c r="KVM25"/>
      <c r="KVQ25"/>
      <c r="KVU25"/>
      <c r="KVY25"/>
      <c r="KWC25"/>
      <c r="KWG25"/>
      <c r="KWK25"/>
      <c r="KWO25"/>
      <c r="KWS25"/>
      <c r="KWW25"/>
      <c r="KXA25"/>
      <c r="KXE25"/>
      <c r="KXI25"/>
      <c r="KXM25"/>
      <c r="KXQ25"/>
      <c r="KXU25"/>
      <c r="KXY25"/>
      <c r="KYC25"/>
      <c r="KYG25"/>
      <c r="KYK25"/>
      <c r="KYO25"/>
      <c r="KYS25"/>
      <c r="KYW25"/>
      <c r="KZA25"/>
      <c r="KZE25"/>
      <c r="KZI25"/>
      <c r="KZM25"/>
      <c r="KZQ25"/>
      <c r="KZU25"/>
      <c r="KZY25"/>
      <c r="LAC25"/>
      <c r="LAG25"/>
      <c r="LAK25"/>
      <c r="LAO25"/>
      <c r="LAS25"/>
      <c r="LAW25"/>
      <c r="LBA25"/>
      <c r="LBE25"/>
      <c r="LBI25"/>
      <c r="LBM25"/>
      <c r="LBQ25"/>
      <c r="LBU25"/>
      <c r="LBY25"/>
      <c r="LCC25"/>
      <c r="LCG25"/>
      <c r="LCK25"/>
      <c r="LCO25"/>
      <c r="LCS25"/>
      <c r="LCW25"/>
      <c r="LDA25"/>
      <c r="LDE25"/>
      <c r="LDI25"/>
      <c r="LDM25"/>
      <c r="LDQ25"/>
      <c r="LDU25"/>
      <c r="LDY25"/>
      <c r="LEC25"/>
      <c r="LEG25"/>
      <c r="LEK25"/>
      <c r="LEO25"/>
      <c r="LES25"/>
      <c r="LEW25"/>
      <c r="LFA25"/>
      <c r="LFE25"/>
      <c r="LFI25"/>
      <c r="LFM25"/>
      <c r="LFQ25"/>
      <c r="LFU25"/>
      <c r="LFY25"/>
      <c r="LGC25"/>
      <c r="LGG25"/>
      <c r="LGK25"/>
      <c r="LGO25"/>
      <c r="LGS25"/>
      <c r="LGW25"/>
      <c r="LHA25"/>
      <c r="LHE25"/>
      <c r="LHI25"/>
      <c r="LHM25"/>
      <c r="LHQ25"/>
      <c r="LHU25"/>
      <c r="LHY25"/>
      <c r="LIC25"/>
      <c r="LIG25"/>
      <c r="LIK25"/>
      <c r="LIO25"/>
      <c r="LIS25"/>
      <c r="LIW25"/>
      <c r="LJA25"/>
      <c r="LJE25"/>
      <c r="LJI25"/>
      <c r="LJM25"/>
      <c r="LJQ25"/>
      <c r="LJU25"/>
      <c r="LJY25"/>
      <c r="LKC25"/>
      <c r="LKG25"/>
      <c r="LKK25"/>
      <c r="LKO25"/>
      <c r="LKS25"/>
      <c r="LKW25"/>
      <c r="LLA25"/>
      <c r="LLE25"/>
      <c r="LLI25"/>
      <c r="LLM25"/>
      <c r="LLQ25"/>
      <c r="LLU25"/>
      <c r="LLY25"/>
      <c r="LMC25"/>
      <c r="LMG25"/>
      <c r="LMK25"/>
      <c r="LMO25"/>
      <c r="LMS25"/>
      <c r="LMW25"/>
      <c r="LNA25"/>
      <c r="LNE25"/>
      <c r="LNI25"/>
      <c r="LNM25"/>
      <c r="LNQ25"/>
      <c r="LNU25"/>
      <c r="LNY25"/>
      <c r="LOC25"/>
      <c r="LOG25"/>
      <c r="LOK25"/>
      <c r="LOO25"/>
      <c r="LOS25"/>
      <c r="LOW25"/>
      <c r="LPA25"/>
      <c r="LPE25"/>
      <c r="LPI25"/>
      <c r="LPM25"/>
      <c r="LPQ25"/>
      <c r="LPU25"/>
      <c r="LPY25"/>
      <c r="LQC25"/>
      <c r="LQG25"/>
      <c r="LQK25"/>
      <c r="LQO25"/>
      <c r="LQS25"/>
      <c r="LQW25"/>
      <c r="LRA25"/>
      <c r="LRE25"/>
      <c r="LRI25"/>
      <c r="LRM25"/>
      <c r="LRQ25"/>
      <c r="LRU25"/>
      <c r="LRY25"/>
      <c r="LSC25"/>
      <c r="LSG25"/>
      <c r="LSK25"/>
      <c r="LSO25"/>
      <c r="LSS25"/>
      <c r="LSW25"/>
      <c r="LTA25"/>
      <c r="LTE25"/>
      <c r="LTI25"/>
      <c r="LTM25"/>
      <c r="LTQ25"/>
      <c r="LTU25"/>
      <c r="LTY25"/>
      <c r="LUC25"/>
      <c r="LUG25"/>
      <c r="LUK25"/>
      <c r="LUO25"/>
      <c r="LUS25"/>
      <c r="LUW25"/>
      <c r="LVA25"/>
      <c r="LVE25"/>
      <c r="LVI25"/>
      <c r="LVM25"/>
      <c r="LVQ25"/>
      <c r="LVU25"/>
      <c r="LVY25"/>
      <c r="LWC25"/>
      <c r="LWG25"/>
      <c r="LWK25"/>
      <c r="LWO25"/>
      <c r="LWS25"/>
      <c r="LWW25"/>
      <c r="LXA25"/>
      <c r="LXE25"/>
      <c r="LXI25"/>
      <c r="LXM25"/>
      <c r="LXQ25"/>
      <c r="LXU25"/>
      <c r="LXY25"/>
      <c r="LYC25"/>
      <c r="LYG25"/>
      <c r="LYK25"/>
      <c r="LYO25"/>
      <c r="LYS25"/>
      <c r="LYW25"/>
      <c r="LZA25"/>
      <c r="LZE25"/>
      <c r="LZI25"/>
      <c r="LZM25"/>
      <c r="LZQ25"/>
      <c r="LZU25"/>
      <c r="LZY25"/>
      <c r="MAC25"/>
      <c r="MAG25"/>
      <c r="MAK25"/>
      <c r="MAO25"/>
      <c r="MAS25"/>
      <c r="MAW25"/>
      <c r="MBA25"/>
      <c r="MBE25"/>
      <c r="MBI25"/>
      <c r="MBM25"/>
      <c r="MBQ25"/>
      <c r="MBU25"/>
      <c r="MBY25"/>
      <c r="MCC25"/>
      <c r="MCG25"/>
      <c r="MCK25"/>
      <c r="MCO25"/>
      <c r="MCS25"/>
      <c r="MCW25"/>
      <c r="MDA25"/>
      <c r="MDE25"/>
      <c r="MDI25"/>
      <c r="MDM25"/>
      <c r="MDQ25"/>
      <c r="MDU25"/>
      <c r="MDY25"/>
      <c r="MEC25"/>
      <c r="MEG25"/>
      <c r="MEK25"/>
      <c r="MEO25"/>
      <c r="MES25"/>
      <c r="MEW25"/>
      <c r="MFA25"/>
      <c r="MFE25"/>
      <c r="MFI25"/>
      <c r="MFM25"/>
      <c r="MFQ25"/>
      <c r="MFU25"/>
      <c r="MFY25"/>
      <c r="MGC25"/>
      <c r="MGG25"/>
      <c r="MGK25"/>
      <c r="MGO25"/>
      <c r="MGS25"/>
      <c r="MGW25"/>
      <c r="MHA25"/>
      <c r="MHE25"/>
      <c r="MHI25"/>
      <c r="MHM25"/>
      <c r="MHQ25"/>
      <c r="MHU25"/>
      <c r="MHY25"/>
      <c r="MIC25"/>
      <c r="MIG25"/>
      <c r="MIK25"/>
      <c r="MIO25"/>
      <c r="MIS25"/>
      <c r="MIW25"/>
      <c r="MJA25"/>
      <c r="MJE25"/>
      <c r="MJI25"/>
      <c r="MJM25"/>
      <c r="MJQ25"/>
      <c r="MJU25"/>
      <c r="MJY25"/>
      <c r="MKC25"/>
      <c r="MKG25"/>
      <c r="MKK25"/>
      <c r="MKO25"/>
      <c r="MKS25"/>
      <c r="MKW25"/>
      <c r="MLA25"/>
      <c r="MLE25"/>
      <c r="MLI25"/>
      <c r="MLM25"/>
      <c r="MLQ25"/>
      <c r="MLU25"/>
      <c r="MLY25"/>
      <c r="MMC25"/>
      <c r="MMG25"/>
      <c r="MMK25"/>
      <c r="MMO25"/>
      <c r="MMS25"/>
      <c r="MMW25"/>
      <c r="MNA25"/>
      <c r="MNE25"/>
      <c r="MNI25"/>
      <c r="MNM25"/>
      <c r="MNQ25"/>
      <c r="MNU25"/>
      <c r="MNY25"/>
      <c r="MOC25"/>
      <c r="MOG25"/>
      <c r="MOK25"/>
      <c r="MOO25"/>
      <c r="MOS25"/>
      <c r="MOW25"/>
      <c r="MPA25"/>
      <c r="MPE25"/>
      <c r="MPI25"/>
      <c r="MPM25"/>
      <c r="MPQ25"/>
      <c r="MPU25"/>
      <c r="MPY25"/>
      <c r="MQC25"/>
      <c r="MQG25"/>
      <c r="MQK25"/>
      <c r="MQO25"/>
      <c r="MQS25"/>
      <c r="MQW25"/>
      <c r="MRA25"/>
      <c r="MRE25"/>
      <c r="MRI25"/>
      <c r="MRM25"/>
      <c r="MRQ25"/>
      <c r="MRU25"/>
      <c r="MRY25"/>
      <c r="MSC25"/>
      <c r="MSG25"/>
      <c r="MSK25"/>
      <c r="MSO25"/>
      <c r="MSS25"/>
      <c r="MSW25"/>
      <c r="MTA25"/>
      <c r="MTE25"/>
      <c r="MTI25"/>
      <c r="MTM25"/>
      <c r="MTQ25"/>
      <c r="MTU25"/>
      <c r="MTY25"/>
      <c r="MUC25"/>
      <c r="MUG25"/>
      <c r="MUK25"/>
      <c r="MUO25"/>
      <c r="MUS25"/>
      <c r="MUW25"/>
      <c r="MVA25"/>
      <c r="MVE25"/>
      <c r="MVI25"/>
      <c r="MVM25"/>
      <c r="MVQ25"/>
      <c r="MVU25"/>
      <c r="MVY25"/>
      <c r="MWC25"/>
      <c r="MWG25"/>
      <c r="MWK25"/>
      <c r="MWO25"/>
      <c r="MWS25"/>
      <c r="MWW25"/>
      <c r="MXA25"/>
      <c r="MXE25"/>
      <c r="MXI25"/>
      <c r="MXM25"/>
      <c r="MXQ25"/>
      <c r="MXU25"/>
      <c r="MXY25"/>
      <c r="MYC25"/>
      <c r="MYG25"/>
      <c r="MYK25"/>
      <c r="MYO25"/>
      <c r="MYS25"/>
      <c r="MYW25"/>
      <c r="MZA25"/>
      <c r="MZE25"/>
      <c r="MZI25"/>
      <c r="MZM25"/>
      <c r="MZQ25"/>
      <c r="MZU25"/>
      <c r="MZY25"/>
      <c r="NAC25"/>
      <c r="NAG25"/>
      <c r="NAK25"/>
      <c r="NAO25"/>
      <c r="NAS25"/>
      <c r="NAW25"/>
      <c r="NBA25"/>
      <c r="NBE25"/>
      <c r="NBI25"/>
      <c r="NBM25"/>
      <c r="NBQ25"/>
      <c r="NBU25"/>
      <c r="NBY25"/>
      <c r="NCC25"/>
      <c r="NCG25"/>
      <c r="NCK25"/>
      <c r="NCO25"/>
      <c r="NCS25"/>
      <c r="NCW25"/>
      <c r="NDA25"/>
      <c r="NDE25"/>
      <c r="NDI25"/>
      <c r="NDM25"/>
      <c r="NDQ25"/>
      <c r="NDU25"/>
      <c r="NDY25"/>
      <c r="NEC25"/>
      <c r="NEG25"/>
      <c r="NEK25"/>
      <c r="NEO25"/>
      <c r="NES25"/>
      <c r="NEW25"/>
      <c r="NFA25"/>
      <c r="NFE25"/>
      <c r="NFI25"/>
      <c r="NFM25"/>
      <c r="NFQ25"/>
      <c r="NFU25"/>
      <c r="NFY25"/>
      <c r="NGC25"/>
      <c r="NGG25"/>
      <c r="NGK25"/>
      <c r="NGO25"/>
      <c r="NGS25"/>
      <c r="NGW25"/>
      <c r="NHA25"/>
      <c r="NHE25"/>
      <c r="NHI25"/>
      <c r="NHM25"/>
      <c r="NHQ25"/>
      <c r="NHU25"/>
      <c r="NHY25"/>
      <c r="NIC25"/>
      <c r="NIG25"/>
      <c r="NIK25"/>
      <c r="NIO25"/>
      <c r="NIS25"/>
      <c r="NIW25"/>
      <c r="NJA25"/>
      <c r="NJE25"/>
      <c r="NJI25"/>
      <c r="NJM25"/>
      <c r="NJQ25"/>
      <c r="NJU25"/>
      <c r="NJY25"/>
      <c r="NKC25"/>
      <c r="NKG25"/>
      <c r="NKK25"/>
      <c r="NKO25"/>
      <c r="NKS25"/>
      <c r="NKW25"/>
      <c r="NLA25"/>
      <c r="NLE25"/>
      <c r="NLI25"/>
      <c r="NLM25"/>
      <c r="NLQ25"/>
      <c r="NLU25"/>
      <c r="NLY25"/>
      <c r="NMC25"/>
      <c r="NMG25"/>
      <c r="NMK25"/>
      <c r="NMO25"/>
      <c r="NMS25"/>
      <c r="NMW25"/>
      <c r="NNA25"/>
      <c r="NNE25"/>
      <c r="NNI25"/>
      <c r="NNM25"/>
      <c r="NNQ25"/>
      <c r="NNU25"/>
      <c r="NNY25"/>
      <c r="NOC25"/>
      <c r="NOG25"/>
      <c r="NOK25"/>
      <c r="NOO25"/>
      <c r="NOS25"/>
      <c r="NOW25"/>
      <c r="NPA25"/>
      <c r="NPE25"/>
      <c r="NPI25"/>
      <c r="NPM25"/>
      <c r="NPQ25"/>
      <c r="NPU25"/>
      <c r="NPY25"/>
      <c r="NQC25"/>
      <c r="NQG25"/>
      <c r="NQK25"/>
      <c r="NQO25"/>
      <c r="NQS25"/>
      <c r="NQW25"/>
      <c r="NRA25"/>
      <c r="NRE25"/>
      <c r="NRI25"/>
      <c r="NRM25"/>
      <c r="NRQ25"/>
      <c r="NRU25"/>
      <c r="NRY25"/>
      <c r="NSC25"/>
      <c r="NSG25"/>
      <c r="NSK25"/>
      <c r="NSO25"/>
      <c r="NSS25"/>
      <c r="NSW25"/>
      <c r="NTA25"/>
      <c r="NTE25"/>
      <c r="NTI25"/>
      <c r="NTM25"/>
      <c r="NTQ25"/>
      <c r="NTU25"/>
      <c r="NTY25"/>
      <c r="NUC25"/>
      <c r="NUG25"/>
      <c r="NUK25"/>
      <c r="NUO25"/>
      <c r="NUS25"/>
      <c r="NUW25"/>
      <c r="NVA25"/>
      <c r="NVE25"/>
      <c r="NVI25"/>
      <c r="NVM25"/>
      <c r="NVQ25"/>
      <c r="NVU25"/>
      <c r="NVY25"/>
      <c r="NWC25"/>
      <c r="NWG25"/>
      <c r="NWK25"/>
      <c r="NWO25"/>
      <c r="NWS25"/>
      <c r="NWW25"/>
      <c r="NXA25"/>
      <c r="NXE25"/>
      <c r="NXI25"/>
      <c r="NXM25"/>
      <c r="NXQ25"/>
      <c r="NXU25"/>
      <c r="NXY25"/>
      <c r="NYC25"/>
      <c r="NYG25"/>
      <c r="NYK25"/>
      <c r="NYO25"/>
      <c r="NYS25"/>
      <c r="NYW25"/>
      <c r="NZA25"/>
      <c r="NZE25"/>
      <c r="NZI25"/>
      <c r="NZM25"/>
      <c r="NZQ25"/>
      <c r="NZU25"/>
      <c r="NZY25"/>
      <c r="OAC25"/>
      <c r="OAG25"/>
      <c r="OAK25"/>
      <c r="OAO25"/>
      <c r="OAS25"/>
      <c r="OAW25"/>
      <c r="OBA25"/>
      <c r="OBE25"/>
      <c r="OBI25"/>
      <c r="OBM25"/>
      <c r="OBQ25"/>
      <c r="OBU25"/>
      <c r="OBY25"/>
      <c r="OCC25"/>
      <c r="OCG25"/>
      <c r="OCK25"/>
      <c r="OCO25"/>
      <c r="OCS25"/>
      <c r="OCW25"/>
      <c r="ODA25"/>
      <c r="ODE25"/>
      <c r="ODI25"/>
      <c r="ODM25"/>
      <c r="ODQ25"/>
      <c r="ODU25"/>
      <c r="ODY25"/>
      <c r="OEC25"/>
      <c r="OEG25"/>
      <c r="OEK25"/>
      <c r="OEO25"/>
      <c r="OES25"/>
      <c r="OEW25"/>
      <c r="OFA25"/>
      <c r="OFE25"/>
      <c r="OFI25"/>
      <c r="OFM25"/>
      <c r="OFQ25"/>
      <c r="OFU25"/>
      <c r="OFY25"/>
      <c r="OGC25"/>
      <c r="OGG25"/>
      <c r="OGK25"/>
      <c r="OGO25"/>
      <c r="OGS25"/>
      <c r="OGW25"/>
      <c r="OHA25"/>
      <c r="OHE25"/>
      <c r="OHI25"/>
      <c r="OHM25"/>
      <c r="OHQ25"/>
      <c r="OHU25"/>
      <c r="OHY25"/>
      <c r="OIC25"/>
      <c r="OIG25"/>
      <c r="OIK25"/>
      <c r="OIO25"/>
      <c r="OIS25"/>
      <c r="OIW25"/>
      <c r="OJA25"/>
      <c r="OJE25"/>
      <c r="OJI25"/>
      <c r="OJM25"/>
      <c r="OJQ25"/>
      <c r="OJU25"/>
      <c r="OJY25"/>
      <c r="OKC25"/>
      <c r="OKG25"/>
      <c r="OKK25"/>
      <c r="OKO25"/>
      <c r="OKS25"/>
      <c r="OKW25"/>
      <c r="OLA25"/>
      <c r="OLE25"/>
      <c r="OLI25"/>
      <c r="OLM25"/>
      <c r="OLQ25"/>
      <c r="OLU25"/>
      <c r="OLY25"/>
      <c r="OMC25"/>
      <c r="OMG25"/>
      <c r="OMK25"/>
      <c r="OMO25"/>
      <c r="OMS25"/>
      <c r="OMW25"/>
      <c r="ONA25"/>
      <c r="ONE25"/>
      <c r="ONI25"/>
      <c r="ONM25"/>
      <c r="ONQ25"/>
      <c r="ONU25"/>
      <c r="ONY25"/>
      <c r="OOC25"/>
      <c r="OOG25"/>
      <c r="OOK25"/>
      <c r="OOO25"/>
      <c r="OOS25"/>
      <c r="OOW25"/>
      <c r="OPA25"/>
      <c r="OPE25"/>
      <c r="OPI25"/>
      <c r="OPM25"/>
      <c r="OPQ25"/>
      <c r="OPU25"/>
      <c r="OPY25"/>
      <c r="OQC25"/>
      <c r="OQG25"/>
      <c r="OQK25"/>
      <c r="OQO25"/>
      <c r="OQS25"/>
      <c r="OQW25"/>
      <c r="ORA25"/>
      <c r="ORE25"/>
      <c r="ORI25"/>
      <c r="ORM25"/>
      <c r="ORQ25"/>
      <c r="ORU25"/>
      <c r="ORY25"/>
      <c r="OSC25"/>
      <c r="OSG25"/>
      <c r="OSK25"/>
      <c r="OSO25"/>
      <c r="OSS25"/>
      <c r="OSW25"/>
      <c r="OTA25"/>
      <c r="OTE25"/>
      <c r="OTI25"/>
      <c r="OTM25"/>
      <c r="OTQ25"/>
      <c r="OTU25"/>
      <c r="OTY25"/>
      <c r="OUC25"/>
      <c r="OUG25"/>
      <c r="OUK25"/>
      <c r="OUO25"/>
      <c r="OUS25"/>
      <c r="OUW25"/>
      <c r="OVA25"/>
      <c r="OVE25"/>
      <c r="OVI25"/>
      <c r="OVM25"/>
      <c r="OVQ25"/>
      <c r="OVU25"/>
      <c r="OVY25"/>
      <c r="OWC25"/>
      <c r="OWG25"/>
      <c r="OWK25"/>
      <c r="OWO25"/>
      <c r="OWS25"/>
      <c r="OWW25"/>
      <c r="OXA25"/>
      <c r="OXE25"/>
      <c r="OXI25"/>
      <c r="OXM25"/>
      <c r="OXQ25"/>
      <c r="OXU25"/>
      <c r="OXY25"/>
      <c r="OYC25"/>
      <c r="OYG25"/>
      <c r="OYK25"/>
      <c r="OYO25"/>
      <c r="OYS25"/>
      <c r="OYW25"/>
      <c r="OZA25"/>
      <c r="OZE25"/>
      <c r="OZI25"/>
      <c r="OZM25"/>
      <c r="OZQ25"/>
      <c r="OZU25"/>
      <c r="OZY25"/>
      <c r="PAC25"/>
      <c r="PAG25"/>
      <c r="PAK25"/>
      <c r="PAO25"/>
      <c r="PAS25"/>
      <c r="PAW25"/>
      <c r="PBA25"/>
      <c r="PBE25"/>
      <c r="PBI25"/>
      <c r="PBM25"/>
      <c r="PBQ25"/>
      <c r="PBU25"/>
      <c r="PBY25"/>
      <c r="PCC25"/>
      <c r="PCG25"/>
      <c r="PCK25"/>
      <c r="PCO25"/>
      <c r="PCS25"/>
      <c r="PCW25"/>
      <c r="PDA25"/>
      <c r="PDE25"/>
      <c r="PDI25"/>
      <c r="PDM25"/>
      <c r="PDQ25"/>
      <c r="PDU25"/>
      <c r="PDY25"/>
      <c r="PEC25"/>
      <c r="PEG25"/>
      <c r="PEK25"/>
      <c r="PEO25"/>
      <c r="PES25"/>
      <c r="PEW25"/>
      <c r="PFA25"/>
      <c r="PFE25"/>
      <c r="PFI25"/>
      <c r="PFM25"/>
      <c r="PFQ25"/>
      <c r="PFU25"/>
      <c r="PFY25"/>
      <c r="PGC25"/>
      <c r="PGG25"/>
      <c r="PGK25"/>
      <c r="PGO25"/>
      <c r="PGS25"/>
      <c r="PGW25"/>
      <c r="PHA25"/>
      <c r="PHE25"/>
      <c r="PHI25"/>
      <c r="PHM25"/>
      <c r="PHQ25"/>
      <c r="PHU25"/>
      <c r="PHY25"/>
      <c r="PIC25"/>
      <c r="PIG25"/>
      <c r="PIK25"/>
      <c r="PIO25"/>
      <c r="PIS25"/>
      <c r="PIW25"/>
      <c r="PJA25"/>
      <c r="PJE25"/>
      <c r="PJI25"/>
      <c r="PJM25"/>
      <c r="PJQ25"/>
      <c r="PJU25"/>
      <c r="PJY25"/>
      <c r="PKC25"/>
      <c r="PKG25"/>
      <c r="PKK25"/>
      <c r="PKO25"/>
      <c r="PKS25"/>
      <c r="PKW25"/>
      <c r="PLA25"/>
      <c r="PLE25"/>
      <c r="PLI25"/>
      <c r="PLM25"/>
      <c r="PLQ25"/>
      <c r="PLU25"/>
      <c r="PLY25"/>
      <c r="PMC25"/>
      <c r="PMG25"/>
      <c r="PMK25"/>
      <c r="PMO25"/>
      <c r="PMS25"/>
      <c r="PMW25"/>
      <c r="PNA25"/>
      <c r="PNE25"/>
      <c r="PNI25"/>
      <c r="PNM25"/>
      <c r="PNQ25"/>
      <c r="PNU25"/>
      <c r="PNY25"/>
      <c r="POC25"/>
      <c r="POG25"/>
      <c r="POK25"/>
      <c r="POO25"/>
      <c r="POS25"/>
      <c r="POW25"/>
      <c r="PPA25"/>
      <c r="PPE25"/>
      <c r="PPI25"/>
      <c r="PPM25"/>
      <c r="PPQ25"/>
      <c r="PPU25"/>
      <c r="PPY25"/>
      <c r="PQC25"/>
      <c r="PQG25"/>
      <c r="PQK25"/>
      <c r="PQO25"/>
      <c r="PQS25"/>
      <c r="PQW25"/>
      <c r="PRA25"/>
      <c r="PRE25"/>
      <c r="PRI25"/>
      <c r="PRM25"/>
      <c r="PRQ25"/>
      <c r="PRU25"/>
      <c r="PRY25"/>
      <c r="PSC25"/>
      <c r="PSG25"/>
      <c r="PSK25"/>
      <c r="PSO25"/>
      <c r="PSS25"/>
      <c r="PSW25"/>
      <c r="PTA25"/>
      <c r="PTE25"/>
      <c r="PTI25"/>
      <c r="PTM25"/>
      <c r="PTQ25"/>
      <c r="PTU25"/>
      <c r="PTY25"/>
      <c r="PUC25"/>
      <c r="PUG25"/>
      <c r="PUK25"/>
      <c r="PUO25"/>
      <c r="PUS25"/>
      <c r="PUW25"/>
      <c r="PVA25"/>
      <c r="PVE25"/>
      <c r="PVI25"/>
      <c r="PVM25"/>
      <c r="PVQ25"/>
      <c r="PVU25"/>
      <c r="PVY25"/>
      <c r="PWC25"/>
      <c r="PWG25"/>
      <c r="PWK25"/>
      <c r="PWO25"/>
      <c r="PWS25"/>
      <c r="PWW25"/>
      <c r="PXA25"/>
      <c r="PXE25"/>
      <c r="PXI25"/>
      <c r="PXM25"/>
      <c r="PXQ25"/>
      <c r="PXU25"/>
      <c r="PXY25"/>
      <c r="PYC25"/>
      <c r="PYG25"/>
      <c r="PYK25"/>
      <c r="PYO25"/>
      <c r="PYS25"/>
      <c r="PYW25"/>
      <c r="PZA25"/>
      <c r="PZE25"/>
      <c r="PZI25"/>
      <c r="PZM25"/>
      <c r="PZQ25"/>
      <c r="PZU25"/>
      <c r="PZY25"/>
      <c r="QAC25"/>
      <c r="QAG25"/>
      <c r="QAK25"/>
      <c r="QAO25"/>
      <c r="QAS25"/>
      <c r="QAW25"/>
      <c r="QBA25"/>
      <c r="QBE25"/>
      <c r="QBI25"/>
      <c r="QBM25"/>
      <c r="QBQ25"/>
      <c r="QBU25"/>
      <c r="QBY25"/>
      <c r="QCC25"/>
      <c r="QCG25"/>
      <c r="QCK25"/>
      <c r="QCO25"/>
      <c r="QCS25"/>
      <c r="QCW25"/>
      <c r="QDA25"/>
      <c r="QDE25"/>
      <c r="QDI25"/>
      <c r="QDM25"/>
      <c r="QDQ25"/>
      <c r="QDU25"/>
      <c r="QDY25"/>
      <c r="QEC25"/>
      <c r="QEG25"/>
      <c r="QEK25"/>
      <c r="QEO25"/>
      <c r="QES25"/>
      <c r="QEW25"/>
      <c r="QFA25"/>
      <c r="QFE25"/>
      <c r="QFI25"/>
      <c r="QFM25"/>
      <c r="QFQ25"/>
      <c r="QFU25"/>
      <c r="QFY25"/>
      <c r="QGC25"/>
      <c r="QGG25"/>
      <c r="QGK25"/>
      <c r="QGO25"/>
      <c r="QGS25"/>
      <c r="QGW25"/>
      <c r="QHA25"/>
      <c r="QHE25"/>
      <c r="QHI25"/>
      <c r="QHM25"/>
      <c r="QHQ25"/>
      <c r="QHU25"/>
      <c r="QHY25"/>
      <c r="QIC25"/>
      <c r="QIG25"/>
      <c r="QIK25"/>
      <c r="QIO25"/>
      <c r="QIS25"/>
      <c r="QIW25"/>
      <c r="QJA25"/>
      <c r="QJE25"/>
      <c r="QJI25"/>
      <c r="QJM25"/>
      <c r="QJQ25"/>
      <c r="QJU25"/>
      <c r="QJY25"/>
      <c r="QKC25"/>
      <c r="QKG25"/>
      <c r="QKK25"/>
      <c r="QKO25"/>
      <c r="QKS25"/>
      <c r="QKW25"/>
      <c r="QLA25"/>
      <c r="QLE25"/>
      <c r="QLI25"/>
      <c r="QLM25"/>
      <c r="QLQ25"/>
      <c r="QLU25"/>
      <c r="QLY25"/>
      <c r="QMC25"/>
      <c r="QMG25"/>
      <c r="QMK25"/>
      <c r="QMO25"/>
      <c r="QMS25"/>
      <c r="QMW25"/>
      <c r="QNA25"/>
      <c r="QNE25"/>
      <c r="QNI25"/>
      <c r="QNM25"/>
      <c r="QNQ25"/>
      <c r="QNU25"/>
      <c r="QNY25"/>
      <c r="QOC25"/>
      <c r="QOG25"/>
      <c r="QOK25"/>
      <c r="QOO25"/>
      <c r="QOS25"/>
      <c r="QOW25"/>
      <c r="QPA25"/>
      <c r="QPE25"/>
      <c r="QPI25"/>
      <c r="QPM25"/>
      <c r="QPQ25"/>
      <c r="QPU25"/>
      <c r="QPY25"/>
      <c r="QQC25"/>
      <c r="QQG25"/>
      <c r="QQK25"/>
      <c r="QQO25"/>
      <c r="QQS25"/>
      <c r="QQW25"/>
      <c r="QRA25"/>
      <c r="QRE25"/>
      <c r="QRI25"/>
      <c r="QRM25"/>
      <c r="QRQ25"/>
      <c r="QRU25"/>
      <c r="QRY25"/>
      <c r="QSC25"/>
      <c r="QSG25"/>
      <c r="QSK25"/>
      <c r="QSO25"/>
      <c r="QSS25"/>
      <c r="QSW25"/>
      <c r="QTA25"/>
      <c r="QTE25"/>
      <c r="QTI25"/>
      <c r="QTM25"/>
      <c r="QTQ25"/>
      <c r="QTU25"/>
      <c r="QTY25"/>
      <c r="QUC25"/>
      <c r="QUG25"/>
      <c r="QUK25"/>
      <c r="QUO25"/>
      <c r="QUS25"/>
      <c r="QUW25"/>
      <c r="QVA25"/>
      <c r="QVE25"/>
      <c r="QVI25"/>
      <c r="QVM25"/>
      <c r="QVQ25"/>
      <c r="QVU25"/>
      <c r="QVY25"/>
      <c r="QWC25"/>
      <c r="QWG25"/>
      <c r="QWK25"/>
      <c r="QWO25"/>
      <c r="QWS25"/>
      <c r="QWW25"/>
      <c r="QXA25"/>
      <c r="QXE25"/>
      <c r="QXI25"/>
      <c r="QXM25"/>
      <c r="QXQ25"/>
      <c r="QXU25"/>
      <c r="QXY25"/>
      <c r="QYC25"/>
      <c r="QYG25"/>
      <c r="QYK25"/>
      <c r="QYO25"/>
      <c r="QYS25"/>
      <c r="QYW25"/>
      <c r="QZA25"/>
      <c r="QZE25"/>
      <c r="QZI25"/>
      <c r="QZM25"/>
      <c r="QZQ25"/>
      <c r="QZU25"/>
      <c r="QZY25"/>
      <c r="RAC25"/>
      <c r="RAG25"/>
      <c r="RAK25"/>
      <c r="RAO25"/>
      <c r="RAS25"/>
      <c r="RAW25"/>
      <c r="RBA25"/>
      <c r="RBE25"/>
      <c r="RBI25"/>
      <c r="RBM25"/>
      <c r="RBQ25"/>
      <c r="RBU25"/>
      <c r="RBY25"/>
      <c r="RCC25"/>
      <c r="RCG25"/>
      <c r="RCK25"/>
      <c r="RCO25"/>
      <c r="RCS25"/>
      <c r="RCW25"/>
      <c r="RDA25"/>
      <c r="RDE25"/>
      <c r="RDI25"/>
      <c r="RDM25"/>
      <c r="RDQ25"/>
      <c r="RDU25"/>
      <c r="RDY25"/>
      <c r="REC25"/>
      <c r="REG25"/>
      <c r="REK25"/>
      <c r="REO25"/>
      <c r="RES25"/>
      <c r="REW25"/>
      <c r="RFA25"/>
      <c r="RFE25"/>
      <c r="RFI25"/>
      <c r="RFM25"/>
      <c r="RFQ25"/>
      <c r="RFU25"/>
      <c r="RFY25"/>
      <c r="RGC25"/>
      <c r="RGG25"/>
      <c r="RGK25"/>
      <c r="RGO25"/>
      <c r="RGS25"/>
      <c r="RGW25"/>
      <c r="RHA25"/>
      <c r="RHE25"/>
      <c r="RHI25"/>
      <c r="RHM25"/>
      <c r="RHQ25"/>
      <c r="RHU25"/>
      <c r="RHY25"/>
      <c r="RIC25"/>
      <c r="RIG25"/>
      <c r="RIK25"/>
      <c r="RIO25"/>
      <c r="RIS25"/>
      <c r="RIW25"/>
      <c r="RJA25"/>
      <c r="RJE25"/>
      <c r="RJI25"/>
      <c r="RJM25"/>
      <c r="RJQ25"/>
      <c r="RJU25"/>
      <c r="RJY25"/>
      <c r="RKC25"/>
      <c r="RKG25"/>
      <c r="RKK25"/>
      <c r="RKO25"/>
      <c r="RKS25"/>
      <c r="RKW25"/>
      <c r="RLA25"/>
      <c r="RLE25"/>
      <c r="RLI25"/>
      <c r="RLM25"/>
      <c r="RLQ25"/>
      <c r="RLU25"/>
      <c r="RLY25"/>
      <c r="RMC25"/>
      <c r="RMG25"/>
      <c r="RMK25"/>
      <c r="RMO25"/>
      <c r="RMS25"/>
      <c r="RMW25"/>
      <c r="RNA25"/>
      <c r="RNE25"/>
      <c r="RNI25"/>
      <c r="RNM25"/>
      <c r="RNQ25"/>
      <c r="RNU25"/>
      <c r="RNY25"/>
      <c r="ROC25"/>
      <c r="ROG25"/>
      <c r="ROK25"/>
      <c r="ROO25"/>
      <c r="ROS25"/>
      <c r="ROW25"/>
      <c r="RPA25"/>
      <c r="RPE25"/>
      <c r="RPI25"/>
      <c r="RPM25"/>
      <c r="RPQ25"/>
      <c r="RPU25"/>
      <c r="RPY25"/>
      <c r="RQC25"/>
      <c r="RQG25"/>
      <c r="RQK25"/>
      <c r="RQO25"/>
      <c r="RQS25"/>
      <c r="RQW25"/>
      <c r="RRA25"/>
      <c r="RRE25"/>
      <c r="RRI25"/>
      <c r="RRM25"/>
      <c r="RRQ25"/>
      <c r="RRU25"/>
      <c r="RRY25"/>
      <c r="RSC25"/>
      <c r="RSG25"/>
      <c r="RSK25"/>
      <c r="RSO25"/>
      <c r="RSS25"/>
      <c r="RSW25"/>
      <c r="RTA25"/>
      <c r="RTE25"/>
      <c r="RTI25"/>
      <c r="RTM25"/>
      <c r="RTQ25"/>
      <c r="RTU25"/>
      <c r="RTY25"/>
      <c r="RUC25"/>
      <c r="RUG25"/>
      <c r="RUK25"/>
      <c r="RUO25"/>
      <c r="RUS25"/>
      <c r="RUW25"/>
      <c r="RVA25"/>
      <c r="RVE25"/>
      <c r="RVI25"/>
      <c r="RVM25"/>
      <c r="RVQ25"/>
      <c r="RVU25"/>
      <c r="RVY25"/>
      <c r="RWC25"/>
      <c r="RWG25"/>
      <c r="RWK25"/>
      <c r="RWO25"/>
      <c r="RWS25"/>
      <c r="RWW25"/>
      <c r="RXA25"/>
      <c r="RXE25"/>
      <c r="RXI25"/>
      <c r="RXM25"/>
      <c r="RXQ25"/>
      <c r="RXU25"/>
      <c r="RXY25"/>
      <c r="RYC25"/>
      <c r="RYG25"/>
      <c r="RYK25"/>
      <c r="RYO25"/>
      <c r="RYS25"/>
      <c r="RYW25"/>
      <c r="RZA25"/>
      <c r="RZE25"/>
      <c r="RZI25"/>
      <c r="RZM25"/>
      <c r="RZQ25"/>
      <c r="RZU25"/>
      <c r="RZY25"/>
      <c r="SAC25"/>
      <c r="SAG25"/>
      <c r="SAK25"/>
      <c r="SAO25"/>
      <c r="SAS25"/>
      <c r="SAW25"/>
      <c r="SBA25"/>
      <c r="SBE25"/>
      <c r="SBI25"/>
      <c r="SBM25"/>
      <c r="SBQ25"/>
      <c r="SBU25"/>
      <c r="SBY25"/>
      <c r="SCC25"/>
      <c r="SCG25"/>
      <c r="SCK25"/>
      <c r="SCO25"/>
      <c r="SCS25"/>
      <c r="SCW25"/>
      <c r="SDA25"/>
      <c r="SDE25"/>
      <c r="SDI25"/>
      <c r="SDM25"/>
      <c r="SDQ25"/>
      <c r="SDU25"/>
      <c r="SDY25"/>
      <c r="SEC25"/>
      <c r="SEG25"/>
      <c r="SEK25"/>
      <c r="SEO25"/>
      <c r="SES25"/>
      <c r="SEW25"/>
      <c r="SFA25"/>
      <c r="SFE25"/>
      <c r="SFI25"/>
      <c r="SFM25"/>
      <c r="SFQ25"/>
      <c r="SFU25"/>
      <c r="SFY25"/>
      <c r="SGC25"/>
      <c r="SGG25"/>
      <c r="SGK25"/>
      <c r="SGO25"/>
      <c r="SGS25"/>
      <c r="SGW25"/>
      <c r="SHA25"/>
      <c r="SHE25"/>
      <c r="SHI25"/>
      <c r="SHM25"/>
      <c r="SHQ25"/>
      <c r="SHU25"/>
      <c r="SHY25"/>
      <c r="SIC25"/>
      <c r="SIG25"/>
      <c r="SIK25"/>
      <c r="SIO25"/>
      <c r="SIS25"/>
      <c r="SIW25"/>
      <c r="SJA25"/>
      <c r="SJE25"/>
      <c r="SJI25"/>
      <c r="SJM25"/>
      <c r="SJQ25"/>
      <c r="SJU25"/>
      <c r="SJY25"/>
      <c r="SKC25"/>
      <c r="SKG25"/>
      <c r="SKK25"/>
      <c r="SKO25"/>
      <c r="SKS25"/>
      <c r="SKW25"/>
      <c r="SLA25"/>
      <c r="SLE25"/>
      <c r="SLI25"/>
      <c r="SLM25"/>
      <c r="SLQ25"/>
      <c r="SLU25"/>
      <c r="SLY25"/>
      <c r="SMC25"/>
      <c r="SMG25"/>
      <c r="SMK25"/>
      <c r="SMO25"/>
      <c r="SMS25"/>
      <c r="SMW25"/>
      <c r="SNA25"/>
      <c r="SNE25"/>
      <c r="SNI25"/>
      <c r="SNM25"/>
      <c r="SNQ25"/>
      <c r="SNU25"/>
      <c r="SNY25"/>
      <c r="SOC25"/>
      <c r="SOG25"/>
      <c r="SOK25"/>
      <c r="SOO25"/>
      <c r="SOS25"/>
      <c r="SOW25"/>
      <c r="SPA25"/>
      <c r="SPE25"/>
      <c r="SPI25"/>
      <c r="SPM25"/>
      <c r="SPQ25"/>
      <c r="SPU25"/>
      <c r="SPY25"/>
      <c r="SQC25"/>
      <c r="SQG25"/>
      <c r="SQK25"/>
      <c r="SQO25"/>
      <c r="SQS25"/>
      <c r="SQW25"/>
      <c r="SRA25"/>
      <c r="SRE25"/>
      <c r="SRI25"/>
      <c r="SRM25"/>
      <c r="SRQ25"/>
      <c r="SRU25"/>
      <c r="SRY25"/>
      <c r="SSC25"/>
      <c r="SSG25"/>
      <c r="SSK25"/>
      <c r="SSO25"/>
      <c r="SSS25"/>
      <c r="SSW25"/>
      <c r="STA25"/>
      <c r="STE25"/>
      <c r="STI25"/>
      <c r="STM25"/>
      <c r="STQ25"/>
      <c r="STU25"/>
      <c r="STY25"/>
      <c r="SUC25"/>
      <c r="SUG25"/>
      <c r="SUK25"/>
      <c r="SUO25"/>
      <c r="SUS25"/>
      <c r="SUW25"/>
      <c r="SVA25"/>
      <c r="SVE25"/>
      <c r="SVI25"/>
      <c r="SVM25"/>
      <c r="SVQ25"/>
      <c r="SVU25"/>
      <c r="SVY25"/>
      <c r="SWC25"/>
      <c r="SWG25"/>
      <c r="SWK25"/>
      <c r="SWO25"/>
      <c r="SWS25"/>
      <c r="SWW25"/>
      <c r="SXA25"/>
      <c r="SXE25"/>
      <c r="SXI25"/>
      <c r="SXM25"/>
      <c r="SXQ25"/>
      <c r="SXU25"/>
      <c r="SXY25"/>
      <c r="SYC25"/>
      <c r="SYG25"/>
      <c r="SYK25"/>
      <c r="SYO25"/>
      <c r="SYS25"/>
      <c r="SYW25"/>
      <c r="SZA25"/>
      <c r="SZE25"/>
      <c r="SZI25"/>
      <c r="SZM25"/>
      <c r="SZQ25"/>
      <c r="SZU25"/>
      <c r="SZY25"/>
      <c r="TAC25"/>
      <c r="TAG25"/>
      <c r="TAK25"/>
      <c r="TAO25"/>
      <c r="TAS25"/>
      <c r="TAW25"/>
      <c r="TBA25"/>
      <c r="TBE25"/>
      <c r="TBI25"/>
      <c r="TBM25"/>
      <c r="TBQ25"/>
      <c r="TBU25"/>
      <c r="TBY25"/>
      <c r="TCC25"/>
      <c r="TCG25"/>
      <c r="TCK25"/>
      <c r="TCO25"/>
      <c r="TCS25"/>
      <c r="TCW25"/>
      <c r="TDA25"/>
      <c r="TDE25"/>
      <c r="TDI25"/>
      <c r="TDM25"/>
      <c r="TDQ25"/>
      <c r="TDU25"/>
      <c r="TDY25"/>
      <c r="TEC25"/>
      <c r="TEG25"/>
      <c r="TEK25"/>
      <c r="TEO25"/>
      <c r="TES25"/>
      <c r="TEW25"/>
      <c r="TFA25"/>
      <c r="TFE25"/>
      <c r="TFI25"/>
      <c r="TFM25"/>
      <c r="TFQ25"/>
      <c r="TFU25"/>
      <c r="TFY25"/>
      <c r="TGC25"/>
      <c r="TGG25"/>
      <c r="TGK25"/>
      <c r="TGO25"/>
      <c r="TGS25"/>
      <c r="TGW25"/>
      <c r="THA25"/>
      <c r="THE25"/>
      <c r="THI25"/>
      <c r="THM25"/>
      <c r="THQ25"/>
      <c r="THU25"/>
      <c r="THY25"/>
      <c r="TIC25"/>
      <c r="TIG25"/>
      <c r="TIK25"/>
      <c r="TIO25"/>
      <c r="TIS25"/>
      <c r="TIW25"/>
      <c r="TJA25"/>
      <c r="TJE25"/>
      <c r="TJI25"/>
      <c r="TJM25"/>
      <c r="TJQ25"/>
      <c r="TJU25"/>
      <c r="TJY25"/>
      <c r="TKC25"/>
      <c r="TKG25"/>
      <c r="TKK25"/>
      <c r="TKO25"/>
      <c r="TKS25"/>
      <c r="TKW25"/>
      <c r="TLA25"/>
      <c r="TLE25"/>
      <c r="TLI25"/>
      <c r="TLM25"/>
      <c r="TLQ25"/>
      <c r="TLU25"/>
      <c r="TLY25"/>
      <c r="TMC25"/>
      <c r="TMG25"/>
      <c r="TMK25"/>
      <c r="TMO25"/>
      <c r="TMS25"/>
      <c r="TMW25"/>
      <c r="TNA25"/>
      <c r="TNE25"/>
      <c r="TNI25"/>
      <c r="TNM25"/>
      <c r="TNQ25"/>
      <c r="TNU25"/>
      <c r="TNY25"/>
      <c r="TOC25"/>
      <c r="TOG25"/>
      <c r="TOK25"/>
      <c r="TOO25"/>
      <c r="TOS25"/>
      <c r="TOW25"/>
      <c r="TPA25"/>
      <c r="TPE25"/>
      <c r="TPI25"/>
      <c r="TPM25"/>
      <c r="TPQ25"/>
      <c r="TPU25"/>
      <c r="TPY25"/>
      <c r="TQC25"/>
      <c r="TQG25"/>
      <c r="TQK25"/>
      <c r="TQO25"/>
      <c r="TQS25"/>
      <c r="TQW25"/>
      <c r="TRA25"/>
      <c r="TRE25"/>
      <c r="TRI25"/>
      <c r="TRM25"/>
      <c r="TRQ25"/>
      <c r="TRU25"/>
      <c r="TRY25"/>
      <c r="TSC25"/>
      <c r="TSG25"/>
      <c r="TSK25"/>
      <c r="TSO25"/>
      <c r="TSS25"/>
      <c r="TSW25"/>
      <c r="TTA25"/>
      <c r="TTE25"/>
      <c r="TTI25"/>
      <c r="TTM25"/>
      <c r="TTQ25"/>
      <c r="TTU25"/>
      <c r="TTY25"/>
      <c r="TUC25"/>
      <c r="TUG25"/>
      <c r="TUK25"/>
      <c r="TUO25"/>
      <c r="TUS25"/>
      <c r="TUW25"/>
      <c r="TVA25"/>
      <c r="TVE25"/>
      <c r="TVI25"/>
      <c r="TVM25"/>
      <c r="TVQ25"/>
      <c r="TVU25"/>
      <c r="TVY25"/>
      <c r="TWC25"/>
      <c r="TWG25"/>
      <c r="TWK25"/>
      <c r="TWO25"/>
      <c r="TWS25"/>
      <c r="TWW25"/>
      <c r="TXA25"/>
      <c r="TXE25"/>
      <c r="TXI25"/>
      <c r="TXM25"/>
      <c r="TXQ25"/>
      <c r="TXU25"/>
      <c r="TXY25"/>
      <c r="TYC25"/>
      <c r="TYG25"/>
      <c r="TYK25"/>
      <c r="TYO25"/>
      <c r="TYS25"/>
      <c r="TYW25"/>
      <c r="TZA25"/>
      <c r="TZE25"/>
      <c r="TZI25"/>
      <c r="TZM25"/>
      <c r="TZQ25"/>
      <c r="TZU25"/>
      <c r="TZY25"/>
      <c r="UAC25"/>
      <c r="UAG25"/>
      <c r="UAK25"/>
      <c r="UAO25"/>
      <c r="UAS25"/>
      <c r="UAW25"/>
      <c r="UBA25"/>
      <c r="UBE25"/>
      <c r="UBI25"/>
      <c r="UBM25"/>
      <c r="UBQ25"/>
      <c r="UBU25"/>
      <c r="UBY25"/>
      <c r="UCC25"/>
      <c r="UCG25"/>
      <c r="UCK25"/>
      <c r="UCO25"/>
      <c r="UCS25"/>
      <c r="UCW25"/>
      <c r="UDA25"/>
      <c r="UDE25"/>
      <c r="UDI25"/>
      <c r="UDM25"/>
      <c r="UDQ25"/>
      <c r="UDU25"/>
      <c r="UDY25"/>
      <c r="UEC25"/>
      <c r="UEG25"/>
      <c r="UEK25"/>
      <c r="UEO25"/>
      <c r="UES25"/>
      <c r="UEW25"/>
      <c r="UFA25"/>
      <c r="UFE25"/>
      <c r="UFI25"/>
      <c r="UFM25"/>
      <c r="UFQ25"/>
      <c r="UFU25"/>
      <c r="UFY25"/>
      <c r="UGC25"/>
      <c r="UGG25"/>
      <c r="UGK25"/>
      <c r="UGO25"/>
      <c r="UGS25"/>
      <c r="UGW25"/>
      <c r="UHA25"/>
      <c r="UHE25"/>
      <c r="UHI25"/>
      <c r="UHM25"/>
      <c r="UHQ25"/>
      <c r="UHU25"/>
      <c r="UHY25"/>
      <c r="UIC25"/>
      <c r="UIG25"/>
      <c r="UIK25"/>
      <c r="UIO25"/>
      <c r="UIS25"/>
      <c r="UIW25"/>
      <c r="UJA25"/>
      <c r="UJE25"/>
      <c r="UJI25"/>
      <c r="UJM25"/>
      <c r="UJQ25"/>
      <c r="UJU25"/>
      <c r="UJY25"/>
      <c r="UKC25"/>
      <c r="UKG25"/>
      <c r="UKK25"/>
      <c r="UKO25"/>
      <c r="UKS25"/>
      <c r="UKW25"/>
      <c r="ULA25"/>
      <c r="ULE25"/>
      <c r="ULI25"/>
      <c r="ULM25"/>
      <c r="ULQ25"/>
      <c r="ULU25"/>
      <c r="ULY25"/>
      <c r="UMC25"/>
      <c r="UMG25"/>
      <c r="UMK25"/>
      <c r="UMO25"/>
      <c r="UMS25"/>
      <c r="UMW25"/>
      <c r="UNA25"/>
      <c r="UNE25"/>
      <c r="UNI25"/>
      <c r="UNM25"/>
      <c r="UNQ25"/>
      <c r="UNU25"/>
      <c r="UNY25"/>
      <c r="UOC25"/>
      <c r="UOG25"/>
      <c r="UOK25"/>
      <c r="UOO25"/>
      <c r="UOS25"/>
      <c r="UOW25"/>
      <c r="UPA25"/>
      <c r="UPE25"/>
      <c r="UPI25"/>
      <c r="UPM25"/>
      <c r="UPQ25"/>
      <c r="UPU25"/>
      <c r="UPY25"/>
      <c r="UQC25"/>
      <c r="UQG25"/>
      <c r="UQK25"/>
      <c r="UQO25"/>
      <c r="UQS25"/>
      <c r="UQW25"/>
      <c r="URA25"/>
      <c r="URE25"/>
      <c r="URI25"/>
      <c r="URM25"/>
      <c r="URQ25"/>
      <c r="URU25"/>
      <c r="URY25"/>
      <c r="USC25"/>
      <c r="USG25"/>
      <c r="USK25"/>
      <c r="USO25"/>
      <c r="USS25"/>
      <c r="USW25"/>
      <c r="UTA25"/>
      <c r="UTE25"/>
      <c r="UTI25"/>
      <c r="UTM25"/>
      <c r="UTQ25"/>
      <c r="UTU25"/>
      <c r="UTY25"/>
      <c r="UUC25"/>
      <c r="UUG25"/>
      <c r="UUK25"/>
      <c r="UUO25"/>
      <c r="UUS25"/>
      <c r="UUW25"/>
      <c r="UVA25"/>
      <c r="UVE25"/>
      <c r="UVI25"/>
      <c r="UVM25"/>
      <c r="UVQ25"/>
      <c r="UVU25"/>
      <c r="UVY25"/>
      <c r="UWC25"/>
      <c r="UWG25"/>
      <c r="UWK25"/>
      <c r="UWO25"/>
      <c r="UWS25"/>
      <c r="UWW25"/>
      <c r="UXA25"/>
      <c r="UXE25"/>
      <c r="UXI25"/>
      <c r="UXM25"/>
      <c r="UXQ25"/>
      <c r="UXU25"/>
      <c r="UXY25"/>
      <c r="UYC25"/>
      <c r="UYG25"/>
      <c r="UYK25"/>
      <c r="UYO25"/>
      <c r="UYS25"/>
      <c r="UYW25"/>
      <c r="UZA25"/>
      <c r="UZE25"/>
      <c r="UZI25"/>
      <c r="UZM25"/>
      <c r="UZQ25"/>
      <c r="UZU25"/>
      <c r="UZY25"/>
      <c r="VAC25"/>
      <c r="VAG25"/>
      <c r="VAK25"/>
      <c r="VAO25"/>
      <c r="VAS25"/>
      <c r="VAW25"/>
      <c r="VBA25"/>
      <c r="VBE25"/>
      <c r="VBI25"/>
      <c r="VBM25"/>
      <c r="VBQ25"/>
      <c r="VBU25"/>
      <c r="VBY25"/>
      <c r="VCC25"/>
      <c r="VCG25"/>
      <c r="VCK25"/>
      <c r="VCO25"/>
      <c r="VCS25"/>
      <c r="VCW25"/>
      <c r="VDA25"/>
      <c r="VDE25"/>
      <c r="VDI25"/>
      <c r="VDM25"/>
      <c r="VDQ25"/>
      <c r="VDU25"/>
      <c r="VDY25"/>
      <c r="VEC25"/>
      <c r="VEG25"/>
      <c r="VEK25"/>
      <c r="VEO25"/>
      <c r="VES25"/>
      <c r="VEW25"/>
      <c r="VFA25"/>
      <c r="VFE25"/>
      <c r="VFI25"/>
      <c r="VFM25"/>
      <c r="VFQ25"/>
      <c r="VFU25"/>
      <c r="VFY25"/>
      <c r="VGC25"/>
      <c r="VGG25"/>
      <c r="VGK25"/>
      <c r="VGO25"/>
      <c r="VGS25"/>
      <c r="VGW25"/>
      <c r="VHA25"/>
      <c r="VHE25"/>
      <c r="VHI25"/>
      <c r="VHM25"/>
      <c r="VHQ25"/>
      <c r="VHU25"/>
      <c r="VHY25"/>
      <c r="VIC25"/>
      <c r="VIG25"/>
      <c r="VIK25"/>
      <c r="VIO25"/>
      <c r="VIS25"/>
      <c r="VIW25"/>
      <c r="VJA25"/>
      <c r="VJE25"/>
      <c r="VJI25"/>
      <c r="VJM25"/>
      <c r="VJQ25"/>
      <c r="VJU25"/>
      <c r="VJY25"/>
      <c r="VKC25"/>
      <c r="VKG25"/>
      <c r="VKK25"/>
      <c r="VKO25"/>
      <c r="VKS25"/>
      <c r="VKW25"/>
      <c r="VLA25"/>
      <c r="VLE25"/>
      <c r="VLI25"/>
      <c r="VLM25"/>
      <c r="VLQ25"/>
      <c r="VLU25"/>
      <c r="VLY25"/>
      <c r="VMC25"/>
      <c r="VMG25"/>
      <c r="VMK25"/>
      <c r="VMO25"/>
      <c r="VMS25"/>
      <c r="VMW25"/>
      <c r="VNA25"/>
      <c r="VNE25"/>
      <c r="VNI25"/>
      <c r="VNM25"/>
      <c r="VNQ25"/>
      <c r="VNU25"/>
      <c r="VNY25"/>
      <c r="VOC25"/>
      <c r="VOG25"/>
      <c r="VOK25"/>
      <c r="VOO25"/>
      <c r="VOS25"/>
      <c r="VOW25"/>
      <c r="VPA25"/>
      <c r="VPE25"/>
      <c r="VPI25"/>
      <c r="VPM25"/>
      <c r="VPQ25"/>
      <c r="VPU25"/>
      <c r="VPY25"/>
      <c r="VQC25"/>
      <c r="VQG25"/>
      <c r="VQK25"/>
      <c r="VQO25"/>
      <c r="VQS25"/>
      <c r="VQW25"/>
      <c r="VRA25"/>
      <c r="VRE25"/>
      <c r="VRI25"/>
      <c r="VRM25"/>
      <c r="VRQ25"/>
      <c r="VRU25"/>
      <c r="VRY25"/>
      <c r="VSC25"/>
      <c r="VSG25"/>
      <c r="VSK25"/>
      <c r="VSO25"/>
      <c r="VSS25"/>
      <c r="VSW25"/>
      <c r="VTA25"/>
      <c r="VTE25"/>
      <c r="VTI25"/>
      <c r="VTM25"/>
      <c r="VTQ25"/>
      <c r="VTU25"/>
      <c r="VTY25"/>
      <c r="VUC25"/>
      <c r="VUG25"/>
      <c r="VUK25"/>
      <c r="VUO25"/>
      <c r="VUS25"/>
      <c r="VUW25"/>
      <c r="VVA25"/>
      <c r="VVE25"/>
      <c r="VVI25"/>
      <c r="VVM25"/>
      <c r="VVQ25"/>
      <c r="VVU25"/>
      <c r="VVY25"/>
      <c r="VWC25"/>
      <c r="VWG25"/>
      <c r="VWK25"/>
      <c r="VWO25"/>
      <c r="VWS25"/>
      <c r="VWW25"/>
      <c r="VXA25"/>
      <c r="VXE25"/>
      <c r="VXI25"/>
      <c r="VXM25"/>
      <c r="VXQ25"/>
      <c r="VXU25"/>
      <c r="VXY25"/>
      <c r="VYC25"/>
      <c r="VYG25"/>
      <c r="VYK25"/>
      <c r="VYO25"/>
      <c r="VYS25"/>
      <c r="VYW25"/>
      <c r="VZA25"/>
      <c r="VZE25"/>
      <c r="VZI25"/>
      <c r="VZM25"/>
      <c r="VZQ25"/>
      <c r="VZU25"/>
      <c r="VZY25"/>
      <c r="WAC25"/>
      <c r="WAG25"/>
      <c r="WAK25"/>
      <c r="WAO25"/>
      <c r="WAS25"/>
      <c r="WAW25"/>
      <c r="WBA25"/>
      <c r="WBE25"/>
      <c r="WBI25"/>
      <c r="WBM25"/>
      <c r="WBQ25"/>
      <c r="WBU25"/>
      <c r="WBY25"/>
      <c r="WCC25"/>
      <c r="WCG25"/>
      <c r="WCK25"/>
      <c r="WCO25"/>
      <c r="WCS25"/>
      <c r="WCW25"/>
      <c r="WDA25"/>
      <c r="WDE25"/>
      <c r="WDI25"/>
      <c r="WDM25"/>
      <c r="WDQ25"/>
      <c r="WDU25"/>
      <c r="WDY25"/>
      <c r="WEC25"/>
      <c r="WEG25"/>
      <c r="WEK25"/>
      <c r="WEO25"/>
      <c r="WES25"/>
      <c r="WEW25"/>
      <c r="WFA25"/>
      <c r="WFE25"/>
      <c r="WFI25"/>
      <c r="WFM25"/>
      <c r="WFQ25"/>
      <c r="WFU25"/>
      <c r="WFY25"/>
      <c r="WGC25"/>
      <c r="WGG25"/>
      <c r="WGK25"/>
      <c r="WGO25"/>
      <c r="WGS25"/>
      <c r="WGW25"/>
      <c r="WHA25"/>
      <c r="WHE25"/>
      <c r="WHI25"/>
      <c r="WHM25"/>
      <c r="WHQ25"/>
      <c r="WHU25"/>
      <c r="WHY25"/>
      <c r="WIC25"/>
      <c r="WIG25"/>
      <c r="WIK25"/>
      <c r="WIO25"/>
      <c r="WIS25"/>
      <c r="WIW25"/>
      <c r="WJA25"/>
      <c r="WJE25"/>
      <c r="WJI25"/>
      <c r="WJM25"/>
      <c r="WJQ25"/>
      <c r="WJU25"/>
      <c r="WJY25"/>
      <c r="WKC25"/>
      <c r="WKG25"/>
      <c r="WKK25"/>
      <c r="WKO25"/>
      <c r="WKS25"/>
      <c r="WKW25"/>
      <c r="WLA25"/>
      <c r="WLE25"/>
      <c r="WLI25"/>
      <c r="WLM25"/>
      <c r="WLQ25"/>
      <c r="WLU25"/>
      <c r="WLY25"/>
      <c r="WMC25"/>
      <c r="WMG25"/>
      <c r="WMK25"/>
      <c r="WMO25"/>
      <c r="WMS25"/>
      <c r="WMW25"/>
      <c r="WNA25"/>
      <c r="WNE25"/>
      <c r="WNI25"/>
      <c r="WNM25"/>
      <c r="WNQ25"/>
      <c r="WNU25"/>
      <c r="WNY25"/>
      <c r="WOC25"/>
      <c r="WOG25"/>
      <c r="WOK25"/>
      <c r="WOO25"/>
      <c r="WOS25"/>
      <c r="WOW25"/>
      <c r="WPA25"/>
      <c r="WPE25"/>
      <c r="WPI25"/>
      <c r="WPM25"/>
      <c r="WPQ25"/>
      <c r="WPU25"/>
      <c r="WPY25"/>
      <c r="WQC25"/>
      <c r="WQG25"/>
      <c r="WQK25"/>
      <c r="WQO25"/>
      <c r="WQS25"/>
      <c r="WQW25"/>
      <c r="WRA25"/>
      <c r="WRE25"/>
      <c r="WRI25"/>
      <c r="WRM25"/>
      <c r="WRQ25"/>
      <c r="WRU25"/>
      <c r="WRY25"/>
      <c r="WSC25"/>
      <c r="WSG25"/>
      <c r="WSK25"/>
      <c r="WSO25"/>
      <c r="WSS25"/>
      <c r="WSW25"/>
      <c r="WTA25"/>
      <c r="WTE25"/>
      <c r="WTI25"/>
      <c r="WTM25"/>
      <c r="WTQ25"/>
      <c r="WTU25"/>
      <c r="WTY25"/>
      <c r="WUC25"/>
      <c r="WUG25"/>
      <c r="WUK25"/>
      <c r="WUO25"/>
      <c r="WUS25"/>
      <c r="WUW25"/>
      <c r="WVA25"/>
      <c r="WVE25"/>
      <c r="WVI25"/>
      <c r="WVM25"/>
      <c r="WVQ25"/>
      <c r="WVU25"/>
      <c r="WVY25"/>
      <c r="WWC25"/>
      <c r="WWG25"/>
      <c r="WWK25"/>
      <c r="WWO25"/>
      <c r="WWS25"/>
      <c r="WWW25"/>
      <c r="WXA25"/>
      <c r="WXE25"/>
      <c r="WXI25"/>
      <c r="WXM25"/>
      <c r="WXQ25"/>
      <c r="WXU25"/>
      <c r="WXY25"/>
      <c r="WYC25"/>
      <c r="WYG25"/>
      <c r="WYK25"/>
      <c r="WYO25"/>
      <c r="WYS25"/>
      <c r="WYW25"/>
      <c r="WZA25"/>
      <c r="WZE25"/>
      <c r="WZI25"/>
      <c r="WZM25"/>
      <c r="WZQ25"/>
      <c r="WZU25"/>
      <c r="WZY25"/>
      <c r="XAC25"/>
      <c r="XAG25"/>
      <c r="XAK25"/>
      <c r="XAO25"/>
      <c r="XAS25"/>
      <c r="XAW25"/>
      <c r="XBA25"/>
      <c r="XBE25"/>
      <c r="XBI25"/>
      <c r="XBM25"/>
      <c r="XBQ25"/>
      <c r="XBU25"/>
      <c r="XBY25"/>
      <c r="XCC25"/>
      <c r="XCG25"/>
      <c r="XCK25"/>
      <c r="XCO25"/>
      <c r="XCS25"/>
      <c r="XCW25"/>
      <c r="XDA25"/>
      <c r="XDE25"/>
      <c r="XDI25"/>
      <c r="XDM25"/>
      <c r="XDQ25"/>
      <c r="XDU25"/>
      <c r="XDY25"/>
      <c r="XEC25"/>
      <c r="XEG25"/>
      <c r="XEK25"/>
      <c r="XEO25"/>
      <c r="XES25"/>
      <c r="XEW25"/>
      <c r="XFA25"/>
    </row>
    <row r="26" spans="1:1021 1025:2045 2049:3069 3073:4093 4097:5117 5121:6141 6145:7165 7169:8189 8193:9213 9217:10237 10241:11261 11265:12285 12289:13309 13313:14333 14337:15357 15361:16381" s="1" customFormat="1" x14ac:dyDescent="0.35">
      <c r="A26" s="23">
        <v>1</v>
      </c>
      <c r="B26" s="23">
        <v>22</v>
      </c>
      <c r="C26" s="24" t="str">
        <f xml:space="preserve"> IF('Master Player List'!L24=1,'Master Player List'!C24,"")</f>
        <v/>
      </c>
      <c r="D26" s="24" t="str">
        <f xml:space="preserve"> IF('Master Player List'!L24=1,'Master Player List'!F24,"")</f>
        <v/>
      </c>
      <c r="E26" s="23" t="str">
        <f xml:space="preserve"> IF('Master Player List'!L24=1,'Master Player List'!I24,"")</f>
        <v/>
      </c>
      <c r="F26" s="26"/>
      <c r="G26" s="24"/>
      <c r="H26" s="24"/>
      <c r="I26" s="23"/>
      <c r="J26" s="26"/>
      <c r="M26"/>
      <c r="N26"/>
      <c r="O26"/>
      <c r="Q26"/>
      <c r="U26"/>
      <c r="Y26"/>
      <c r="AC26"/>
      <c r="AG26"/>
      <c r="AK26"/>
      <c r="AO26"/>
      <c r="AS26"/>
      <c r="AW26"/>
      <c r="BA26"/>
      <c r="BE26"/>
      <c r="BI26"/>
      <c r="BM26"/>
      <c r="BQ26"/>
      <c r="BU26"/>
      <c r="BY26"/>
      <c r="CC26"/>
      <c r="CG26"/>
      <c r="CK26"/>
      <c r="CO26"/>
      <c r="CS26"/>
      <c r="CW26"/>
      <c r="DA26"/>
      <c r="DE26"/>
      <c r="DI26"/>
      <c r="DM26"/>
      <c r="DQ26"/>
      <c r="DU26"/>
      <c r="DY26"/>
      <c r="EC26"/>
      <c r="EG26"/>
      <c r="EK26"/>
      <c r="EO26"/>
      <c r="ES26"/>
      <c r="EW26"/>
      <c r="FA26"/>
      <c r="FE26"/>
      <c r="FI26"/>
      <c r="FM26"/>
      <c r="FQ26"/>
      <c r="FU26"/>
      <c r="FY26"/>
      <c r="GC26"/>
      <c r="GG26"/>
      <c r="GK26"/>
      <c r="GO26"/>
      <c r="GS26"/>
      <c r="GW26"/>
      <c r="HA26"/>
      <c r="HE26"/>
      <c r="HI26"/>
      <c r="HM26"/>
      <c r="HQ26"/>
      <c r="HU26"/>
      <c r="HY26"/>
      <c r="IC26"/>
      <c r="IG26"/>
      <c r="IK26"/>
      <c r="IO26"/>
      <c r="IS26"/>
      <c r="IW26"/>
      <c r="JA26"/>
      <c r="JE26"/>
      <c r="JI26"/>
      <c r="JM26"/>
      <c r="JQ26"/>
      <c r="JU26"/>
      <c r="JY26"/>
      <c r="KC26"/>
      <c r="KG26"/>
      <c r="KK26"/>
      <c r="KO26"/>
      <c r="KS26"/>
      <c r="KW26"/>
      <c r="LA26"/>
      <c r="LE26"/>
      <c r="LI26"/>
      <c r="LM26"/>
      <c r="LQ26"/>
      <c r="LU26"/>
      <c r="LY26"/>
      <c r="MC26"/>
      <c r="MG26"/>
      <c r="MK26"/>
      <c r="MO26"/>
      <c r="MS26"/>
      <c r="MW26"/>
      <c r="NA26"/>
      <c r="NE26"/>
      <c r="NI26"/>
      <c r="NM26"/>
      <c r="NQ26"/>
      <c r="NU26"/>
      <c r="NY26"/>
      <c r="OC26"/>
      <c r="OG26"/>
      <c r="OK26"/>
      <c r="OO26"/>
      <c r="OS26"/>
      <c r="OW26"/>
      <c r="PA26"/>
      <c r="PE26"/>
      <c r="PI26"/>
      <c r="PM26"/>
      <c r="PQ26"/>
      <c r="PU26"/>
      <c r="PY26"/>
      <c r="QC26"/>
      <c r="QG26"/>
      <c r="QK26"/>
      <c r="QO26"/>
      <c r="QS26"/>
      <c r="QW26"/>
      <c r="RA26"/>
      <c r="RE26"/>
      <c r="RI26"/>
      <c r="RM26"/>
      <c r="RQ26"/>
      <c r="RU26"/>
      <c r="RY26"/>
      <c r="SC26"/>
      <c r="SG26"/>
      <c r="SK26"/>
      <c r="SO26"/>
      <c r="SS26"/>
      <c r="SW26"/>
      <c r="TA26"/>
      <c r="TE26"/>
      <c r="TI26"/>
      <c r="TM26"/>
      <c r="TQ26"/>
      <c r="TU26"/>
      <c r="TY26"/>
      <c r="UC26"/>
      <c r="UG26"/>
      <c r="UK26"/>
      <c r="UO26"/>
      <c r="US26"/>
      <c r="UW26"/>
      <c r="VA26"/>
      <c r="VE26"/>
      <c r="VI26"/>
      <c r="VM26"/>
      <c r="VQ26"/>
      <c r="VU26"/>
      <c r="VY26"/>
      <c r="WC26"/>
      <c r="WG26"/>
      <c r="WK26"/>
      <c r="WO26"/>
      <c r="WS26"/>
      <c r="WW26"/>
      <c r="XA26"/>
      <c r="XE26"/>
      <c r="XI26"/>
      <c r="XM26"/>
      <c r="XQ26"/>
      <c r="XU26"/>
      <c r="XY26"/>
      <c r="YC26"/>
      <c r="YG26"/>
      <c r="YK26"/>
      <c r="YO26"/>
      <c r="YS26"/>
      <c r="YW26"/>
      <c r="ZA26"/>
      <c r="ZE26"/>
      <c r="ZI26"/>
      <c r="ZM26"/>
      <c r="ZQ26"/>
      <c r="ZU26"/>
      <c r="ZY26"/>
      <c r="AAC26"/>
      <c r="AAG26"/>
      <c r="AAK26"/>
      <c r="AAO26"/>
      <c r="AAS26"/>
      <c r="AAW26"/>
      <c r="ABA26"/>
      <c r="ABE26"/>
      <c r="ABI26"/>
      <c r="ABM26"/>
      <c r="ABQ26"/>
      <c r="ABU26"/>
      <c r="ABY26"/>
      <c r="ACC26"/>
      <c r="ACG26"/>
      <c r="ACK26"/>
      <c r="ACO26"/>
      <c r="ACS26"/>
      <c r="ACW26"/>
      <c r="ADA26"/>
      <c r="ADE26"/>
      <c r="ADI26"/>
      <c r="ADM26"/>
      <c r="ADQ26"/>
      <c r="ADU26"/>
      <c r="ADY26"/>
      <c r="AEC26"/>
      <c r="AEG26"/>
      <c r="AEK26"/>
      <c r="AEO26"/>
      <c r="AES26"/>
      <c r="AEW26"/>
      <c r="AFA26"/>
      <c r="AFE26"/>
      <c r="AFI26"/>
      <c r="AFM26"/>
      <c r="AFQ26"/>
      <c r="AFU26"/>
      <c r="AFY26"/>
      <c r="AGC26"/>
      <c r="AGG26"/>
      <c r="AGK26"/>
      <c r="AGO26"/>
      <c r="AGS26"/>
      <c r="AGW26"/>
      <c r="AHA26"/>
      <c r="AHE26"/>
      <c r="AHI26"/>
      <c r="AHM26"/>
      <c r="AHQ26"/>
      <c r="AHU26"/>
      <c r="AHY26"/>
      <c r="AIC26"/>
      <c r="AIG26"/>
      <c r="AIK26"/>
      <c r="AIO26"/>
      <c r="AIS26"/>
      <c r="AIW26"/>
      <c r="AJA26"/>
      <c r="AJE26"/>
      <c r="AJI26"/>
      <c r="AJM26"/>
      <c r="AJQ26"/>
      <c r="AJU26"/>
      <c r="AJY26"/>
      <c r="AKC26"/>
      <c r="AKG26"/>
      <c r="AKK26"/>
      <c r="AKO26"/>
      <c r="AKS26"/>
      <c r="AKW26"/>
      <c r="ALA26"/>
      <c r="ALE26"/>
      <c r="ALI26"/>
      <c r="ALM26"/>
      <c r="ALQ26"/>
      <c r="ALU26"/>
      <c r="ALY26"/>
      <c r="AMC26"/>
      <c r="AMG26"/>
      <c r="AMK26"/>
      <c r="AMO26"/>
      <c r="AMS26"/>
      <c r="AMW26"/>
      <c r="ANA26"/>
      <c r="ANE26"/>
      <c r="ANI26"/>
      <c r="ANM26"/>
      <c r="ANQ26"/>
      <c r="ANU26"/>
      <c r="ANY26"/>
      <c r="AOC26"/>
      <c r="AOG26"/>
      <c r="AOK26"/>
      <c r="AOO26"/>
      <c r="AOS26"/>
      <c r="AOW26"/>
      <c r="APA26"/>
      <c r="APE26"/>
      <c r="API26"/>
      <c r="APM26"/>
      <c r="APQ26"/>
      <c r="APU26"/>
      <c r="APY26"/>
      <c r="AQC26"/>
      <c r="AQG26"/>
      <c r="AQK26"/>
      <c r="AQO26"/>
      <c r="AQS26"/>
      <c r="AQW26"/>
      <c r="ARA26"/>
      <c r="ARE26"/>
      <c r="ARI26"/>
      <c r="ARM26"/>
      <c r="ARQ26"/>
      <c r="ARU26"/>
      <c r="ARY26"/>
      <c r="ASC26"/>
      <c r="ASG26"/>
      <c r="ASK26"/>
      <c r="ASO26"/>
      <c r="ASS26"/>
      <c r="ASW26"/>
      <c r="ATA26"/>
      <c r="ATE26"/>
      <c r="ATI26"/>
      <c r="ATM26"/>
      <c r="ATQ26"/>
      <c r="ATU26"/>
      <c r="ATY26"/>
      <c r="AUC26"/>
      <c r="AUG26"/>
      <c r="AUK26"/>
      <c r="AUO26"/>
      <c r="AUS26"/>
      <c r="AUW26"/>
      <c r="AVA26"/>
      <c r="AVE26"/>
      <c r="AVI26"/>
      <c r="AVM26"/>
      <c r="AVQ26"/>
      <c r="AVU26"/>
      <c r="AVY26"/>
      <c r="AWC26"/>
      <c r="AWG26"/>
      <c r="AWK26"/>
      <c r="AWO26"/>
      <c r="AWS26"/>
      <c r="AWW26"/>
      <c r="AXA26"/>
      <c r="AXE26"/>
      <c r="AXI26"/>
      <c r="AXM26"/>
      <c r="AXQ26"/>
      <c r="AXU26"/>
      <c r="AXY26"/>
      <c r="AYC26"/>
      <c r="AYG26"/>
      <c r="AYK26"/>
      <c r="AYO26"/>
      <c r="AYS26"/>
      <c r="AYW26"/>
      <c r="AZA26"/>
      <c r="AZE26"/>
      <c r="AZI26"/>
      <c r="AZM26"/>
      <c r="AZQ26"/>
      <c r="AZU26"/>
      <c r="AZY26"/>
      <c r="BAC26"/>
      <c r="BAG26"/>
      <c r="BAK26"/>
      <c r="BAO26"/>
      <c r="BAS26"/>
      <c r="BAW26"/>
      <c r="BBA26"/>
      <c r="BBE26"/>
      <c r="BBI26"/>
      <c r="BBM26"/>
      <c r="BBQ26"/>
      <c r="BBU26"/>
      <c r="BBY26"/>
      <c r="BCC26"/>
      <c r="BCG26"/>
      <c r="BCK26"/>
      <c r="BCO26"/>
      <c r="BCS26"/>
      <c r="BCW26"/>
      <c r="BDA26"/>
      <c r="BDE26"/>
      <c r="BDI26"/>
      <c r="BDM26"/>
      <c r="BDQ26"/>
      <c r="BDU26"/>
      <c r="BDY26"/>
      <c r="BEC26"/>
      <c r="BEG26"/>
      <c r="BEK26"/>
      <c r="BEO26"/>
      <c r="BES26"/>
      <c r="BEW26"/>
      <c r="BFA26"/>
      <c r="BFE26"/>
      <c r="BFI26"/>
      <c r="BFM26"/>
      <c r="BFQ26"/>
      <c r="BFU26"/>
      <c r="BFY26"/>
      <c r="BGC26"/>
      <c r="BGG26"/>
      <c r="BGK26"/>
      <c r="BGO26"/>
      <c r="BGS26"/>
      <c r="BGW26"/>
      <c r="BHA26"/>
      <c r="BHE26"/>
      <c r="BHI26"/>
      <c r="BHM26"/>
      <c r="BHQ26"/>
      <c r="BHU26"/>
      <c r="BHY26"/>
      <c r="BIC26"/>
      <c r="BIG26"/>
      <c r="BIK26"/>
      <c r="BIO26"/>
      <c r="BIS26"/>
      <c r="BIW26"/>
      <c r="BJA26"/>
      <c r="BJE26"/>
      <c r="BJI26"/>
      <c r="BJM26"/>
      <c r="BJQ26"/>
      <c r="BJU26"/>
      <c r="BJY26"/>
      <c r="BKC26"/>
      <c r="BKG26"/>
      <c r="BKK26"/>
      <c r="BKO26"/>
      <c r="BKS26"/>
      <c r="BKW26"/>
      <c r="BLA26"/>
      <c r="BLE26"/>
      <c r="BLI26"/>
      <c r="BLM26"/>
      <c r="BLQ26"/>
      <c r="BLU26"/>
      <c r="BLY26"/>
      <c r="BMC26"/>
      <c r="BMG26"/>
      <c r="BMK26"/>
      <c r="BMO26"/>
      <c r="BMS26"/>
      <c r="BMW26"/>
      <c r="BNA26"/>
      <c r="BNE26"/>
      <c r="BNI26"/>
      <c r="BNM26"/>
      <c r="BNQ26"/>
      <c r="BNU26"/>
      <c r="BNY26"/>
      <c r="BOC26"/>
      <c r="BOG26"/>
      <c r="BOK26"/>
      <c r="BOO26"/>
      <c r="BOS26"/>
      <c r="BOW26"/>
      <c r="BPA26"/>
      <c r="BPE26"/>
      <c r="BPI26"/>
      <c r="BPM26"/>
      <c r="BPQ26"/>
      <c r="BPU26"/>
      <c r="BPY26"/>
      <c r="BQC26"/>
      <c r="BQG26"/>
      <c r="BQK26"/>
      <c r="BQO26"/>
      <c r="BQS26"/>
      <c r="BQW26"/>
      <c r="BRA26"/>
      <c r="BRE26"/>
      <c r="BRI26"/>
      <c r="BRM26"/>
      <c r="BRQ26"/>
      <c r="BRU26"/>
      <c r="BRY26"/>
      <c r="BSC26"/>
      <c r="BSG26"/>
      <c r="BSK26"/>
      <c r="BSO26"/>
      <c r="BSS26"/>
      <c r="BSW26"/>
      <c r="BTA26"/>
      <c r="BTE26"/>
      <c r="BTI26"/>
      <c r="BTM26"/>
      <c r="BTQ26"/>
      <c r="BTU26"/>
      <c r="BTY26"/>
      <c r="BUC26"/>
      <c r="BUG26"/>
      <c r="BUK26"/>
      <c r="BUO26"/>
      <c r="BUS26"/>
      <c r="BUW26"/>
      <c r="BVA26"/>
      <c r="BVE26"/>
      <c r="BVI26"/>
      <c r="BVM26"/>
      <c r="BVQ26"/>
      <c r="BVU26"/>
      <c r="BVY26"/>
      <c r="BWC26"/>
      <c r="BWG26"/>
      <c r="BWK26"/>
      <c r="BWO26"/>
      <c r="BWS26"/>
      <c r="BWW26"/>
      <c r="BXA26"/>
      <c r="BXE26"/>
      <c r="BXI26"/>
      <c r="BXM26"/>
      <c r="BXQ26"/>
      <c r="BXU26"/>
      <c r="BXY26"/>
      <c r="BYC26"/>
      <c r="BYG26"/>
      <c r="BYK26"/>
      <c r="BYO26"/>
      <c r="BYS26"/>
      <c r="BYW26"/>
      <c r="BZA26"/>
      <c r="BZE26"/>
      <c r="BZI26"/>
      <c r="BZM26"/>
      <c r="BZQ26"/>
      <c r="BZU26"/>
      <c r="BZY26"/>
      <c r="CAC26"/>
      <c r="CAG26"/>
      <c r="CAK26"/>
      <c r="CAO26"/>
      <c r="CAS26"/>
      <c r="CAW26"/>
      <c r="CBA26"/>
      <c r="CBE26"/>
      <c r="CBI26"/>
      <c r="CBM26"/>
      <c r="CBQ26"/>
      <c r="CBU26"/>
      <c r="CBY26"/>
      <c r="CCC26"/>
      <c r="CCG26"/>
      <c r="CCK26"/>
      <c r="CCO26"/>
      <c r="CCS26"/>
      <c r="CCW26"/>
      <c r="CDA26"/>
      <c r="CDE26"/>
      <c r="CDI26"/>
      <c r="CDM26"/>
      <c r="CDQ26"/>
      <c r="CDU26"/>
      <c r="CDY26"/>
      <c r="CEC26"/>
      <c r="CEG26"/>
      <c r="CEK26"/>
      <c r="CEO26"/>
      <c r="CES26"/>
      <c r="CEW26"/>
      <c r="CFA26"/>
      <c r="CFE26"/>
      <c r="CFI26"/>
      <c r="CFM26"/>
      <c r="CFQ26"/>
      <c r="CFU26"/>
      <c r="CFY26"/>
      <c r="CGC26"/>
      <c r="CGG26"/>
      <c r="CGK26"/>
      <c r="CGO26"/>
      <c r="CGS26"/>
      <c r="CGW26"/>
      <c r="CHA26"/>
      <c r="CHE26"/>
      <c r="CHI26"/>
      <c r="CHM26"/>
      <c r="CHQ26"/>
      <c r="CHU26"/>
      <c r="CHY26"/>
      <c r="CIC26"/>
      <c r="CIG26"/>
      <c r="CIK26"/>
      <c r="CIO26"/>
      <c r="CIS26"/>
      <c r="CIW26"/>
      <c r="CJA26"/>
      <c r="CJE26"/>
      <c r="CJI26"/>
      <c r="CJM26"/>
      <c r="CJQ26"/>
      <c r="CJU26"/>
      <c r="CJY26"/>
      <c r="CKC26"/>
      <c r="CKG26"/>
      <c r="CKK26"/>
      <c r="CKO26"/>
      <c r="CKS26"/>
      <c r="CKW26"/>
      <c r="CLA26"/>
      <c r="CLE26"/>
      <c r="CLI26"/>
      <c r="CLM26"/>
      <c r="CLQ26"/>
      <c r="CLU26"/>
      <c r="CLY26"/>
      <c r="CMC26"/>
      <c r="CMG26"/>
      <c r="CMK26"/>
      <c r="CMO26"/>
      <c r="CMS26"/>
      <c r="CMW26"/>
      <c r="CNA26"/>
      <c r="CNE26"/>
      <c r="CNI26"/>
      <c r="CNM26"/>
      <c r="CNQ26"/>
      <c r="CNU26"/>
      <c r="CNY26"/>
      <c r="COC26"/>
      <c r="COG26"/>
      <c r="COK26"/>
      <c r="COO26"/>
      <c r="COS26"/>
      <c r="COW26"/>
      <c r="CPA26"/>
      <c r="CPE26"/>
      <c r="CPI26"/>
      <c r="CPM26"/>
      <c r="CPQ26"/>
      <c r="CPU26"/>
      <c r="CPY26"/>
      <c r="CQC26"/>
      <c r="CQG26"/>
      <c r="CQK26"/>
      <c r="CQO26"/>
      <c r="CQS26"/>
      <c r="CQW26"/>
      <c r="CRA26"/>
      <c r="CRE26"/>
      <c r="CRI26"/>
      <c r="CRM26"/>
      <c r="CRQ26"/>
      <c r="CRU26"/>
      <c r="CRY26"/>
      <c r="CSC26"/>
      <c r="CSG26"/>
      <c r="CSK26"/>
      <c r="CSO26"/>
      <c r="CSS26"/>
      <c r="CSW26"/>
      <c r="CTA26"/>
      <c r="CTE26"/>
      <c r="CTI26"/>
      <c r="CTM26"/>
      <c r="CTQ26"/>
      <c r="CTU26"/>
      <c r="CTY26"/>
      <c r="CUC26"/>
      <c r="CUG26"/>
      <c r="CUK26"/>
      <c r="CUO26"/>
      <c r="CUS26"/>
      <c r="CUW26"/>
      <c r="CVA26"/>
      <c r="CVE26"/>
      <c r="CVI26"/>
      <c r="CVM26"/>
      <c r="CVQ26"/>
      <c r="CVU26"/>
      <c r="CVY26"/>
      <c r="CWC26"/>
      <c r="CWG26"/>
      <c r="CWK26"/>
      <c r="CWO26"/>
      <c r="CWS26"/>
      <c r="CWW26"/>
      <c r="CXA26"/>
      <c r="CXE26"/>
      <c r="CXI26"/>
      <c r="CXM26"/>
      <c r="CXQ26"/>
      <c r="CXU26"/>
      <c r="CXY26"/>
      <c r="CYC26"/>
      <c r="CYG26"/>
      <c r="CYK26"/>
      <c r="CYO26"/>
      <c r="CYS26"/>
      <c r="CYW26"/>
      <c r="CZA26"/>
      <c r="CZE26"/>
      <c r="CZI26"/>
      <c r="CZM26"/>
      <c r="CZQ26"/>
      <c r="CZU26"/>
      <c r="CZY26"/>
      <c r="DAC26"/>
      <c r="DAG26"/>
      <c r="DAK26"/>
      <c r="DAO26"/>
      <c r="DAS26"/>
      <c r="DAW26"/>
      <c r="DBA26"/>
      <c r="DBE26"/>
      <c r="DBI26"/>
      <c r="DBM26"/>
      <c r="DBQ26"/>
      <c r="DBU26"/>
      <c r="DBY26"/>
      <c r="DCC26"/>
      <c r="DCG26"/>
      <c r="DCK26"/>
      <c r="DCO26"/>
      <c r="DCS26"/>
      <c r="DCW26"/>
      <c r="DDA26"/>
      <c r="DDE26"/>
      <c r="DDI26"/>
      <c r="DDM26"/>
      <c r="DDQ26"/>
      <c r="DDU26"/>
      <c r="DDY26"/>
      <c r="DEC26"/>
      <c r="DEG26"/>
      <c r="DEK26"/>
      <c r="DEO26"/>
      <c r="DES26"/>
      <c r="DEW26"/>
      <c r="DFA26"/>
      <c r="DFE26"/>
      <c r="DFI26"/>
      <c r="DFM26"/>
      <c r="DFQ26"/>
      <c r="DFU26"/>
      <c r="DFY26"/>
      <c r="DGC26"/>
      <c r="DGG26"/>
      <c r="DGK26"/>
      <c r="DGO26"/>
      <c r="DGS26"/>
      <c r="DGW26"/>
      <c r="DHA26"/>
      <c r="DHE26"/>
      <c r="DHI26"/>
      <c r="DHM26"/>
      <c r="DHQ26"/>
      <c r="DHU26"/>
      <c r="DHY26"/>
      <c r="DIC26"/>
      <c r="DIG26"/>
      <c r="DIK26"/>
      <c r="DIO26"/>
      <c r="DIS26"/>
      <c r="DIW26"/>
      <c r="DJA26"/>
      <c r="DJE26"/>
      <c r="DJI26"/>
      <c r="DJM26"/>
      <c r="DJQ26"/>
      <c r="DJU26"/>
      <c r="DJY26"/>
      <c r="DKC26"/>
      <c r="DKG26"/>
      <c r="DKK26"/>
      <c r="DKO26"/>
      <c r="DKS26"/>
      <c r="DKW26"/>
      <c r="DLA26"/>
      <c r="DLE26"/>
      <c r="DLI26"/>
      <c r="DLM26"/>
      <c r="DLQ26"/>
      <c r="DLU26"/>
      <c r="DLY26"/>
      <c r="DMC26"/>
      <c r="DMG26"/>
      <c r="DMK26"/>
      <c r="DMO26"/>
      <c r="DMS26"/>
      <c r="DMW26"/>
      <c r="DNA26"/>
      <c r="DNE26"/>
      <c r="DNI26"/>
      <c r="DNM26"/>
      <c r="DNQ26"/>
      <c r="DNU26"/>
      <c r="DNY26"/>
      <c r="DOC26"/>
      <c r="DOG26"/>
      <c r="DOK26"/>
      <c r="DOO26"/>
      <c r="DOS26"/>
      <c r="DOW26"/>
      <c r="DPA26"/>
      <c r="DPE26"/>
      <c r="DPI26"/>
      <c r="DPM26"/>
      <c r="DPQ26"/>
      <c r="DPU26"/>
      <c r="DPY26"/>
      <c r="DQC26"/>
      <c r="DQG26"/>
      <c r="DQK26"/>
      <c r="DQO26"/>
      <c r="DQS26"/>
      <c r="DQW26"/>
      <c r="DRA26"/>
      <c r="DRE26"/>
      <c r="DRI26"/>
      <c r="DRM26"/>
      <c r="DRQ26"/>
      <c r="DRU26"/>
      <c r="DRY26"/>
      <c r="DSC26"/>
      <c r="DSG26"/>
      <c r="DSK26"/>
      <c r="DSO26"/>
      <c r="DSS26"/>
      <c r="DSW26"/>
      <c r="DTA26"/>
      <c r="DTE26"/>
      <c r="DTI26"/>
      <c r="DTM26"/>
      <c r="DTQ26"/>
      <c r="DTU26"/>
      <c r="DTY26"/>
      <c r="DUC26"/>
      <c r="DUG26"/>
      <c r="DUK26"/>
      <c r="DUO26"/>
      <c r="DUS26"/>
      <c r="DUW26"/>
      <c r="DVA26"/>
      <c r="DVE26"/>
      <c r="DVI26"/>
      <c r="DVM26"/>
      <c r="DVQ26"/>
      <c r="DVU26"/>
      <c r="DVY26"/>
      <c r="DWC26"/>
      <c r="DWG26"/>
      <c r="DWK26"/>
      <c r="DWO26"/>
      <c r="DWS26"/>
      <c r="DWW26"/>
      <c r="DXA26"/>
      <c r="DXE26"/>
      <c r="DXI26"/>
      <c r="DXM26"/>
      <c r="DXQ26"/>
      <c r="DXU26"/>
      <c r="DXY26"/>
      <c r="DYC26"/>
      <c r="DYG26"/>
      <c r="DYK26"/>
      <c r="DYO26"/>
      <c r="DYS26"/>
      <c r="DYW26"/>
      <c r="DZA26"/>
      <c r="DZE26"/>
      <c r="DZI26"/>
      <c r="DZM26"/>
      <c r="DZQ26"/>
      <c r="DZU26"/>
      <c r="DZY26"/>
      <c r="EAC26"/>
      <c r="EAG26"/>
      <c r="EAK26"/>
      <c r="EAO26"/>
      <c r="EAS26"/>
      <c r="EAW26"/>
      <c r="EBA26"/>
      <c r="EBE26"/>
      <c r="EBI26"/>
      <c r="EBM26"/>
      <c r="EBQ26"/>
      <c r="EBU26"/>
      <c r="EBY26"/>
      <c r="ECC26"/>
      <c r="ECG26"/>
      <c r="ECK26"/>
      <c r="ECO26"/>
      <c r="ECS26"/>
      <c r="ECW26"/>
      <c r="EDA26"/>
      <c r="EDE26"/>
      <c r="EDI26"/>
      <c r="EDM26"/>
      <c r="EDQ26"/>
      <c r="EDU26"/>
      <c r="EDY26"/>
      <c r="EEC26"/>
      <c r="EEG26"/>
      <c r="EEK26"/>
      <c r="EEO26"/>
      <c r="EES26"/>
      <c r="EEW26"/>
      <c r="EFA26"/>
      <c r="EFE26"/>
      <c r="EFI26"/>
      <c r="EFM26"/>
      <c r="EFQ26"/>
      <c r="EFU26"/>
      <c r="EFY26"/>
      <c r="EGC26"/>
      <c r="EGG26"/>
      <c r="EGK26"/>
      <c r="EGO26"/>
      <c r="EGS26"/>
      <c r="EGW26"/>
      <c r="EHA26"/>
      <c r="EHE26"/>
      <c r="EHI26"/>
      <c r="EHM26"/>
      <c r="EHQ26"/>
      <c r="EHU26"/>
      <c r="EHY26"/>
      <c r="EIC26"/>
      <c r="EIG26"/>
      <c r="EIK26"/>
      <c r="EIO26"/>
      <c r="EIS26"/>
      <c r="EIW26"/>
      <c r="EJA26"/>
      <c r="EJE26"/>
      <c r="EJI26"/>
      <c r="EJM26"/>
      <c r="EJQ26"/>
      <c r="EJU26"/>
      <c r="EJY26"/>
      <c r="EKC26"/>
      <c r="EKG26"/>
      <c r="EKK26"/>
      <c r="EKO26"/>
      <c r="EKS26"/>
      <c r="EKW26"/>
      <c r="ELA26"/>
      <c r="ELE26"/>
      <c r="ELI26"/>
      <c r="ELM26"/>
      <c r="ELQ26"/>
      <c r="ELU26"/>
      <c r="ELY26"/>
      <c r="EMC26"/>
      <c r="EMG26"/>
      <c r="EMK26"/>
      <c r="EMO26"/>
      <c r="EMS26"/>
      <c r="EMW26"/>
      <c r="ENA26"/>
      <c r="ENE26"/>
      <c r="ENI26"/>
      <c r="ENM26"/>
      <c r="ENQ26"/>
      <c r="ENU26"/>
      <c r="ENY26"/>
      <c r="EOC26"/>
      <c r="EOG26"/>
      <c r="EOK26"/>
      <c r="EOO26"/>
      <c r="EOS26"/>
      <c r="EOW26"/>
      <c r="EPA26"/>
      <c r="EPE26"/>
      <c r="EPI26"/>
      <c r="EPM26"/>
      <c r="EPQ26"/>
      <c r="EPU26"/>
      <c r="EPY26"/>
      <c r="EQC26"/>
      <c r="EQG26"/>
      <c r="EQK26"/>
      <c r="EQO26"/>
      <c r="EQS26"/>
      <c r="EQW26"/>
      <c r="ERA26"/>
      <c r="ERE26"/>
      <c r="ERI26"/>
      <c r="ERM26"/>
      <c r="ERQ26"/>
      <c r="ERU26"/>
      <c r="ERY26"/>
      <c r="ESC26"/>
      <c r="ESG26"/>
      <c r="ESK26"/>
      <c r="ESO26"/>
      <c r="ESS26"/>
      <c r="ESW26"/>
      <c r="ETA26"/>
      <c r="ETE26"/>
      <c r="ETI26"/>
      <c r="ETM26"/>
      <c r="ETQ26"/>
      <c r="ETU26"/>
      <c r="ETY26"/>
      <c r="EUC26"/>
      <c r="EUG26"/>
      <c r="EUK26"/>
      <c r="EUO26"/>
      <c r="EUS26"/>
      <c r="EUW26"/>
      <c r="EVA26"/>
      <c r="EVE26"/>
      <c r="EVI26"/>
      <c r="EVM26"/>
      <c r="EVQ26"/>
      <c r="EVU26"/>
      <c r="EVY26"/>
      <c r="EWC26"/>
      <c r="EWG26"/>
      <c r="EWK26"/>
      <c r="EWO26"/>
      <c r="EWS26"/>
      <c r="EWW26"/>
      <c r="EXA26"/>
      <c r="EXE26"/>
      <c r="EXI26"/>
      <c r="EXM26"/>
      <c r="EXQ26"/>
      <c r="EXU26"/>
      <c r="EXY26"/>
      <c r="EYC26"/>
      <c r="EYG26"/>
      <c r="EYK26"/>
      <c r="EYO26"/>
      <c r="EYS26"/>
      <c r="EYW26"/>
      <c r="EZA26"/>
      <c r="EZE26"/>
      <c r="EZI26"/>
      <c r="EZM26"/>
      <c r="EZQ26"/>
      <c r="EZU26"/>
      <c r="EZY26"/>
      <c r="FAC26"/>
      <c r="FAG26"/>
      <c r="FAK26"/>
      <c r="FAO26"/>
      <c r="FAS26"/>
      <c r="FAW26"/>
      <c r="FBA26"/>
      <c r="FBE26"/>
      <c r="FBI26"/>
      <c r="FBM26"/>
      <c r="FBQ26"/>
      <c r="FBU26"/>
      <c r="FBY26"/>
      <c r="FCC26"/>
      <c r="FCG26"/>
      <c r="FCK26"/>
      <c r="FCO26"/>
      <c r="FCS26"/>
      <c r="FCW26"/>
      <c r="FDA26"/>
      <c r="FDE26"/>
      <c r="FDI26"/>
      <c r="FDM26"/>
      <c r="FDQ26"/>
      <c r="FDU26"/>
      <c r="FDY26"/>
      <c r="FEC26"/>
      <c r="FEG26"/>
      <c r="FEK26"/>
      <c r="FEO26"/>
      <c r="FES26"/>
      <c r="FEW26"/>
      <c r="FFA26"/>
      <c r="FFE26"/>
      <c r="FFI26"/>
      <c r="FFM26"/>
      <c r="FFQ26"/>
      <c r="FFU26"/>
      <c r="FFY26"/>
      <c r="FGC26"/>
      <c r="FGG26"/>
      <c r="FGK26"/>
      <c r="FGO26"/>
      <c r="FGS26"/>
      <c r="FGW26"/>
      <c r="FHA26"/>
      <c r="FHE26"/>
      <c r="FHI26"/>
      <c r="FHM26"/>
      <c r="FHQ26"/>
      <c r="FHU26"/>
      <c r="FHY26"/>
      <c r="FIC26"/>
      <c r="FIG26"/>
      <c r="FIK26"/>
      <c r="FIO26"/>
      <c r="FIS26"/>
      <c r="FIW26"/>
      <c r="FJA26"/>
      <c r="FJE26"/>
      <c r="FJI26"/>
      <c r="FJM26"/>
      <c r="FJQ26"/>
      <c r="FJU26"/>
      <c r="FJY26"/>
      <c r="FKC26"/>
      <c r="FKG26"/>
      <c r="FKK26"/>
      <c r="FKO26"/>
      <c r="FKS26"/>
      <c r="FKW26"/>
      <c r="FLA26"/>
      <c r="FLE26"/>
      <c r="FLI26"/>
      <c r="FLM26"/>
      <c r="FLQ26"/>
      <c r="FLU26"/>
      <c r="FLY26"/>
      <c r="FMC26"/>
      <c r="FMG26"/>
      <c r="FMK26"/>
      <c r="FMO26"/>
      <c r="FMS26"/>
      <c r="FMW26"/>
      <c r="FNA26"/>
      <c r="FNE26"/>
      <c r="FNI26"/>
      <c r="FNM26"/>
      <c r="FNQ26"/>
      <c r="FNU26"/>
      <c r="FNY26"/>
      <c r="FOC26"/>
      <c r="FOG26"/>
      <c r="FOK26"/>
      <c r="FOO26"/>
      <c r="FOS26"/>
      <c r="FOW26"/>
      <c r="FPA26"/>
      <c r="FPE26"/>
      <c r="FPI26"/>
      <c r="FPM26"/>
      <c r="FPQ26"/>
      <c r="FPU26"/>
      <c r="FPY26"/>
      <c r="FQC26"/>
      <c r="FQG26"/>
      <c r="FQK26"/>
      <c r="FQO26"/>
      <c r="FQS26"/>
      <c r="FQW26"/>
      <c r="FRA26"/>
      <c r="FRE26"/>
      <c r="FRI26"/>
      <c r="FRM26"/>
      <c r="FRQ26"/>
      <c r="FRU26"/>
      <c r="FRY26"/>
      <c r="FSC26"/>
      <c r="FSG26"/>
      <c r="FSK26"/>
      <c r="FSO26"/>
      <c r="FSS26"/>
      <c r="FSW26"/>
      <c r="FTA26"/>
      <c r="FTE26"/>
      <c r="FTI26"/>
      <c r="FTM26"/>
      <c r="FTQ26"/>
      <c r="FTU26"/>
      <c r="FTY26"/>
      <c r="FUC26"/>
      <c r="FUG26"/>
      <c r="FUK26"/>
      <c r="FUO26"/>
      <c r="FUS26"/>
      <c r="FUW26"/>
      <c r="FVA26"/>
      <c r="FVE26"/>
      <c r="FVI26"/>
      <c r="FVM26"/>
      <c r="FVQ26"/>
      <c r="FVU26"/>
      <c r="FVY26"/>
      <c r="FWC26"/>
      <c r="FWG26"/>
      <c r="FWK26"/>
      <c r="FWO26"/>
      <c r="FWS26"/>
      <c r="FWW26"/>
      <c r="FXA26"/>
      <c r="FXE26"/>
      <c r="FXI26"/>
      <c r="FXM26"/>
      <c r="FXQ26"/>
      <c r="FXU26"/>
      <c r="FXY26"/>
      <c r="FYC26"/>
      <c r="FYG26"/>
      <c r="FYK26"/>
      <c r="FYO26"/>
      <c r="FYS26"/>
      <c r="FYW26"/>
      <c r="FZA26"/>
      <c r="FZE26"/>
      <c r="FZI26"/>
      <c r="FZM26"/>
      <c r="FZQ26"/>
      <c r="FZU26"/>
      <c r="FZY26"/>
      <c r="GAC26"/>
      <c r="GAG26"/>
      <c r="GAK26"/>
      <c r="GAO26"/>
      <c r="GAS26"/>
      <c r="GAW26"/>
      <c r="GBA26"/>
      <c r="GBE26"/>
      <c r="GBI26"/>
      <c r="GBM26"/>
      <c r="GBQ26"/>
      <c r="GBU26"/>
      <c r="GBY26"/>
      <c r="GCC26"/>
      <c r="GCG26"/>
      <c r="GCK26"/>
      <c r="GCO26"/>
      <c r="GCS26"/>
      <c r="GCW26"/>
      <c r="GDA26"/>
      <c r="GDE26"/>
      <c r="GDI26"/>
      <c r="GDM26"/>
      <c r="GDQ26"/>
      <c r="GDU26"/>
      <c r="GDY26"/>
      <c r="GEC26"/>
      <c r="GEG26"/>
      <c r="GEK26"/>
      <c r="GEO26"/>
      <c r="GES26"/>
      <c r="GEW26"/>
      <c r="GFA26"/>
      <c r="GFE26"/>
      <c r="GFI26"/>
      <c r="GFM26"/>
      <c r="GFQ26"/>
      <c r="GFU26"/>
      <c r="GFY26"/>
      <c r="GGC26"/>
      <c r="GGG26"/>
      <c r="GGK26"/>
      <c r="GGO26"/>
      <c r="GGS26"/>
      <c r="GGW26"/>
      <c r="GHA26"/>
      <c r="GHE26"/>
      <c r="GHI26"/>
      <c r="GHM26"/>
      <c r="GHQ26"/>
      <c r="GHU26"/>
      <c r="GHY26"/>
      <c r="GIC26"/>
      <c r="GIG26"/>
      <c r="GIK26"/>
      <c r="GIO26"/>
      <c r="GIS26"/>
      <c r="GIW26"/>
      <c r="GJA26"/>
      <c r="GJE26"/>
      <c r="GJI26"/>
      <c r="GJM26"/>
      <c r="GJQ26"/>
      <c r="GJU26"/>
      <c r="GJY26"/>
      <c r="GKC26"/>
      <c r="GKG26"/>
      <c r="GKK26"/>
      <c r="GKO26"/>
      <c r="GKS26"/>
      <c r="GKW26"/>
      <c r="GLA26"/>
      <c r="GLE26"/>
      <c r="GLI26"/>
      <c r="GLM26"/>
      <c r="GLQ26"/>
      <c r="GLU26"/>
      <c r="GLY26"/>
      <c r="GMC26"/>
      <c r="GMG26"/>
      <c r="GMK26"/>
      <c r="GMO26"/>
      <c r="GMS26"/>
      <c r="GMW26"/>
      <c r="GNA26"/>
      <c r="GNE26"/>
      <c r="GNI26"/>
      <c r="GNM26"/>
      <c r="GNQ26"/>
      <c r="GNU26"/>
      <c r="GNY26"/>
      <c r="GOC26"/>
      <c r="GOG26"/>
      <c r="GOK26"/>
      <c r="GOO26"/>
      <c r="GOS26"/>
      <c r="GOW26"/>
      <c r="GPA26"/>
      <c r="GPE26"/>
      <c r="GPI26"/>
      <c r="GPM26"/>
      <c r="GPQ26"/>
      <c r="GPU26"/>
      <c r="GPY26"/>
      <c r="GQC26"/>
      <c r="GQG26"/>
      <c r="GQK26"/>
      <c r="GQO26"/>
      <c r="GQS26"/>
      <c r="GQW26"/>
      <c r="GRA26"/>
      <c r="GRE26"/>
      <c r="GRI26"/>
      <c r="GRM26"/>
      <c r="GRQ26"/>
      <c r="GRU26"/>
      <c r="GRY26"/>
      <c r="GSC26"/>
      <c r="GSG26"/>
      <c r="GSK26"/>
      <c r="GSO26"/>
      <c r="GSS26"/>
      <c r="GSW26"/>
      <c r="GTA26"/>
      <c r="GTE26"/>
      <c r="GTI26"/>
      <c r="GTM26"/>
      <c r="GTQ26"/>
      <c r="GTU26"/>
      <c r="GTY26"/>
      <c r="GUC26"/>
      <c r="GUG26"/>
      <c r="GUK26"/>
      <c r="GUO26"/>
      <c r="GUS26"/>
      <c r="GUW26"/>
      <c r="GVA26"/>
      <c r="GVE26"/>
      <c r="GVI26"/>
      <c r="GVM26"/>
      <c r="GVQ26"/>
      <c r="GVU26"/>
      <c r="GVY26"/>
      <c r="GWC26"/>
      <c r="GWG26"/>
      <c r="GWK26"/>
      <c r="GWO26"/>
      <c r="GWS26"/>
      <c r="GWW26"/>
      <c r="GXA26"/>
      <c r="GXE26"/>
      <c r="GXI26"/>
      <c r="GXM26"/>
      <c r="GXQ26"/>
      <c r="GXU26"/>
      <c r="GXY26"/>
      <c r="GYC26"/>
      <c r="GYG26"/>
      <c r="GYK26"/>
      <c r="GYO26"/>
      <c r="GYS26"/>
      <c r="GYW26"/>
      <c r="GZA26"/>
      <c r="GZE26"/>
      <c r="GZI26"/>
      <c r="GZM26"/>
      <c r="GZQ26"/>
      <c r="GZU26"/>
      <c r="GZY26"/>
      <c r="HAC26"/>
      <c r="HAG26"/>
      <c r="HAK26"/>
      <c r="HAO26"/>
      <c r="HAS26"/>
      <c r="HAW26"/>
      <c r="HBA26"/>
      <c r="HBE26"/>
      <c r="HBI26"/>
      <c r="HBM26"/>
      <c r="HBQ26"/>
      <c r="HBU26"/>
      <c r="HBY26"/>
      <c r="HCC26"/>
      <c r="HCG26"/>
      <c r="HCK26"/>
      <c r="HCO26"/>
      <c r="HCS26"/>
      <c r="HCW26"/>
      <c r="HDA26"/>
      <c r="HDE26"/>
      <c r="HDI26"/>
      <c r="HDM26"/>
      <c r="HDQ26"/>
      <c r="HDU26"/>
      <c r="HDY26"/>
      <c r="HEC26"/>
      <c r="HEG26"/>
      <c r="HEK26"/>
      <c r="HEO26"/>
      <c r="HES26"/>
      <c r="HEW26"/>
      <c r="HFA26"/>
      <c r="HFE26"/>
      <c r="HFI26"/>
      <c r="HFM26"/>
      <c r="HFQ26"/>
      <c r="HFU26"/>
      <c r="HFY26"/>
      <c r="HGC26"/>
      <c r="HGG26"/>
      <c r="HGK26"/>
      <c r="HGO26"/>
      <c r="HGS26"/>
      <c r="HGW26"/>
      <c r="HHA26"/>
      <c r="HHE26"/>
      <c r="HHI26"/>
      <c r="HHM26"/>
      <c r="HHQ26"/>
      <c r="HHU26"/>
      <c r="HHY26"/>
      <c r="HIC26"/>
      <c r="HIG26"/>
      <c r="HIK26"/>
      <c r="HIO26"/>
      <c r="HIS26"/>
      <c r="HIW26"/>
      <c r="HJA26"/>
      <c r="HJE26"/>
      <c r="HJI26"/>
      <c r="HJM26"/>
      <c r="HJQ26"/>
      <c r="HJU26"/>
      <c r="HJY26"/>
      <c r="HKC26"/>
      <c r="HKG26"/>
      <c r="HKK26"/>
      <c r="HKO26"/>
      <c r="HKS26"/>
      <c r="HKW26"/>
      <c r="HLA26"/>
      <c r="HLE26"/>
      <c r="HLI26"/>
      <c r="HLM26"/>
      <c r="HLQ26"/>
      <c r="HLU26"/>
      <c r="HLY26"/>
      <c r="HMC26"/>
      <c r="HMG26"/>
      <c r="HMK26"/>
      <c r="HMO26"/>
      <c r="HMS26"/>
      <c r="HMW26"/>
      <c r="HNA26"/>
      <c r="HNE26"/>
      <c r="HNI26"/>
      <c r="HNM26"/>
      <c r="HNQ26"/>
      <c r="HNU26"/>
      <c r="HNY26"/>
      <c r="HOC26"/>
      <c r="HOG26"/>
      <c r="HOK26"/>
      <c r="HOO26"/>
      <c r="HOS26"/>
      <c r="HOW26"/>
      <c r="HPA26"/>
      <c r="HPE26"/>
      <c r="HPI26"/>
      <c r="HPM26"/>
      <c r="HPQ26"/>
      <c r="HPU26"/>
      <c r="HPY26"/>
      <c r="HQC26"/>
      <c r="HQG26"/>
      <c r="HQK26"/>
      <c r="HQO26"/>
      <c r="HQS26"/>
      <c r="HQW26"/>
      <c r="HRA26"/>
      <c r="HRE26"/>
      <c r="HRI26"/>
      <c r="HRM26"/>
      <c r="HRQ26"/>
      <c r="HRU26"/>
      <c r="HRY26"/>
      <c r="HSC26"/>
      <c r="HSG26"/>
      <c r="HSK26"/>
      <c r="HSO26"/>
      <c r="HSS26"/>
      <c r="HSW26"/>
      <c r="HTA26"/>
      <c r="HTE26"/>
      <c r="HTI26"/>
      <c r="HTM26"/>
      <c r="HTQ26"/>
      <c r="HTU26"/>
      <c r="HTY26"/>
      <c r="HUC26"/>
      <c r="HUG26"/>
      <c r="HUK26"/>
      <c r="HUO26"/>
      <c r="HUS26"/>
      <c r="HUW26"/>
      <c r="HVA26"/>
      <c r="HVE26"/>
      <c r="HVI26"/>
      <c r="HVM26"/>
      <c r="HVQ26"/>
      <c r="HVU26"/>
      <c r="HVY26"/>
      <c r="HWC26"/>
      <c r="HWG26"/>
      <c r="HWK26"/>
      <c r="HWO26"/>
      <c r="HWS26"/>
      <c r="HWW26"/>
      <c r="HXA26"/>
      <c r="HXE26"/>
      <c r="HXI26"/>
      <c r="HXM26"/>
      <c r="HXQ26"/>
      <c r="HXU26"/>
      <c r="HXY26"/>
      <c r="HYC26"/>
      <c r="HYG26"/>
      <c r="HYK26"/>
      <c r="HYO26"/>
      <c r="HYS26"/>
      <c r="HYW26"/>
      <c r="HZA26"/>
      <c r="HZE26"/>
      <c r="HZI26"/>
      <c r="HZM26"/>
      <c r="HZQ26"/>
      <c r="HZU26"/>
      <c r="HZY26"/>
      <c r="IAC26"/>
      <c r="IAG26"/>
      <c r="IAK26"/>
      <c r="IAO26"/>
      <c r="IAS26"/>
      <c r="IAW26"/>
      <c r="IBA26"/>
      <c r="IBE26"/>
      <c r="IBI26"/>
      <c r="IBM26"/>
      <c r="IBQ26"/>
      <c r="IBU26"/>
      <c r="IBY26"/>
      <c r="ICC26"/>
      <c r="ICG26"/>
      <c r="ICK26"/>
      <c r="ICO26"/>
      <c r="ICS26"/>
      <c r="ICW26"/>
      <c r="IDA26"/>
      <c r="IDE26"/>
      <c r="IDI26"/>
      <c r="IDM26"/>
      <c r="IDQ26"/>
      <c r="IDU26"/>
      <c r="IDY26"/>
      <c r="IEC26"/>
      <c r="IEG26"/>
      <c r="IEK26"/>
      <c r="IEO26"/>
      <c r="IES26"/>
      <c r="IEW26"/>
      <c r="IFA26"/>
      <c r="IFE26"/>
      <c r="IFI26"/>
      <c r="IFM26"/>
      <c r="IFQ26"/>
      <c r="IFU26"/>
      <c r="IFY26"/>
      <c r="IGC26"/>
      <c r="IGG26"/>
      <c r="IGK26"/>
      <c r="IGO26"/>
      <c r="IGS26"/>
      <c r="IGW26"/>
      <c r="IHA26"/>
      <c r="IHE26"/>
      <c r="IHI26"/>
      <c r="IHM26"/>
      <c r="IHQ26"/>
      <c r="IHU26"/>
      <c r="IHY26"/>
      <c r="IIC26"/>
      <c r="IIG26"/>
      <c r="IIK26"/>
      <c r="IIO26"/>
      <c r="IIS26"/>
      <c r="IIW26"/>
      <c r="IJA26"/>
      <c r="IJE26"/>
      <c r="IJI26"/>
      <c r="IJM26"/>
      <c r="IJQ26"/>
      <c r="IJU26"/>
      <c r="IJY26"/>
      <c r="IKC26"/>
      <c r="IKG26"/>
      <c r="IKK26"/>
      <c r="IKO26"/>
      <c r="IKS26"/>
      <c r="IKW26"/>
      <c r="ILA26"/>
      <c r="ILE26"/>
      <c r="ILI26"/>
      <c r="ILM26"/>
      <c r="ILQ26"/>
      <c r="ILU26"/>
      <c r="ILY26"/>
      <c r="IMC26"/>
      <c r="IMG26"/>
      <c r="IMK26"/>
      <c r="IMO26"/>
      <c r="IMS26"/>
      <c r="IMW26"/>
      <c r="INA26"/>
      <c r="INE26"/>
      <c r="INI26"/>
      <c r="INM26"/>
      <c r="INQ26"/>
      <c r="INU26"/>
      <c r="INY26"/>
      <c r="IOC26"/>
      <c r="IOG26"/>
      <c r="IOK26"/>
      <c r="IOO26"/>
      <c r="IOS26"/>
      <c r="IOW26"/>
      <c r="IPA26"/>
      <c r="IPE26"/>
      <c r="IPI26"/>
      <c r="IPM26"/>
      <c r="IPQ26"/>
      <c r="IPU26"/>
      <c r="IPY26"/>
      <c r="IQC26"/>
      <c r="IQG26"/>
      <c r="IQK26"/>
      <c r="IQO26"/>
      <c r="IQS26"/>
      <c r="IQW26"/>
      <c r="IRA26"/>
      <c r="IRE26"/>
      <c r="IRI26"/>
      <c r="IRM26"/>
      <c r="IRQ26"/>
      <c r="IRU26"/>
      <c r="IRY26"/>
      <c r="ISC26"/>
      <c r="ISG26"/>
      <c r="ISK26"/>
      <c r="ISO26"/>
      <c r="ISS26"/>
      <c r="ISW26"/>
      <c r="ITA26"/>
      <c r="ITE26"/>
      <c r="ITI26"/>
      <c r="ITM26"/>
      <c r="ITQ26"/>
      <c r="ITU26"/>
      <c r="ITY26"/>
      <c r="IUC26"/>
      <c r="IUG26"/>
      <c r="IUK26"/>
      <c r="IUO26"/>
      <c r="IUS26"/>
      <c r="IUW26"/>
      <c r="IVA26"/>
      <c r="IVE26"/>
      <c r="IVI26"/>
      <c r="IVM26"/>
      <c r="IVQ26"/>
      <c r="IVU26"/>
      <c r="IVY26"/>
      <c r="IWC26"/>
      <c r="IWG26"/>
      <c r="IWK26"/>
      <c r="IWO26"/>
      <c r="IWS26"/>
      <c r="IWW26"/>
      <c r="IXA26"/>
      <c r="IXE26"/>
      <c r="IXI26"/>
      <c r="IXM26"/>
      <c r="IXQ26"/>
      <c r="IXU26"/>
      <c r="IXY26"/>
      <c r="IYC26"/>
      <c r="IYG26"/>
      <c r="IYK26"/>
      <c r="IYO26"/>
      <c r="IYS26"/>
      <c r="IYW26"/>
      <c r="IZA26"/>
      <c r="IZE26"/>
      <c r="IZI26"/>
      <c r="IZM26"/>
      <c r="IZQ26"/>
      <c r="IZU26"/>
      <c r="IZY26"/>
      <c r="JAC26"/>
      <c r="JAG26"/>
      <c r="JAK26"/>
      <c r="JAO26"/>
      <c r="JAS26"/>
      <c r="JAW26"/>
      <c r="JBA26"/>
      <c r="JBE26"/>
      <c r="JBI26"/>
      <c r="JBM26"/>
      <c r="JBQ26"/>
      <c r="JBU26"/>
      <c r="JBY26"/>
      <c r="JCC26"/>
      <c r="JCG26"/>
      <c r="JCK26"/>
      <c r="JCO26"/>
      <c r="JCS26"/>
      <c r="JCW26"/>
      <c r="JDA26"/>
      <c r="JDE26"/>
      <c r="JDI26"/>
      <c r="JDM26"/>
      <c r="JDQ26"/>
      <c r="JDU26"/>
      <c r="JDY26"/>
      <c r="JEC26"/>
      <c r="JEG26"/>
      <c r="JEK26"/>
      <c r="JEO26"/>
      <c r="JES26"/>
      <c r="JEW26"/>
      <c r="JFA26"/>
      <c r="JFE26"/>
      <c r="JFI26"/>
      <c r="JFM26"/>
      <c r="JFQ26"/>
      <c r="JFU26"/>
      <c r="JFY26"/>
      <c r="JGC26"/>
      <c r="JGG26"/>
      <c r="JGK26"/>
      <c r="JGO26"/>
      <c r="JGS26"/>
      <c r="JGW26"/>
      <c r="JHA26"/>
      <c r="JHE26"/>
      <c r="JHI26"/>
      <c r="JHM26"/>
      <c r="JHQ26"/>
      <c r="JHU26"/>
      <c r="JHY26"/>
      <c r="JIC26"/>
      <c r="JIG26"/>
      <c r="JIK26"/>
      <c r="JIO26"/>
      <c r="JIS26"/>
      <c r="JIW26"/>
      <c r="JJA26"/>
      <c r="JJE26"/>
      <c r="JJI26"/>
      <c r="JJM26"/>
      <c r="JJQ26"/>
      <c r="JJU26"/>
      <c r="JJY26"/>
      <c r="JKC26"/>
      <c r="JKG26"/>
      <c r="JKK26"/>
      <c r="JKO26"/>
      <c r="JKS26"/>
      <c r="JKW26"/>
      <c r="JLA26"/>
      <c r="JLE26"/>
      <c r="JLI26"/>
      <c r="JLM26"/>
      <c r="JLQ26"/>
      <c r="JLU26"/>
      <c r="JLY26"/>
      <c r="JMC26"/>
      <c r="JMG26"/>
      <c r="JMK26"/>
      <c r="JMO26"/>
      <c r="JMS26"/>
      <c r="JMW26"/>
      <c r="JNA26"/>
      <c r="JNE26"/>
      <c r="JNI26"/>
      <c r="JNM26"/>
      <c r="JNQ26"/>
      <c r="JNU26"/>
      <c r="JNY26"/>
      <c r="JOC26"/>
      <c r="JOG26"/>
      <c r="JOK26"/>
      <c r="JOO26"/>
      <c r="JOS26"/>
      <c r="JOW26"/>
      <c r="JPA26"/>
      <c r="JPE26"/>
      <c r="JPI26"/>
      <c r="JPM26"/>
      <c r="JPQ26"/>
      <c r="JPU26"/>
      <c r="JPY26"/>
      <c r="JQC26"/>
      <c r="JQG26"/>
      <c r="JQK26"/>
      <c r="JQO26"/>
      <c r="JQS26"/>
      <c r="JQW26"/>
      <c r="JRA26"/>
      <c r="JRE26"/>
      <c r="JRI26"/>
      <c r="JRM26"/>
      <c r="JRQ26"/>
      <c r="JRU26"/>
      <c r="JRY26"/>
      <c r="JSC26"/>
      <c r="JSG26"/>
      <c r="JSK26"/>
      <c r="JSO26"/>
      <c r="JSS26"/>
      <c r="JSW26"/>
      <c r="JTA26"/>
      <c r="JTE26"/>
      <c r="JTI26"/>
      <c r="JTM26"/>
      <c r="JTQ26"/>
      <c r="JTU26"/>
      <c r="JTY26"/>
      <c r="JUC26"/>
      <c r="JUG26"/>
      <c r="JUK26"/>
      <c r="JUO26"/>
      <c r="JUS26"/>
      <c r="JUW26"/>
      <c r="JVA26"/>
      <c r="JVE26"/>
      <c r="JVI26"/>
      <c r="JVM26"/>
      <c r="JVQ26"/>
      <c r="JVU26"/>
      <c r="JVY26"/>
      <c r="JWC26"/>
      <c r="JWG26"/>
      <c r="JWK26"/>
      <c r="JWO26"/>
      <c r="JWS26"/>
      <c r="JWW26"/>
      <c r="JXA26"/>
      <c r="JXE26"/>
      <c r="JXI26"/>
      <c r="JXM26"/>
      <c r="JXQ26"/>
      <c r="JXU26"/>
      <c r="JXY26"/>
      <c r="JYC26"/>
      <c r="JYG26"/>
      <c r="JYK26"/>
      <c r="JYO26"/>
      <c r="JYS26"/>
      <c r="JYW26"/>
      <c r="JZA26"/>
      <c r="JZE26"/>
      <c r="JZI26"/>
      <c r="JZM26"/>
      <c r="JZQ26"/>
      <c r="JZU26"/>
      <c r="JZY26"/>
      <c r="KAC26"/>
      <c r="KAG26"/>
      <c r="KAK26"/>
      <c r="KAO26"/>
      <c r="KAS26"/>
      <c r="KAW26"/>
      <c r="KBA26"/>
      <c r="KBE26"/>
      <c r="KBI26"/>
      <c r="KBM26"/>
      <c r="KBQ26"/>
      <c r="KBU26"/>
      <c r="KBY26"/>
      <c r="KCC26"/>
      <c r="KCG26"/>
      <c r="KCK26"/>
      <c r="KCO26"/>
      <c r="KCS26"/>
      <c r="KCW26"/>
      <c r="KDA26"/>
      <c r="KDE26"/>
      <c r="KDI26"/>
      <c r="KDM26"/>
      <c r="KDQ26"/>
      <c r="KDU26"/>
      <c r="KDY26"/>
      <c r="KEC26"/>
      <c r="KEG26"/>
      <c r="KEK26"/>
      <c r="KEO26"/>
      <c r="KES26"/>
      <c r="KEW26"/>
      <c r="KFA26"/>
      <c r="KFE26"/>
      <c r="KFI26"/>
      <c r="KFM26"/>
      <c r="KFQ26"/>
      <c r="KFU26"/>
      <c r="KFY26"/>
      <c r="KGC26"/>
      <c r="KGG26"/>
      <c r="KGK26"/>
      <c r="KGO26"/>
      <c r="KGS26"/>
      <c r="KGW26"/>
      <c r="KHA26"/>
      <c r="KHE26"/>
      <c r="KHI26"/>
      <c r="KHM26"/>
      <c r="KHQ26"/>
      <c r="KHU26"/>
      <c r="KHY26"/>
      <c r="KIC26"/>
      <c r="KIG26"/>
      <c r="KIK26"/>
      <c r="KIO26"/>
      <c r="KIS26"/>
      <c r="KIW26"/>
      <c r="KJA26"/>
      <c r="KJE26"/>
      <c r="KJI26"/>
      <c r="KJM26"/>
      <c r="KJQ26"/>
      <c r="KJU26"/>
      <c r="KJY26"/>
      <c r="KKC26"/>
      <c r="KKG26"/>
      <c r="KKK26"/>
      <c r="KKO26"/>
      <c r="KKS26"/>
      <c r="KKW26"/>
      <c r="KLA26"/>
      <c r="KLE26"/>
      <c r="KLI26"/>
      <c r="KLM26"/>
      <c r="KLQ26"/>
      <c r="KLU26"/>
      <c r="KLY26"/>
      <c r="KMC26"/>
      <c r="KMG26"/>
      <c r="KMK26"/>
      <c r="KMO26"/>
      <c r="KMS26"/>
      <c r="KMW26"/>
      <c r="KNA26"/>
      <c r="KNE26"/>
      <c r="KNI26"/>
      <c r="KNM26"/>
      <c r="KNQ26"/>
      <c r="KNU26"/>
      <c r="KNY26"/>
      <c r="KOC26"/>
      <c r="KOG26"/>
      <c r="KOK26"/>
      <c r="KOO26"/>
      <c r="KOS26"/>
      <c r="KOW26"/>
      <c r="KPA26"/>
      <c r="KPE26"/>
      <c r="KPI26"/>
      <c r="KPM26"/>
      <c r="KPQ26"/>
      <c r="KPU26"/>
      <c r="KPY26"/>
      <c r="KQC26"/>
      <c r="KQG26"/>
      <c r="KQK26"/>
      <c r="KQO26"/>
      <c r="KQS26"/>
      <c r="KQW26"/>
      <c r="KRA26"/>
      <c r="KRE26"/>
      <c r="KRI26"/>
      <c r="KRM26"/>
      <c r="KRQ26"/>
      <c r="KRU26"/>
      <c r="KRY26"/>
      <c r="KSC26"/>
      <c r="KSG26"/>
      <c r="KSK26"/>
      <c r="KSO26"/>
      <c r="KSS26"/>
      <c r="KSW26"/>
      <c r="KTA26"/>
      <c r="KTE26"/>
      <c r="KTI26"/>
      <c r="KTM26"/>
      <c r="KTQ26"/>
      <c r="KTU26"/>
      <c r="KTY26"/>
      <c r="KUC26"/>
      <c r="KUG26"/>
      <c r="KUK26"/>
      <c r="KUO26"/>
      <c r="KUS26"/>
      <c r="KUW26"/>
      <c r="KVA26"/>
      <c r="KVE26"/>
      <c r="KVI26"/>
      <c r="KVM26"/>
      <c r="KVQ26"/>
      <c r="KVU26"/>
      <c r="KVY26"/>
      <c r="KWC26"/>
      <c r="KWG26"/>
      <c r="KWK26"/>
      <c r="KWO26"/>
      <c r="KWS26"/>
      <c r="KWW26"/>
      <c r="KXA26"/>
      <c r="KXE26"/>
      <c r="KXI26"/>
      <c r="KXM26"/>
      <c r="KXQ26"/>
      <c r="KXU26"/>
      <c r="KXY26"/>
      <c r="KYC26"/>
      <c r="KYG26"/>
      <c r="KYK26"/>
      <c r="KYO26"/>
      <c r="KYS26"/>
      <c r="KYW26"/>
      <c r="KZA26"/>
      <c r="KZE26"/>
      <c r="KZI26"/>
      <c r="KZM26"/>
      <c r="KZQ26"/>
      <c r="KZU26"/>
      <c r="KZY26"/>
      <c r="LAC26"/>
      <c r="LAG26"/>
      <c r="LAK26"/>
      <c r="LAO26"/>
      <c r="LAS26"/>
      <c r="LAW26"/>
      <c r="LBA26"/>
      <c r="LBE26"/>
      <c r="LBI26"/>
      <c r="LBM26"/>
      <c r="LBQ26"/>
      <c r="LBU26"/>
      <c r="LBY26"/>
      <c r="LCC26"/>
      <c r="LCG26"/>
      <c r="LCK26"/>
      <c r="LCO26"/>
      <c r="LCS26"/>
      <c r="LCW26"/>
      <c r="LDA26"/>
      <c r="LDE26"/>
      <c r="LDI26"/>
      <c r="LDM26"/>
      <c r="LDQ26"/>
      <c r="LDU26"/>
      <c r="LDY26"/>
      <c r="LEC26"/>
      <c r="LEG26"/>
      <c r="LEK26"/>
      <c r="LEO26"/>
      <c r="LES26"/>
      <c r="LEW26"/>
      <c r="LFA26"/>
      <c r="LFE26"/>
      <c r="LFI26"/>
      <c r="LFM26"/>
      <c r="LFQ26"/>
      <c r="LFU26"/>
      <c r="LFY26"/>
      <c r="LGC26"/>
      <c r="LGG26"/>
      <c r="LGK26"/>
      <c r="LGO26"/>
      <c r="LGS26"/>
      <c r="LGW26"/>
      <c r="LHA26"/>
      <c r="LHE26"/>
      <c r="LHI26"/>
      <c r="LHM26"/>
      <c r="LHQ26"/>
      <c r="LHU26"/>
      <c r="LHY26"/>
      <c r="LIC26"/>
      <c r="LIG26"/>
      <c r="LIK26"/>
      <c r="LIO26"/>
      <c r="LIS26"/>
      <c r="LIW26"/>
      <c r="LJA26"/>
      <c r="LJE26"/>
      <c r="LJI26"/>
      <c r="LJM26"/>
      <c r="LJQ26"/>
      <c r="LJU26"/>
      <c r="LJY26"/>
      <c r="LKC26"/>
      <c r="LKG26"/>
      <c r="LKK26"/>
      <c r="LKO26"/>
      <c r="LKS26"/>
      <c r="LKW26"/>
      <c r="LLA26"/>
      <c r="LLE26"/>
      <c r="LLI26"/>
      <c r="LLM26"/>
      <c r="LLQ26"/>
      <c r="LLU26"/>
      <c r="LLY26"/>
      <c r="LMC26"/>
      <c r="LMG26"/>
      <c r="LMK26"/>
      <c r="LMO26"/>
      <c r="LMS26"/>
      <c r="LMW26"/>
      <c r="LNA26"/>
      <c r="LNE26"/>
      <c r="LNI26"/>
      <c r="LNM26"/>
      <c r="LNQ26"/>
      <c r="LNU26"/>
      <c r="LNY26"/>
      <c r="LOC26"/>
      <c r="LOG26"/>
      <c r="LOK26"/>
      <c r="LOO26"/>
      <c r="LOS26"/>
      <c r="LOW26"/>
      <c r="LPA26"/>
      <c r="LPE26"/>
      <c r="LPI26"/>
      <c r="LPM26"/>
      <c r="LPQ26"/>
      <c r="LPU26"/>
      <c r="LPY26"/>
      <c r="LQC26"/>
      <c r="LQG26"/>
      <c r="LQK26"/>
      <c r="LQO26"/>
      <c r="LQS26"/>
      <c r="LQW26"/>
      <c r="LRA26"/>
      <c r="LRE26"/>
      <c r="LRI26"/>
      <c r="LRM26"/>
      <c r="LRQ26"/>
      <c r="LRU26"/>
      <c r="LRY26"/>
      <c r="LSC26"/>
      <c r="LSG26"/>
      <c r="LSK26"/>
      <c r="LSO26"/>
      <c r="LSS26"/>
      <c r="LSW26"/>
      <c r="LTA26"/>
      <c r="LTE26"/>
      <c r="LTI26"/>
      <c r="LTM26"/>
      <c r="LTQ26"/>
      <c r="LTU26"/>
      <c r="LTY26"/>
      <c r="LUC26"/>
      <c r="LUG26"/>
      <c r="LUK26"/>
      <c r="LUO26"/>
      <c r="LUS26"/>
      <c r="LUW26"/>
      <c r="LVA26"/>
      <c r="LVE26"/>
      <c r="LVI26"/>
      <c r="LVM26"/>
      <c r="LVQ26"/>
      <c r="LVU26"/>
      <c r="LVY26"/>
      <c r="LWC26"/>
      <c r="LWG26"/>
      <c r="LWK26"/>
      <c r="LWO26"/>
      <c r="LWS26"/>
      <c r="LWW26"/>
      <c r="LXA26"/>
      <c r="LXE26"/>
      <c r="LXI26"/>
      <c r="LXM26"/>
      <c r="LXQ26"/>
      <c r="LXU26"/>
      <c r="LXY26"/>
      <c r="LYC26"/>
      <c r="LYG26"/>
      <c r="LYK26"/>
      <c r="LYO26"/>
      <c r="LYS26"/>
      <c r="LYW26"/>
      <c r="LZA26"/>
      <c r="LZE26"/>
      <c r="LZI26"/>
      <c r="LZM26"/>
      <c r="LZQ26"/>
      <c r="LZU26"/>
      <c r="LZY26"/>
      <c r="MAC26"/>
      <c r="MAG26"/>
      <c r="MAK26"/>
      <c r="MAO26"/>
      <c r="MAS26"/>
      <c r="MAW26"/>
      <c r="MBA26"/>
      <c r="MBE26"/>
      <c r="MBI26"/>
      <c r="MBM26"/>
      <c r="MBQ26"/>
      <c r="MBU26"/>
      <c r="MBY26"/>
      <c r="MCC26"/>
      <c r="MCG26"/>
      <c r="MCK26"/>
      <c r="MCO26"/>
      <c r="MCS26"/>
      <c r="MCW26"/>
      <c r="MDA26"/>
      <c r="MDE26"/>
      <c r="MDI26"/>
      <c r="MDM26"/>
      <c r="MDQ26"/>
      <c r="MDU26"/>
      <c r="MDY26"/>
      <c r="MEC26"/>
      <c r="MEG26"/>
      <c r="MEK26"/>
      <c r="MEO26"/>
      <c r="MES26"/>
      <c r="MEW26"/>
      <c r="MFA26"/>
      <c r="MFE26"/>
      <c r="MFI26"/>
      <c r="MFM26"/>
      <c r="MFQ26"/>
      <c r="MFU26"/>
      <c r="MFY26"/>
      <c r="MGC26"/>
      <c r="MGG26"/>
      <c r="MGK26"/>
      <c r="MGO26"/>
      <c r="MGS26"/>
      <c r="MGW26"/>
      <c r="MHA26"/>
      <c r="MHE26"/>
      <c r="MHI26"/>
      <c r="MHM26"/>
      <c r="MHQ26"/>
      <c r="MHU26"/>
      <c r="MHY26"/>
      <c r="MIC26"/>
      <c r="MIG26"/>
      <c r="MIK26"/>
      <c r="MIO26"/>
      <c r="MIS26"/>
      <c r="MIW26"/>
      <c r="MJA26"/>
      <c r="MJE26"/>
      <c r="MJI26"/>
      <c r="MJM26"/>
      <c r="MJQ26"/>
      <c r="MJU26"/>
      <c r="MJY26"/>
      <c r="MKC26"/>
      <c r="MKG26"/>
      <c r="MKK26"/>
      <c r="MKO26"/>
      <c r="MKS26"/>
      <c r="MKW26"/>
      <c r="MLA26"/>
      <c r="MLE26"/>
      <c r="MLI26"/>
      <c r="MLM26"/>
      <c r="MLQ26"/>
      <c r="MLU26"/>
      <c r="MLY26"/>
      <c r="MMC26"/>
      <c r="MMG26"/>
      <c r="MMK26"/>
      <c r="MMO26"/>
      <c r="MMS26"/>
      <c r="MMW26"/>
      <c r="MNA26"/>
      <c r="MNE26"/>
      <c r="MNI26"/>
      <c r="MNM26"/>
      <c r="MNQ26"/>
      <c r="MNU26"/>
      <c r="MNY26"/>
      <c r="MOC26"/>
      <c r="MOG26"/>
      <c r="MOK26"/>
      <c r="MOO26"/>
      <c r="MOS26"/>
      <c r="MOW26"/>
      <c r="MPA26"/>
      <c r="MPE26"/>
      <c r="MPI26"/>
      <c r="MPM26"/>
      <c r="MPQ26"/>
      <c r="MPU26"/>
      <c r="MPY26"/>
      <c r="MQC26"/>
      <c r="MQG26"/>
      <c r="MQK26"/>
      <c r="MQO26"/>
      <c r="MQS26"/>
      <c r="MQW26"/>
      <c r="MRA26"/>
      <c r="MRE26"/>
      <c r="MRI26"/>
      <c r="MRM26"/>
      <c r="MRQ26"/>
      <c r="MRU26"/>
      <c r="MRY26"/>
      <c r="MSC26"/>
      <c r="MSG26"/>
      <c r="MSK26"/>
      <c r="MSO26"/>
      <c r="MSS26"/>
      <c r="MSW26"/>
      <c r="MTA26"/>
      <c r="MTE26"/>
      <c r="MTI26"/>
      <c r="MTM26"/>
      <c r="MTQ26"/>
      <c r="MTU26"/>
      <c r="MTY26"/>
      <c r="MUC26"/>
      <c r="MUG26"/>
      <c r="MUK26"/>
      <c r="MUO26"/>
      <c r="MUS26"/>
      <c r="MUW26"/>
      <c r="MVA26"/>
      <c r="MVE26"/>
      <c r="MVI26"/>
      <c r="MVM26"/>
      <c r="MVQ26"/>
      <c r="MVU26"/>
      <c r="MVY26"/>
      <c r="MWC26"/>
      <c r="MWG26"/>
      <c r="MWK26"/>
      <c r="MWO26"/>
      <c r="MWS26"/>
      <c r="MWW26"/>
      <c r="MXA26"/>
      <c r="MXE26"/>
      <c r="MXI26"/>
      <c r="MXM26"/>
      <c r="MXQ26"/>
      <c r="MXU26"/>
      <c r="MXY26"/>
      <c r="MYC26"/>
      <c r="MYG26"/>
      <c r="MYK26"/>
      <c r="MYO26"/>
      <c r="MYS26"/>
      <c r="MYW26"/>
      <c r="MZA26"/>
      <c r="MZE26"/>
      <c r="MZI26"/>
      <c r="MZM26"/>
      <c r="MZQ26"/>
      <c r="MZU26"/>
      <c r="MZY26"/>
      <c r="NAC26"/>
      <c r="NAG26"/>
      <c r="NAK26"/>
      <c r="NAO26"/>
      <c r="NAS26"/>
      <c r="NAW26"/>
      <c r="NBA26"/>
      <c r="NBE26"/>
      <c r="NBI26"/>
      <c r="NBM26"/>
      <c r="NBQ26"/>
      <c r="NBU26"/>
      <c r="NBY26"/>
      <c r="NCC26"/>
      <c r="NCG26"/>
      <c r="NCK26"/>
      <c r="NCO26"/>
      <c r="NCS26"/>
      <c r="NCW26"/>
      <c r="NDA26"/>
      <c r="NDE26"/>
      <c r="NDI26"/>
      <c r="NDM26"/>
      <c r="NDQ26"/>
      <c r="NDU26"/>
      <c r="NDY26"/>
      <c r="NEC26"/>
      <c r="NEG26"/>
      <c r="NEK26"/>
      <c r="NEO26"/>
      <c r="NES26"/>
      <c r="NEW26"/>
      <c r="NFA26"/>
      <c r="NFE26"/>
      <c r="NFI26"/>
      <c r="NFM26"/>
      <c r="NFQ26"/>
      <c r="NFU26"/>
      <c r="NFY26"/>
      <c r="NGC26"/>
      <c r="NGG26"/>
      <c r="NGK26"/>
      <c r="NGO26"/>
      <c r="NGS26"/>
      <c r="NGW26"/>
      <c r="NHA26"/>
      <c r="NHE26"/>
      <c r="NHI26"/>
      <c r="NHM26"/>
      <c r="NHQ26"/>
      <c r="NHU26"/>
      <c r="NHY26"/>
      <c r="NIC26"/>
      <c r="NIG26"/>
      <c r="NIK26"/>
      <c r="NIO26"/>
      <c r="NIS26"/>
      <c r="NIW26"/>
      <c r="NJA26"/>
      <c r="NJE26"/>
      <c r="NJI26"/>
      <c r="NJM26"/>
      <c r="NJQ26"/>
      <c r="NJU26"/>
      <c r="NJY26"/>
      <c r="NKC26"/>
      <c r="NKG26"/>
      <c r="NKK26"/>
      <c r="NKO26"/>
      <c r="NKS26"/>
      <c r="NKW26"/>
      <c r="NLA26"/>
      <c r="NLE26"/>
      <c r="NLI26"/>
      <c r="NLM26"/>
      <c r="NLQ26"/>
      <c r="NLU26"/>
      <c r="NLY26"/>
      <c r="NMC26"/>
      <c r="NMG26"/>
      <c r="NMK26"/>
      <c r="NMO26"/>
      <c r="NMS26"/>
      <c r="NMW26"/>
      <c r="NNA26"/>
      <c r="NNE26"/>
      <c r="NNI26"/>
      <c r="NNM26"/>
      <c r="NNQ26"/>
      <c r="NNU26"/>
      <c r="NNY26"/>
      <c r="NOC26"/>
      <c r="NOG26"/>
      <c r="NOK26"/>
      <c r="NOO26"/>
      <c r="NOS26"/>
      <c r="NOW26"/>
      <c r="NPA26"/>
      <c r="NPE26"/>
      <c r="NPI26"/>
      <c r="NPM26"/>
      <c r="NPQ26"/>
      <c r="NPU26"/>
      <c r="NPY26"/>
      <c r="NQC26"/>
      <c r="NQG26"/>
      <c r="NQK26"/>
      <c r="NQO26"/>
      <c r="NQS26"/>
      <c r="NQW26"/>
      <c r="NRA26"/>
      <c r="NRE26"/>
      <c r="NRI26"/>
      <c r="NRM26"/>
      <c r="NRQ26"/>
      <c r="NRU26"/>
      <c r="NRY26"/>
      <c r="NSC26"/>
      <c r="NSG26"/>
      <c r="NSK26"/>
      <c r="NSO26"/>
      <c r="NSS26"/>
      <c r="NSW26"/>
      <c r="NTA26"/>
      <c r="NTE26"/>
      <c r="NTI26"/>
      <c r="NTM26"/>
      <c r="NTQ26"/>
      <c r="NTU26"/>
      <c r="NTY26"/>
      <c r="NUC26"/>
      <c r="NUG26"/>
      <c r="NUK26"/>
      <c r="NUO26"/>
      <c r="NUS26"/>
      <c r="NUW26"/>
      <c r="NVA26"/>
      <c r="NVE26"/>
      <c r="NVI26"/>
      <c r="NVM26"/>
      <c r="NVQ26"/>
      <c r="NVU26"/>
      <c r="NVY26"/>
      <c r="NWC26"/>
      <c r="NWG26"/>
      <c r="NWK26"/>
      <c r="NWO26"/>
      <c r="NWS26"/>
      <c r="NWW26"/>
      <c r="NXA26"/>
      <c r="NXE26"/>
      <c r="NXI26"/>
      <c r="NXM26"/>
      <c r="NXQ26"/>
      <c r="NXU26"/>
      <c r="NXY26"/>
      <c r="NYC26"/>
      <c r="NYG26"/>
      <c r="NYK26"/>
      <c r="NYO26"/>
      <c r="NYS26"/>
      <c r="NYW26"/>
      <c r="NZA26"/>
      <c r="NZE26"/>
      <c r="NZI26"/>
      <c r="NZM26"/>
      <c r="NZQ26"/>
      <c r="NZU26"/>
      <c r="NZY26"/>
      <c r="OAC26"/>
      <c r="OAG26"/>
      <c r="OAK26"/>
      <c r="OAO26"/>
      <c r="OAS26"/>
      <c r="OAW26"/>
      <c r="OBA26"/>
      <c r="OBE26"/>
      <c r="OBI26"/>
      <c r="OBM26"/>
      <c r="OBQ26"/>
      <c r="OBU26"/>
      <c r="OBY26"/>
      <c r="OCC26"/>
      <c r="OCG26"/>
      <c r="OCK26"/>
      <c r="OCO26"/>
      <c r="OCS26"/>
      <c r="OCW26"/>
      <c r="ODA26"/>
      <c r="ODE26"/>
      <c r="ODI26"/>
      <c r="ODM26"/>
      <c r="ODQ26"/>
      <c r="ODU26"/>
      <c r="ODY26"/>
      <c r="OEC26"/>
      <c r="OEG26"/>
      <c r="OEK26"/>
      <c r="OEO26"/>
      <c r="OES26"/>
      <c r="OEW26"/>
      <c r="OFA26"/>
      <c r="OFE26"/>
      <c r="OFI26"/>
      <c r="OFM26"/>
      <c r="OFQ26"/>
      <c r="OFU26"/>
      <c r="OFY26"/>
      <c r="OGC26"/>
      <c r="OGG26"/>
      <c r="OGK26"/>
      <c r="OGO26"/>
      <c r="OGS26"/>
      <c r="OGW26"/>
      <c r="OHA26"/>
      <c r="OHE26"/>
      <c r="OHI26"/>
      <c r="OHM26"/>
      <c r="OHQ26"/>
      <c r="OHU26"/>
      <c r="OHY26"/>
      <c r="OIC26"/>
      <c r="OIG26"/>
      <c r="OIK26"/>
      <c r="OIO26"/>
      <c r="OIS26"/>
      <c r="OIW26"/>
      <c r="OJA26"/>
      <c r="OJE26"/>
      <c r="OJI26"/>
      <c r="OJM26"/>
      <c r="OJQ26"/>
      <c r="OJU26"/>
      <c r="OJY26"/>
      <c r="OKC26"/>
      <c r="OKG26"/>
      <c r="OKK26"/>
      <c r="OKO26"/>
      <c r="OKS26"/>
      <c r="OKW26"/>
      <c r="OLA26"/>
      <c r="OLE26"/>
      <c r="OLI26"/>
      <c r="OLM26"/>
      <c r="OLQ26"/>
      <c r="OLU26"/>
      <c r="OLY26"/>
      <c r="OMC26"/>
      <c r="OMG26"/>
      <c r="OMK26"/>
      <c r="OMO26"/>
      <c r="OMS26"/>
      <c r="OMW26"/>
      <c r="ONA26"/>
      <c r="ONE26"/>
      <c r="ONI26"/>
      <c r="ONM26"/>
      <c r="ONQ26"/>
      <c r="ONU26"/>
      <c r="ONY26"/>
      <c r="OOC26"/>
      <c r="OOG26"/>
      <c r="OOK26"/>
      <c r="OOO26"/>
      <c r="OOS26"/>
      <c r="OOW26"/>
      <c r="OPA26"/>
      <c r="OPE26"/>
      <c r="OPI26"/>
      <c r="OPM26"/>
      <c r="OPQ26"/>
      <c r="OPU26"/>
      <c r="OPY26"/>
      <c r="OQC26"/>
      <c r="OQG26"/>
      <c r="OQK26"/>
      <c r="OQO26"/>
      <c r="OQS26"/>
      <c r="OQW26"/>
      <c r="ORA26"/>
      <c r="ORE26"/>
      <c r="ORI26"/>
      <c r="ORM26"/>
      <c r="ORQ26"/>
      <c r="ORU26"/>
      <c r="ORY26"/>
      <c r="OSC26"/>
      <c r="OSG26"/>
      <c r="OSK26"/>
      <c r="OSO26"/>
      <c r="OSS26"/>
      <c r="OSW26"/>
      <c r="OTA26"/>
      <c r="OTE26"/>
      <c r="OTI26"/>
      <c r="OTM26"/>
      <c r="OTQ26"/>
      <c r="OTU26"/>
      <c r="OTY26"/>
      <c r="OUC26"/>
      <c r="OUG26"/>
      <c r="OUK26"/>
      <c r="OUO26"/>
      <c r="OUS26"/>
      <c r="OUW26"/>
      <c r="OVA26"/>
      <c r="OVE26"/>
      <c r="OVI26"/>
      <c r="OVM26"/>
      <c r="OVQ26"/>
      <c r="OVU26"/>
      <c r="OVY26"/>
      <c r="OWC26"/>
      <c r="OWG26"/>
      <c r="OWK26"/>
      <c r="OWO26"/>
      <c r="OWS26"/>
      <c r="OWW26"/>
      <c r="OXA26"/>
      <c r="OXE26"/>
      <c r="OXI26"/>
      <c r="OXM26"/>
      <c r="OXQ26"/>
      <c r="OXU26"/>
      <c r="OXY26"/>
      <c r="OYC26"/>
      <c r="OYG26"/>
      <c r="OYK26"/>
      <c r="OYO26"/>
      <c r="OYS26"/>
      <c r="OYW26"/>
      <c r="OZA26"/>
      <c r="OZE26"/>
      <c r="OZI26"/>
      <c r="OZM26"/>
      <c r="OZQ26"/>
      <c r="OZU26"/>
      <c r="OZY26"/>
      <c r="PAC26"/>
      <c r="PAG26"/>
      <c r="PAK26"/>
      <c r="PAO26"/>
      <c r="PAS26"/>
      <c r="PAW26"/>
      <c r="PBA26"/>
      <c r="PBE26"/>
      <c r="PBI26"/>
      <c r="PBM26"/>
      <c r="PBQ26"/>
      <c r="PBU26"/>
      <c r="PBY26"/>
      <c r="PCC26"/>
      <c r="PCG26"/>
      <c r="PCK26"/>
      <c r="PCO26"/>
      <c r="PCS26"/>
      <c r="PCW26"/>
      <c r="PDA26"/>
      <c r="PDE26"/>
      <c r="PDI26"/>
      <c r="PDM26"/>
      <c r="PDQ26"/>
      <c r="PDU26"/>
      <c r="PDY26"/>
      <c r="PEC26"/>
      <c r="PEG26"/>
      <c r="PEK26"/>
      <c r="PEO26"/>
      <c r="PES26"/>
      <c r="PEW26"/>
      <c r="PFA26"/>
      <c r="PFE26"/>
      <c r="PFI26"/>
      <c r="PFM26"/>
      <c r="PFQ26"/>
      <c r="PFU26"/>
      <c r="PFY26"/>
      <c r="PGC26"/>
      <c r="PGG26"/>
      <c r="PGK26"/>
      <c r="PGO26"/>
      <c r="PGS26"/>
      <c r="PGW26"/>
      <c r="PHA26"/>
      <c r="PHE26"/>
      <c r="PHI26"/>
      <c r="PHM26"/>
      <c r="PHQ26"/>
      <c r="PHU26"/>
      <c r="PHY26"/>
      <c r="PIC26"/>
      <c r="PIG26"/>
      <c r="PIK26"/>
      <c r="PIO26"/>
      <c r="PIS26"/>
      <c r="PIW26"/>
      <c r="PJA26"/>
      <c r="PJE26"/>
      <c r="PJI26"/>
      <c r="PJM26"/>
      <c r="PJQ26"/>
      <c r="PJU26"/>
      <c r="PJY26"/>
      <c r="PKC26"/>
      <c r="PKG26"/>
      <c r="PKK26"/>
      <c r="PKO26"/>
      <c r="PKS26"/>
      <c r="PKW26"/>
      <c r="PLA26"/>
      <c r="PLE26"/>
      <c r="PLI26"/>
      <c r="PLM26"/>
      <c r="PLQ26"/>
      <c r="PLU26"/>
      <c r="PLY26"/>
      <c r="PMC26"/>
      <c r="PMG26"/>
      <c r="PMK26"/>
      <c r="PMO26"/>
      <c r="PMS26"/>
      <c r="PMW26"/>
      <c r="PNA26"/>
      <c r="PNE26"/>
      <c r="PNI26"/>
      <c r="PNM26"/>
      <c r="PNQ26"/>
      <c r="PNU26"/>
      <c r="PNY26"/>
      <c r="POC26"/>
      <c r="POG26"/>
      <c r="POK26"/>
      <c r="POO26"/>
      <c r="POS26"/>
      <c r="POW26"/>
      <c r="PPA26"/>
      <c r="PPE26"/>
      <c r="PPI26"/>
      <c r="PPM26"/>
      <c r="PPQ26"/>
      <c r="PPU26"/>
      <c r="PPY26"/>
      <c r="PQC26"/>
      <c r="PQG26"/>
      <c r="PQK26"/>
      <c r="PQO26"/>
      <c r="PQS26"/>
      <c r="PQW26"/>
      <c r="PRA26"/>
      <c r="PRE26"/>
      <c r="PRI26"/>
      <c r="PRM26"/>
      <c r="PRQ26"/>
      <c r="PRU26"/>
      <c r="PRY26"/>
      <c r="PSC26"/>
      <c r="PSG26"/>
      <c r="PSK26"/>
      <c r="PSO26"/>
      <c r="PSS26"/>
      <c r="PSW26"/>
      <c r="PTA26"/>
      <c r="PTE26"/>
      <c r="PTI26"/>
      <c r="PTM26"/>
      <c r="PTQ26"/>
      <c r="PTU26"/>
      <c r="PTY26"/>
      <c r="PUC26"/>
      <c r="PUG26"/>
      <c r="PUK26"/>
      <c r="PUO26"/>
      <c r="PUS26"/>
      <c r="PUW26"/>
      <c r="PVA26"/>
      <c r="PVE26"/>
      <c r="PVI26"/>
      <c r="PVM26"/>
      <c r="PVQ26"/>
      <c r="PVU26"/>
      <c r="PVY26"/>
      <c r="PWC26"/>
      <c r="PWG26"/>
      <c r="PWK26"/>
      <c r="PWO26"/>
      <c r="PWS26"/>
      <c r="PWW26"/>
      <c r="PXA26"/>
      <c r="PXE26"/>
      <c r="PXI26"/>
      <c r="PXM26"/>
      <c r="PXQ26"/>
      <c r="PXU26"/>
      <c r="PXY26"/>
      <c r="PYC26"/>
      <c r="PYG26"/>
      <c r="PYK26"/>
      <c r="PYO26"/>
      <c r="PYS26"/>
      <c r="PYW26"/>
      <c r="PZA26"/>
      <c r="PZE26"/>
      <c r="PZI26"/>
      <c r="PZM26"/>
      <c r="PZQ26"/>
      <c r="PZU26"/>
      <c r="PZY26"/>
      <c r="QAC26"/>
      <c r="QAG26"/>
      <c r="QAK26"/>
      <c r="QAO26"/>
      <c r="QAS26"/>
      <c r="QAW26"/>
      <c r="QBA26"/>
      <c r="QBE26"/>
      <c r="QBI26"/>
      <c r="QBM26"/>
      <c r="QBQ26"/>
      <c r="QBU26"/>
      <c r="QBY26"/>
      <c r="QCC26"/>
      <c r="QCG26"/>
      <c r="QCK26"/>
      <c r="QCO26"/>
      <c r="QCS26"/>
      <c r="QCW26"/>
      <c r="QDA26"/>
      <c r="QDE26"/>
      <c r="QDI26"/>
      <c r="QDM26"/>
      <c r="QDQ26"/>
      <c r="QDU26"/>
      <c r="QDY26"/>
      <c r="QEC26"/>
      <c r="QEG26"/>
      <c r="QEK26"/>
      <c r="QEO26"/>
      <c r="QES26"/>
      <c r="QEW26"/>
      <c r="QFA26"/>
      <c r="QFE26"/>
      <c r="QFI26"/>
      <c r="QFM26"/>
      <c r="QFQ26"/>
      <c r="QFU26"/>
      <c r="QFY26"/>
      <c r="QGC26"/>
      <c r="QGG26"/>
      <c r="QGK26"/>
      <c r="QGO26"/>
      <c r="QGS26"/>
      <c r="QGW26"/>
      <c r="QHA26"/>
      <c r="QHE26"/>
      <c r="QHI26"/>
      <c r="QHM26"/>
      <c r="QHQ26"/>
      <c r="QHU26"/>
      <c r="QHY26"/>
      <c r="QIC26"/>
      <c r="QIG26"/>
      <c r="QIK26"/>
      <c r="QIO26"/>
      <c r="QIS26"/>
      <c r="QIW26"/>
      <c r="QJA26"/>
      <c r="QJE26"/>
      <c r="QJI26"/>
      <c r="QJM26"/>
      <c r="QJQ26"/>
      <c r="QJU26"/>
      <c r="QJY26"/>
      <c r="QKC26"/>
      <c r="QKG26"/>
      <c r="QKK26"/>
      <c r="QKO26"/>
      <c r="QKS26"/>
      <c r="QKW26"/>
      <c r="QLA26"/>
      <c r="QLE26"/>
      <c r="QLI26"/>
      <c r="QLM26"/>
      <c r="QLQ26"/>
      <c r="QLU26"/>
      <c r="QLY26"/>
      <c r="QMC26"/>
      <c r="QMG26"/>
      <c r="QMK26"/>
      <c r="QMO26"/>
      <c r="QMS26"/>
      <c r="QMW26"/>
      <c r="QNA26"/>
      <c r="QNE26"/>
      <c r="QNI26"/>
      <c r="QNM26"/>
      <c r="QNQ26"/>
      <c r="QNU26"/>
      <c r="QNY26"/>
      <c r="QOC26"/>
      <c r="QOG26"/>
      <c r="QOK26"/>
      <c r="QOO26"/>
      <c r="QOS26"/>
      <c r="QOW26"/>
      <c r="QPA26"/>
      <c r="QPE26"/>
      <c r="QPI26"/>
      <c r="QPM26"/>
      <c r="QPQ26"/>
      <c r="QPU26"/>
      <c r="QPY26"/>
      <c r="QQC26"/>
      <c r="QQG26"/>
      <c r="QQK26"/>
      <c r="QQO26"/>
      <c r="QQS26"/>
      <c r="QQW26"/>
      <c r="QRA26"/>
      <c r="QRE26"/>
      <c r="QRI26"/>
      <c r="QRM26"/>
      <c r="QRQ26"/>
      <c r="QRU26"/>
      <c r="QRY26"/>
      <c r="QSC26"/>
      <c r="QSG26"/>
      <c r="QSK26"/>
      <c r="QSO26"/>
      <c r="QSS26"/>
      <c r="QSW26"/>
      <c r="QTA26"/>
      <c r="QTE26"/>
      <c r="QTI26"/>
      <c r="QTM26"/>
      <c r="QTQ26"/>
      <c r="QTU26"/>
      <c r="QTY26"/>
      <c r="QUC26"/>
      <c r="QUG26"/>
      <c r="QUK26"/>
      <c r="QUO26"/>
      <c r="QUS26"/>
      <c r="QUW26"/>
      <c r="QVA26"/>
      <c r="QVE26"/>
      <c r="QVI26"/>
      <c r="QVM26"/>
      <c r="QVQ26"/>
      <c r="QVU26"/>
      <c r="QVY26"/>
      <c r="QWC26"/>
      <c r="QWG26"/>
      <c r="QWK26"/>
      <c r="QWO26"/>
      <c r="QWS26"/>
      <c r="QWW26"/>
      <c r="QXA26"/>
      <c r="QXE26"/>
      <c r="QXI26"/>
      <c r="QXM26"/>
      <c r="QXQ26"/>
      <c r="QXU26"/>
      <c r="QXY26"/>
      <c r="QYC26"/>
      <c r="QYG26"/>
      <c r="QYK26"/>
      <c r="QYO26"/>
      <c r="QYS26"/>
      <c r="QYW26"/>
      <c r="QZA26"/>
      <c r="QZE26"/>
      <c r="QZI26"/>
      <c r="QZM26"/>
      <c r="QZQ26"/>
      <c r="QZU26"/>
      <c r="QZY26"/>
      <c r="RAC26"/>
      <c r="RAG26"/>
      <c r="RAK26"/>
      <c r="RAO26"/>
      <c r="RAS26"/>
      <c r="RAW26"/>
      <c r="RBA26"/>
      <c r="RBE26"/>
      <c r="RBI26"/>
      <c r="RBM26"/>
      <c r="RBQ26"/>
      <c r="RBU26"/>
      <c r="RBY26"/>
      <c r="RCC26"/>
      <c r="RCG26"/>
      <c r="RCK26"/>
      <c r="RCO26"/>
      <c r="RCS26"/>
      <c r="RCW26"/>
      <c r="RDA26"/>
      <c r="RDE26"/>
      <c r="RDI26"/>
      <c r="RDM26"/>
      <c r="RDQ26"/>
      <c r="RDU26"/>
      <c r="RDY26"/>
      <c r="REC26"/>
      <c r="REG26"/>
      <c r="REK26"/>
      <c r="REO26"/>
      <c r="RES26"/>
      <c r="REW26"/>
      <c r="RFA26"/>
      <c r="RFE26"/>
      <c r="RFI26"/>
      <c r="RFM26"/>
      <c r="RFQ26"/>
      <c r="RFU26"/>
      <c r="RFY26"/>
      <c r="RGC26"/>
      <c r="RGG26"/>
      <c r="RGK26"/>
      <c r="RGO26"/>
      <c r="RGS26"/>
      <c r="RGW26"/>
      <c r="RHA26"/>
      <c r="RHE26"/>
      <c r="RHI26"/>
      <c r="RHM26"/>
      <c r="RHQ26"/>
      <c r="RHU26"/>
      <c r="RHY26"/>
      <c r="RIC26"/>
      <c r="RIG26"/>
      <c r="RIK26"/>
      <c r="RIO26"/>
      <c r="RIS26"/>
      <c r="RIW26"/>
      <c r="RJA26"/>
      <c r="RJE26"/>
      <c r="RJI26"/>
      <c r="RJM26"/>
      <c r="RJQ26"/>
      <c r="RJU26"/>
      <c r="RJY26"/>
      <c r="RKC26"/>
      <c r="RKG26"/>
      <c r="RKK26"/>
      <c r="RKO26"/>
      <c r="RKS26"/>
      <c r="RKW26"/>
      <c r="RLA26"/>
      <c r="RLE26"/>
      <c r="RLI26"/>
      <c r="RLM26"/>
      <c r="RLQ26"/>
      <c r="RLU26"/>
      <c r="RLY26"/>
      <c r="RMC26"/>
      <c r="RMG26"/>
      <c r="RMK26"/>
      <c r="RMO26"/>
      <c r="RMS26"/>
      <c r="RMW26"/>
      <c r="RNA26"/>
      <c r="RNE26"/>
      <c r="RNI26"/>
      <c r="RNM26"/>
      <c r="RNQ26"/>
      <c r="RNU26"/>
      <c r="RNY26"/>
      <c r="ROC26"/>
      <c r="ROG26"/>
      <c r="ROK26"/>
      <c r="ROO26"/>
      <c r="ROS26"/>
      <c r="ROW26"/>
      <c r="RPA26"/>
      <c r="RPE26"/>
      <c r="RPI26"/>
      <c r="RPM26"/>
      <c r="RPQ26"/>
      <c r="RPU26"/>
      <c r="RPY26"/>
      <c r="RQC26"/>
      <c r="RQG26"/>
      <c r="RQK26"/>
      <c r="RQO26"/>
      <c r="RQS26"/>
      <c r="RQW26"/>
      <c r="RRA26"/>
      <c r="RRE26"/>
      <c r="RRI26"/>
      <c r="RRM26"/>
      <c r="RRQ26"/>
      <c r="RRU26"/>
      <c r="RRY26"/>
      <c r="RSC26"/>
      <c r="RSG26"/>
      <c r="RSK26"/>
      <c r="RSO26"/>
      <c r="RSS26"/>
      <c r="RSW26"/>
      <c r="RTA26"/>
      <c r="RTE26"/>
      <c r="RTI26"/>
      <c r="RTM26"/>
      <c r="RTQ26"/>
      <c r="RTU26"/>
      <c r="RTY26"/>
      <c r="RUC26"/>
      <c r="RUG26"/>
      <c r="RUK26"/>
      <c r="RUO26"/>
      <c r="RUS26"/>
      <c r="RUW26"/>
      <c r="RVA26"/>
      <c r="RVE26"/>
      <c r="RVI26"/>
      <c r="RVM26"/>
      <c r="RVQ26"/>
      <c r="RVU26"/>
      <c r="RVY26"/>
      <c r="RWC26"/>
      <c r="RWG26"/>
      <c r="RWK26"/>
      <c r="RWO26"/>
      <c r="RWS26"/>
      <c r="RWW26"/>
      <c r="RXA26"/>
      <c r="RXE26"/>
      <c r="RXI26"/>
      <c r="RXM26"/>
      <c r="RXQ26"/>
      <c r="RXU26"/>
      <c r="RXY26"/>
      <c r="RYC26"/>
      <c r="RYG26"/>
      <c r="RYK26"/>
      <c r="RYO26"/>
      <c r="RYS26"/>
      <c r="RYW26"/>
      <c r="RZA26"/>
      <c r="RZE26"/>
      <c r="RZI26"/>
      <c r="RZM26"/>
      <c r="RZQ26"/>
      <c r="RZU26"/>
      <c r="RZY26"/>
      <c r="SAC26"/>
      <c r="SAG26"/>
      <c r="SAK26"/>
      <c r="SAO26"/>
      <c r="SAS26"/>
      <c r="SAW26"/>
      <c r="SBA26"/>
      <c r="SBE26"/>
      <c r="SBI26"/>
      <c r="SBM26"/>
      <c r="SBQ26"/>
      <c r="SBU26"/>
      <c r="SBY26"/>
      <c r="SCC26"/>
      <c r="SCG26"/>
      <c r="SCK26"/>
      <c r="SCO26"/>
      <c r="SCS26"/>
      <c r="SCW26"/>
      <c r="SDA26"/>
      <c r="SDE26"/>
      <c r="SDI26"/>
      <c r="SDM26"/>
      <c r="SDQ26"/>
      <c r="SDU26"/>
      <c r="SDY26"/>
      <c r="SEC26"/>
      <c r="SEG26"/>
      <c r="SEK26"/>
      <c r="SEO26"/>
      <c r="SES26"/>
      <c r="SEW26"/>
      <c r="SFA26"/>
      <c r="SFE26"/>
      <c r="SFI26"/>
      <c r="SFM26"/>
      <c r="SFQ26"/>
      <c r="SFU26"/>
      <c r="SFY26"/>
      <c r="SGC26"/>
      <c r="SGG26"/>
      <c r="SGK26"/>
      <c r="SGO26"/>
      <c r="SGS26"/>
      <c r="SGW26"/>
      <c r="SHA26"/>
      <c r="SHE26"/>
      <c r="SHI26"/>
      <c r="SHM26"/>
      <c r="SHQ26"/>
      <c r="SHU26"/>
      <c r="SHY26"/>
      <c r="SIC26"/>
      <c r="SIG26"/>
      <c r="SIK26"/>
      <c r="SIO26"/>
      <c r="SIS26"/>
      <c r="SIW26"/>
      <c r="SJA26"/>
      <c r="SJE26"/>
      <c r="SJI26"/>
      <c r="SJM26"/>
      <c r="SJQ26"/>
      <c r="SJU26"/>
      <c r="SJY26"/>
      <c r="SKC26"/>
      <c r="SKG26"/>
      <c r="SKK26"/>
      <c r="SKO26"/>
      <c r="SKS26"/>
      <c r="SKW26"/>
      <c r="SLA26"/>
      <c r="SLE26"/>
      <c r="SLI26"/>
      <c r="SLM26"/>
      <c r="SLQ26"/>
      <c r="SLU26"/>
      <c r="SLY26"/>
      <c r="SMC26"/>
      <c r="SMG26"/>
      <c r="SMK26"/>
      <c r="SMO26"/>
      <c r="SMS26"/>
      <c r="SMW26"/>
      <c r="SNA26"/>
      <c r="SNE26"/>
      <c r="SNI26"/>
      <c r="SNM26"/>
      <c r="SNQ26"/>
      <c r="SNU26"/>
      <c r="SNY26"/>
      <c r="SOC26"/>
      <c r="SOG26"/>
      <c r="SOK26"/>
      <c r="SOO26"/>
      <c r="SOS26"/>
      <c r="SOW26"/>
      <c r="SPA26"/>
      <c r="SPE26"/>
      <c r="SPI26"/>
      <c r="SPM26"/>
      <c r="SPQ26"/>
      <c r="SPU26"/>
      <c r="SPY26"/>
      <c r="SQC26"/>
      <c r="SQG26"/>
      <c r="SQK26"/>
      <c r="SQO26"/>
      <c r="SQS26"/>
      <c r="SQW26"/>
      <c r="SRA26"/>
      <c r="SRE26"/>
      <c r="SRI26"/>
      <c r="SRM26"/>
      <c r="SRQ26"/>
      <c r="SRU26"/>
      <c r="SRY26"/>
      <c r="SSC26"/>
      <c r="SSG26"/>
      <c r="SSK26"/>
      <c r="SSO26"/>
      <c r="SSS26"/>
      <c r="SSW26"/>
      <c r="STA26"/>
      <c r="STE26"/>
      <c r="STI26"/>
      <c r="STM26"/>
      <c r="STQ26"/>
      <c r="STU26"/>
      <c r="STY26"/>
      <c r="SUC26"/>
      <c r="SUG26"/>
      <c r="SUK26"/>
      <c r="SUO26"/>
      <c r="SUS26"/>
      <c r="SUW26"/>
      <c r="SVA26"/>
      <c r="SVE26"/>
      <c r="SVI26"/>
      <c r="SVM26"/>
      <c r="SVQ26"/>
      <c r="SVU26"/>
      <c r="SVY26"/>
      <c r="SWC26"/>
      <c r="SWG26"/>
      <c r="SWK26"/>
      <c r="SWO26"/>
      <c r="SWS26"/>
      <c r="SWW26"/>
      <c r="SXA26"/>
      <c r="SXE26"/>
      <c r="SXI26"/>
      <c r="SXM26"/>
      <c r="SXQ26"/>
      <c r="SXU26"/>
      <c r="SXY26"/>
      <c r="SYC26"/>
      <c r="SYG26"/>
      <c r="SYK26"/>
      <c r="SYO26"/>
      <c r="SYS26"/>
      <c r="SYW26"/>
      <c r="SZA26"/>
      <c r="SZE26"/>
      <c r="SZI26"/>
      <c r="SZM26"/>
      <c r="SZQ26"/>
      <c r="SZU26"/>
      <c r="SZY26"/>
      <c r="TAC26"/>
      <c r="TAG26"/>
      <c r="TAK26"/>
      <c r="TAO26"/>
      <c r="TAS26"/>
      <c r="TAW26"/>
      <c r="TBA26"/>
      <c r="TBE26"/>
      <c r="TBI26"/>
      <c r="TBM26"/>
      <c r="TBQ26"/>
      <c r="TBU26"/>
      <c r="TBY26"/>
      <c r="TCC26"/>
      <c r="TCG26"/>
      <c r="TCK26"/>
      <c r="TCO26"/>
      <c r="TCS26"/>
      <c r="TCW26"/>
      <c r="TDA26"/>
      <c r="TDE26"/>
      <c r="TDI26"/>
      <c r="TDM26"/>
      <c r="TDQ26"/>
      <c r="TDU26"/>
      <c r="TDY26"/>
      <c r="TEC26"/>
      <c r="TEG26"/>
      <c r="TEK26"/>
      <c r="TEO26"/>
      <c r="TES26"/>
      <c r="TEW26"/>
      <c r="TFA26"/>
      <c r="TFE26"/>
      <c r="TFI26"/>
      <c r="TFM26"/>
      <c r="TFQ26"/>
      <c r="TFU26"/>
      <c r="TFY26"/>
      <c r="TGC26"/>
      <c r="TGG26"/>
      <c r="TGK26"/>
      <c r="TGO26"/>
      <c r="TGS26"/>
      <c r="TGW26"/>
      <c r="THA26"/>
      <c r="THE26"/>
      <c r="THI26"/>
      <c r="THM26"/>
      <c r="THQ26"/>
      <c r="THU26"/>
      <c r="THY26"/>
      <c r="TIC26"/>
      <c r="TIG26"/>
      <c r="TIK26"/>
      <c r="TIO26"/>
      <c r="TIS26"/>
      <c r="TIW26"/>
      <c r="TJA26"/>
      <c r="TJE26"/>
      <c r="TJI26"/>
      <c r="TJM26"/>
      <c r="TJQ26"/>
      <c r="TJU26"/>
      <c r="TJY26"/>
      <c r="TKC26"/>
      <c r="TKG26"/>
      <c r="TKK26"/>
      <c r="TKO26"/>
      <c r="TKS26"/>
      <c r="TKW26"/>
      <c r="TLA26"/>
      <c r="TLE26"/>
      <c r="TLI26"/>
      <c r="TLM26"/>
      <c r="TLQ26"/>
      <c r="TLU26"/>
      <c r="TLY26"/>
      <c r="TMC26"/>
      <c r="TMG26"/>
      <c r="TMK26"/>
      <c r="TMO26"/>
      <c r="TMS26"/>
      <c r="TMW26"/>
      <c r="TNA26"/>
      <c r="TNE26"/>
      <c r="TNI26"/>
      <c r="TNM26"/>
      <c r="TNQ26"/>
      <c r="TNU26"/>
      <c r="TNY26"/>
      <c r="TOC26"/>
      <c r="TOG26"/>
      <c r="TOK26"/>
      <c r="TOO26"/>
      <c r="TOS26"/>
      <c r="TOW26"/>
      <c r="TPA26"/>
      <c r="TPE26"/>
      <c r="TPI26"/>
      <c r="TPM26"/>
      <c r="TPQ26"/>
      <c r="TPU26"/>
      <c r="TPY26"/>
      <c r="TQC26"/>
      <c r="TQG26"/>
      <c r="TQK26"/>
      <c r="TQO26"/>
      <c r="TQS26"/>
      <c r="TQW26"/>
      <c r="TRA26"/>
      <c r="TRE26"/>
      <c r="TRI26"/>
      <c r="TRM26"/>
      <c r="TRQ26"/>
      <c r="TRU26"/>
      <c r="TRY26"/>
      <c r="TSC26"/>
      <c r="TSG26"/>
      <c r="TSK26"/>
      <c r="TSO26"/>
      <c r="TSS26"/>
      <c r="TSW26"/>
      <c r="TTA26"/>
      <c r="TTE26"/>
      <c r="TTI26"/>
      <c r="TTM26"/>
      <c r="TTQ26"/>
      <c r="TTU26"/>
      <c r="TTY26"/>
      <c r="TUC26"/>
      <c r="TUG26"/>
      <c r="TUK26"/>
      <c r="TUO26"/>
      <c r="TUS26"/>
      <c r="TUW26"/>
      <c r="TVA26"/>
      <c r="TVE26"/>
      <c r="TVI26"/>
      <c r="TVM26"/>
      <c r="TVQ26"/>
      <c r="TVU26"/>
      <c r="TVY26"/>
      <c r="TWC26"/>
      <c r="TWG26"/>
      <c r="TWK26"/>
      <c r="TWO26"/>
      <c r="TWS26"/>
      <c r="TWW26"/>
      <c r="TXA26"/>
      <c r="TXE26"/>
      <c r="TXI26"/>
      <c r="TXM26"/>
      <c r="TXQ26"/>
      <c r="TXU26"/>
      <c r="TXY26"/>
      <c r="TYC26"/>
      <c r="TYG26"/>
      <c r="TYK26"/>
      <c r="TYO26"/>
      <c r="TYS26"/>
      <c r="TYW26"/>
      <c r="TZA26"/>
      <c r="TZE26"/>
      <c r="TZI26"/>
      <c r="TZM26"/>
      <c r="TZQ26"/>
      <c r="TZU26"/>
      <c r="TZY26"/>
      <c r="UAC26"/>
      <c r="UAG26"/>
      <c r="UAK26"/>
      <c r="UAO26"/>
      <c r="UAS26"/>
      <c r="UAW26"/>
      <c r="UBA26"/>
      <c r="UBE26"/>
      <c r="UBI26"/>
      <c r="UBM26"/>
      <c r="UBQ26"/>
      <c r="UBU26"/>
      <c r="UBY26"/>
      <c r="UCC26"/>
      <c r="UCG26"/>
      <c r="UCK26"/>
      <c r="UCO26"/>
      <c r="UCS26"/>
      <c r="UCW26"/>
      <c r="UDA26"/>
      <c r="UDE26"/>
      <c r="UDI26"/>
      <c r="UDM26"/>
      <c r="UDQ26"/>
      <c r="UDU26"/>
      <c r="UDY26"/>
      <c r="UEC26"/>
      <c r="UEG26"/>
      <c r="UEK26"/>
      <c r="UEO26"/>
      <c r="UES26"/>
      <c r="UEW26"/>
      <c r="UFA26"/>
      <c r="UFE26"/>
      <c r="UFI26"/>
      <c r="UFM26"/>
      <c r="UFQ26"/>
      <c r="UFU26"/>
      <c r="UFY26"/>
      <c r="UGC26"/>
      <c r="UGG26"/>
      <c r="UGK26"/>
      <c r="UGO26"/>
      <c r="UGS26"/>
      <c r="UGW26"/>
      <c r="UHA26"/>
      <c r="UHE26"/>
      <c r="UHI26"/>
      <c r="UHM26"/>
      <c r="UHQ26"/>
      <c r="UHU26"/>
      <c r="UHY26"/>
      <c r="UIC26"/>
      <c r="UIG26"/>
      <c r="UIK26"/>
      <c r="UIO26"/>
      <c r="UIS26"/>
      <c r="UIW26"/>
      <c r="UJA26"/>
      <c r="UJE26"/>
      <c r="UJI26"/>
      <c r="UJM26"/>
      <c r="UJQ26"/>
      <c r="UJU26"/>
      <c r="UJY26"/>
      <c r="UKC26"/>
      <c r="UKG26"/>
      <c r="UKK26"/>
      <c r="UKO26"/>
      <c r="UKS26"/>
      <c r="UKW26"/>
      <c r="ULA26"/>
      <c r="ULE26"/>
      <c r="ULI26"/>
      <c r="ULM26"/>
      <c r="ULQ26"/>
      <c r="ULU26"/>
      <c r="ULY26"/>
      <c r="UMC26"/>
      <c r="UMG26"/>
      <c r="UMK26"/>
      <c r="UMO26"/>
      <c r="UMS26"/>
      <c r="UMW26"/>
      <c r="UNA26"/>
      <c r="UNE26"/>
      <c r="UNI26"/>
      <c r="UNM26"/>
      <c r="UNQ26"/>
      <c r="UNU26"/>
      <c r="UNY26"/>
      <c r="UOC26"/>
      <c r="UOG26"/>
      <c r="UOK26"/>
      <c r="UOO26"/>
      <c r="UOS26"/>
      <c r="UOW26"/>
      <c r="UPA26"/>
      <c r="UPE26"/>
      <c r="UPI26"/>
      <c r="UPM26"/>
      <c r="UPQ26"/>
      <c r="UPU26"/>
      <c r="UPY26"/>
      <c r="UQC26"/>
      <c r="UQG26"/>
      <c r="UQK26"/>
      <c r="UQO26"/>
      <c r="UQS26"/>
      <c r="UQW26"/>
      <c r="URA26"/>
      <c r="URE26"/>
      <c r="URI26"/>
      <c r="URM26"/>
      <c r="URQ26"/>
      <c r="URU26"/>
      <c r="URY26"/>
      <c r="USC26"/>
      <c r="USG26"/>
      <c r="USK26"/>
      <c r="USO26"/>
      <c r="USS26"/>
      <c r="USW26"/>
      <c r="UTA26"/>
      <c r="UTE26"/>
      <c r="UTI26"/>
      <c r="UTM26"/>
      <c r="UTQ26"/>
      <c r="UTU26"/>
      <c r="UTY26"/>
      <c r="UUC26"/>
      <c r="UUG26"/>
      <c r="UUK26"/>
      <c r="UUO26"/>
      <c r="UUS26"/>
      <c r="UUW26"/>
      <c r="UVA26"/>
      <c r="UVE26"/>
      <c r="UVI26"/>
      <c r="UVM26"/>
      <c r="UVQ26"/>
      <c r="UVU26"/>
      <c r="UVY26"/>
      <c r="UWC26"/>
      <c r="UWG26"/>
      <c r="UWK26"/>
      <c r="UWO26"/>
      <c r="UWS26"/>
      <c r="UWW26"/>
      <c r="UXA26"/>
      <c r="UXE26"/>
      <c r="UXI26"/>
      <c r="UXM26"/>
      <c r="UXQ26"/>
      <c r="UXU26"/>
      <c r="UXY26"/>
      <c r="UYC26"/>
      <c r="UYG26"/>
      <c r="UYK26"/>
      <c r="UYO26"/>
      <c r="UYS26"/>
      <c r="UYW26"/>
      <c r="UZA26"/>
      <c r="UZE26"/>
      <c r="UZI26"/>
      <c r="UZM26"/>
      <c r="UZQ26"/>
      <c r="UZU26"/>
      <c r="UZY26"/>
      <c r="VAC26"/>
      <c r="VAG26"/>
      <c r="VAK26"/>
      <c r="VAO26"/>
      <c r="VAS26"/>
      <c r="VAW26"/>
      <c r="VBA26"/>
      <c r="VBE26"/>
      <c r="VBI26"/>
      <c r="VBM26"/>
      <c r="VBQ26"/>
      <c r="VBU26"/>
      <c r="VBY26"/>
      <c r="VCC26"/>
      <c r="VCG26"/>
      <c r="VCK26"/>
      <c r="VCO26"/>
      <c r="VCS26"/>
      <c r="VCW26"/>
      <c r="VDA26"/>
      <c r="VDE26"/>
      <c r="VDI26"/>
      <c r="VDM26"/>
      <c r="VDQ26"/>
      <c r="VDU26"/>
      <c r="VDY26"/>
      <c r="VEC26"/>
      <c r="VEG26"/>
      <c r="VEK26"/>
      <c r="VEO26"/>
      <c r="VES26"/>
      <c r="VEW26"/>
      <c r="VFA26"/>
      <c r="VFE26"/>
      <c r="VFI26"/>
      <c r="VFM26"/>
      <c r="VFQ26"/>
      <c r="VFU26"/>
      <c r="VFY26"/>
      <c r="VGC26"/>
      <c r="VGG26"/>
      <c r="VGK26"/>
      <c r="VGO26"/>
      <c r="VGS26"/>
      <c r="VGW26"/>
      <c r="VHA26"/>
      <c r="VHE26"/>
      <c r="VHI26"/>
      <c r="VHM26"/>
      <c r="VHQ26"/>
      <c r="VHU26"/>
      <c r="VHY26"/>
      <c r="VIC26"/>
      <c r="VIG26"/>
      <c r="VIK26"/>
      <c r="VIO26"/>
      <c r="VIS26"/>
      <c r="VIW26"/>
      <c r="VJA26"/>
      <c r="VJE26"/>
      <c r="VJI26"/>
      <c r="VJM26"/>
      <c r="VJQ26"/>
      <c r="VJU26"/>
      <c r="VJY26"/>
      <c r="VKC26"/>
      <c r="VKG26"/>
      <c r="VKK26"/>
      <c r="VKO26"/>
      <c r="VKS26"/>
      <c r="VKW26"/>
      <c r="VLA26"/>
      <c r="VLE26"/>
      <c r="VLI26"/>
      <c r="VLM26"/>
      <c r="VLQ26"/>
      <c r="VLU26"/>
      <c r="VLY26"/>
      <c r="VMC26"/>
      <c r="VMG26"/>
      <c r="VMK26"/>
      <c r="VMO26"/>
      <c r="VMS26"/>
      <c r="VMW26"/>
      <c r="VNA26"/>
      <c r="VNE26"/>
      <c r="VNI26"/>
      <c r="VNM26"/>
      <c r="VNQ26"/>
      <c r="VNU26"/>
      <c r="VNY26"/>
      <c r="VOC26"/>
      <c r="VOG26"/>
      <c r="VOK26"/>
      <c r="VOO26"/>
      <c r="VOS26"/>
      <c r="VOW26"/>
      <c r="VPA26"/>
      <c r="VPE26"/>
      <c r="VPI26"/>
      <c r="VPM26"/>
      <c r="VPQ26"/>
      <c r="VPU26"/>
      <c r="VPY26"/>
      <c r="VQC26"/>
      <c r="VQG26"/>
      <c r="VQK26"/>
      <c r="VQO26"/>
      <c r="VQS26"/>
      <c r="VQW26"/>
      <c r="VRA26"/>
      <c r="VRE26"/>
      <c r="VRI26"/>
      <c r="VRM26"/>
      <c r="VRQ26"/>
      <c r="VRU26"/>
      <c r="VRY26"/>
      <c r="VSC26"/>
      <c r="VSG26"/>
      <c r="VSK26"/>
      <c r="VSO26"/>
      <c r="VSS26"/>
      <c r="VSW26"/>
      <c r="VTA26"/>
      <c r="VTE26"/>
      <c r="VTI26"/>
      <c r="VTM26"/>
      <c r="VTQ26"/>
      <c r="VTU26"/>
      <c r="VTY26"/>
      <c r="VUC26"/>
      <c r="VUG26"/>
      <c r="VUK26"/>
      <c r="VUO26"/>
      <c r="VUS26"/>
      <c r="VUW26"/>
      <c r="VVA26"/>
      <c r="VVE26"/>
      <c r="VVI26"/>
      <c r="VVM26"/>
      <c r="VVQ26"/>
      <c r="VVU26"/>
      <c r="VVY26"/>
      <c r="VWC26"/>
      <c r="VWG26"/>
      <c r="VWK26"/>
      <c r="VWO26"/>
      <c r="VWS26"/>
      <c r="VWW26"/>
      <c r="VXA26"/>
      <c r="VXE26"/>
      <c r="VXI26"/>
      <c r="VXM26"/>
      <c r="VXQ26"/>
      <c r="VXU26"/>
      <c r="VXY26"/>
      <c r="VYC26"/>
      <c r="VYG26"/>
      <c r="VYK26"/>
      <c r="VYO26"/>
      <c r="VYS26"/>
      <c r="VYW26"/>
      <c r="VZA26"/>
      <c r="VZE26"/>
      <c r="VZI26"/>
      <c r="VZM26"/>
      <c r="VZQ26"/>
      <c r="VZU26"/>
      <c r="VZY26"/>
      <c r="WAC26"/>
      <c r="WAG26"/>
      <c r="WAK26"/>
      <c r="WAO26"/>
      <c r="WAS26"/>
      <c r="WAW26"/>
      <c r="WBA26"/>
      <c r="WBE26"/>
      <c r="WBI26"/>
      <c r="WBM26"/>
      <c r="WBQ26"/>
      <c r="WBU26"/>
      <c r="WBY26"/>
      <c r="WCC26"/>
      <c r="WCG26"/>
      <c r="WCK26"/>
      <c r="WCO26"/>
      <c r="WCS26"/>
      <c r="WCW26"/>
      <c r="WDA26"/>
      <c r="WDE26"/>
      <c r="WDI26"/>
      <c r="WDM26"/>
      <c r="WDQ26"/>
      <c r="WDU26"/>
      <c r="WDY26"/>
      <c r="WEC26"/>
      <c r="WEG26"/>
      <c r="WEK26"/>
      <c r="WEO26"/>
      <c r="WES26"/>
      <c r="WEW26"/>
      <c r="WFA26"/>
      <c r="WFE26"/>
      <c r="WFI26"/>
      <c r="WFM26"/>
      <c r="WFQ26"/>
      <c r="WFU26"/>
      <c r="WFY26"/>
      <c r="WGC26"/>
      <c r="WGG26"/>
      <c r="WGK26"/>
      <c r="WGO26"/>
      <c r="WGS26"/>
      <c r="WGW26"/>
      <c r="WHA26"/>
      <c r="WHE26"/>
      <c r="WHI26"/>
      <c r="WHM26"/>
      <c r="WHQ26"/>
      <c r="WHU26"/>
      <c r="WHY26"/>
      <c r="WIC26"/>
      <c r="WIG26"/>
      <c r="WIK26"/>
      <c r="WIO26"/>
      <c r="WIS26"/>
      <c r="WIW26"/>
      <c r="WJA26"/>
      <c r="WJE26"/>
      <c r="WJI26"/>
      <c r="WJM26"/>
      <c r="WJQ26"/>
      <c r="WJU26"/>
      <c r="WJY26"/>
      <c r="WKC26"/>
      <c r="WKG26"/>
      <c r="WKK26"/>
      <c r="WKO26"/>
      <c r="WKS26"/>
      <c r="WKW26"/>
      <c r="WLA26"/>
      <c r="WLE26"/>
      <c r="WLI26"/>
      <c r="WLM26"/>
      <c r="WLQ26"/>
      <c r="WLU26"/>
      <c r="WLY26"/>
      <c r="WMC26"/>
      <c r="WMG26"/>
      <c r="WMK26"/>
      <c r="WMO26"/>
      <c r="WMS26"/>
      <c r="WMW26"/>
      <c r="WNA26"/>
      <c r="WNE26"/>
      <c r="WNI26"/>
      <c r="WNM26"/>
      <c r="WNQ26"/>
      <c r="WNU26"/>
      <c r="WNY26"/>
      <c r="WOC26"/>
      <c r="WOG26"/>
      <c r="WOK26"/>
      <c r="WOO26"/>
      <c r="WOS26"/>
      <c r="WOW26"/>
      <c r="WPA26"/>
      <c r="WPE26"/>
      <c r="WPI26"/>
      <c r="WPM26"/>
      <c r="WPQ26"/>
      <c r="WPU26"/>
      <c r="WPY26"/>
      <c r="WQC26"/>
      <c r="WQG26"/>
      <c r="WQK26"/>
      <c r="WQO26"/>
      <c r="WQS26"/>
      <c r="WQW26"/>
      <c r="WRA26"/>
      <c r="WRE26"/>
      <c r="WRI26"/>
      <c r="WRM26"/>
      <c r="WRQ26"/>
      <c r="WRU26"/>
      <c r="WRY26"/>
      <c r="WSC26"/>
      <c r="WSG26"/>
      <c r="WSK26"/>
      <c r="WSO26"/>
      <c r="WSS26"/>
      <c r="WSW26"/>
      <c r="WTA26"/>
      <c r="WTE26"/>
      <c r="WTI26"/>
      <c r="WTM26"/>
      <c r="WTQ26"/>
      <c r="WTU26"/>
      <c r="WTY26"/>
      <c r="WUC26"/>
      <c r="WUG26"/>
      <c r="WUK26"/>
      <c r="WUO26"/>
      <c r="WUS26"/>
      <c r="WUW26"/>
      <c r="WVA26"/>
      <c r="WVE26"/>
      <c r="WVI26"/>
      <c r="WVM26"/>
      <c r="WVQ26"/>
      <c r="WVU26"/>
      <c r="WVY26"/>
      <c r="WWC26"/>
      <c r="WWG26"/>
      <c r="WWK26"/>
      <c r="WWO26"/>
      <c r="WWS26"/>
      <c r="WWW26"/>
      <c r="WXA26"/>
      <c r="WXE26"/>
      <c r="WXI26"/>
      <c r="WXM26"/>
      <c r="WXQ26"/>
      <c r="WXU26"/>
      <c r="WXY26"/>
      <c r="WYC26"/>
      <c r="WYG26"/>
      <c r="WYK26"/>
      <c r="WYO26"/>
      <c r="WYS26"/>
      <c r="WYW26"/>
      <c r="WZA26"/>
      <c r="WZE26"/>
      <c r="WZI26"/>
      <c r="WZM26"/>
      <c r="WZQ26"/>
      <c r="WZU26"/>
      <c r="WZY26"/>
      <c r="XAC26"/>
      <c r="XAG26"/>
      <c r="XAK26"/>
      <c r="XAO26"/>
      <c r="XAS26"/>
      <c r="XAW26"/>
      <c r="XBA26"/>
      <c r="XBE26"/>
      <c r="XBI26"/>
      <c r="XBM26"/>
      <c r="XBQ26"/>
      <c r="XBU26"/>
      <c r="XBY26"/>
      <c r="XCC26"/>
      <c r="XCG26"/>
      <c r="XCK26"/>
      <c r="XCO26"/>
      <c r="XCS26"/>
      <c r="XCW26"/>
      <c r="XDA26"/>
      <c r="XDE26"/>
      <c r="XDI26"/>
      <c r="XDM26"/>
      <c r="XDQ26"/>
      <c r="XDU26"/>
      <c r="XDY26"/>
      <c r="XEC26"/>
      <c r="XEG26"/>
      <c r="XEK26"/>
      <c r="XEO26"/>
      <c r="XES26"/>
      <c r="XEW26"/>
      <c r="XFA26"/>
    </row>
    <row r="27" spans="1:1021 1025:2045 2049:3069 3073:4093 4097:5117 5121:6141 6145:7165 7169:8189 8193:9213 9217:10237 10241:11261 11265:12285 12289:13309 13313:14333 14337:15357 15361:16381" x14ac:dyDescent="0.35">
      <c r="C27" s="1" t="str">
        <f xml:space="preserve"> IF('Master Player List'!L25=1,'Master Player List'!C25,"")</f>
        <v/>
      </c>
      <c r="D27" s="1" t="str">
        <f xml:space="preserve"> IF('Master Player List'!L25=1,'Master Player List'!F25,"")</f>
        <v/>
      </c>
    </row>
    <row r="28" spans="1:1021 1025:2045 2049:3069 3073:4093 4097:5117 5121:6141 6145:7165 7169:8189 8193:9213 9217:10237 10241:11261 11265:12285 12289:13309 13313:14333 14337:15357 15361:16381" x14ac:dyDescent="0.35">
      <c r="C28" s="1" t="str">
        <f xml:space="preserve"> IF('Master Player List'!L2=1,'Master Player List'!C2,"")</f>
        <v/>
      </c>
      <c r="D28" s="1" t="str">
        <f xml:space="preserve"> IF('Master Player List'!L2=1,'Master Player List'!F2,"")</f>
        <v/>
      </c>
    </row>
    <row r="29" spans="1:1021 1025:2045 2049:3069 3073:4093 4097:5117 5121:6141 6145:7165 7169:8189 8193:9213 9217:10237 10241:11261 11265:12285 12289:13309 13313:14333 14337:15357 15361:16381" ht="21" x14ac:dyDescent="0.5">
      <c r="A29" s="265" t="s">
        <v>29</v>
      </c>
      <c r="B29" s="334"/>
      <c r="C29" s="266"/>
      <c r="D29" s="266"/>
      <c r="E29" s="340" t="s">
        <v>461</v>
      </c>
      <c r="F29" s="341"/>
      <c r="G29" s="342" t="s">
        <v>462</v>
      </c>
      <c r="H29" s="342"/>
      <c r="I29" s="340" t="s">
        <v>463</v>
      </c>
      <c r="J29" s="341"/>
    </row>
    <row r="30" spans="1:1021 1025:2045 2049:3069 3073:4093 4097:5117 5121:6141 6145:7165 7169:8189 8193:9213 9217:10237 10241:11261 11265:12285 12289:13309 13313:14333 14337:15357 15361:16381" x14ac:dyDescent="0.35">
      <c r="A30" s="27" t="s">
        <v>316</v>
      </c>
      <c r="B30" s="27" t="s">
        <v>11</v>
      </c>
      <c r="C30" s="28" t="s">
        <v>2</v>
      </c>
      <c r="D30" s="28" t="s">
        <v>13</v>
      </c>
      <c r="E30" s="27" t="s">
        <v>464</v>
      </c>
      <c r="F30" s="29" t="s">
        <v>465</v>
      </c>
      <c r="G30" s="28" t="s">
        <v>464</v>
      </c>
      <c r="H30" s="28" t="s">
        <v>465</v>
      </c>
      <c r="I30" s="27" t="s">
        <v>464</v>
      </c>
      <c r="J30" s="29" t="s">
        <v>465</v>
      </c>
    </row>
    <row r="31" spans="1:1021 1025:2045 2049:3069 3073:4093 4097:5117 5121:6141 6145:7165 7169:8189 8193:9213 9217:10237 10241:11261 11265:12285 12289:13309 13313:14333 14337:15357 15361:16381" x14ac:dyDescent="0.35">
      <c r="A31" s="21">
        <v>2</v>
      </c>
      <c r="B31" s="21">
        <v>1</v>
      </c>
      <c r="C31" s="1" t="str">
        <f xml:space="preserve"> IF('Master Player List'!L25=2,'Master Player List'!C25,"")</f>
        <v/>
      </c>
      <c r="D31" s="1" t="str">
        <f xml:space="preserve"> IF('Master Player List'!L25=2,'Master Player List'!F25,"")</f>
        <v/>
      </c>
      <c r="E31" s="21" t="str">
        <f xml:space="preserve"> IF('Master Player List'!L25=2,'Master Player List'!I25,"")</f>
        <v/>
      </c>
      <c r="F31" s="30"/>
      <c r="I31" s="21"/>
      <c r="J31" s="30"/>
      <c r="N31" s="1"/>
      <c r="O31" s="1"/>
      <c r="P31" s="1"/>
    </row>
    <row r="32" spans="1:1021 1025:2045 2049:3069 3073:4093 4097:5117 5121:6141 6145:7165 7169:8189 8193:9213 9217:10237 10241:11261 11265:12285 12289:13309 13313:14333 14337:15357 15361:16381" x14ac:dyDescent="0.35">
      <c r="A32" s="21">
        <v>2</v>
      </c>
      <c r="B32" s="21">
        <v>2</v>
      </c>
      <c r="C32" s="1" t="str">
        <f xml:space="preserve"> IF('Master Player List'!L26=2,'Master Player List'!C26,"")</f>
        <v/>
      </c>
      <c r="D32" s="1" t="str">
        <f xml:space="preserve"> IF('Master Player List'!L26=2,'Master Player List'!F26,"")</f>
        <v/>
      </c>
      <c r="E32" s="21" t="str">
        <f xml:space="preserve"> IF('Master Player List'!L26=2,'Master Player List'!I26,"")</f>
        <v/>
      </c>
      <c r="F32" s="30"/>
      <c r="I32" s="21"/>
      <c r="J32" s="30"/>
      <c r="N32" s="1"/>
      <c r="O32" s="1"/>
      <c r="P32" s="1"/>
    </row>
    <row r="33" spans="1:16" x14ac:dyDescent="0.35">
      <c r="A33" s="21">
        <v>2</v>
      </c>
      <c r="B33" s="21">
        <v>3</v>
      </c>
      <c r="C33" s="1" t="str">
        <f xml:space="preserve"> IF('Master Player List'!L27=2,'Master Player List'!C27,"")</f>
        <v/>
      </c>
      <c r="D33" s="1" t="str">
        <f xml:space="preserve"> IF('Master Player List'!L27=2,'Master Player List'!F27,"")</f>
        <v/>
      </c>
      <c r="E33" s="21" t="str">
        <f xml:space="preserve"> IF('Master Player List'!L27=2,'Master Player List'!I27,"")</f>
        <v/>
      </c>
      <c r="F33" s="30"/>
      <c r="I33" s="21"/>
      <c r="J33" s="30"/>
      <c r="N33" s="1"/>
      <c r="O33" s="1"/>
      <c r="P33" s="1"/>
    </row>
    <row r="34" spans="1:16" x14ac:dyDescent="0.35">
      <c r="A34" s="21">
        <v>2</v>
      </c>
      <c r="B34" s="21">
        <v>4</v>
      </c>
      <c r="C34" s="1" t="str">
        <f xml:space="preserve"> IF('Master Player List'!L28=2,'Master Player List'!C28,"")</f>
        <v/>
      </c>
      <c r="D34" s="1" t="str">
        <f xml:space="preserve"> IF('Master Player List'!L28=2,'Master Player List'!F28,"")</f>
        <v/>
      </c>
      <c r="E34" s="21" t="str">
        <f xml:space="preserve"> IF('Master Player List'!L28=2,'Master Player List'!I28,"")</f>
        <v/>
      </c>
      <c r="F34" s="30"/>
      <c r="I34" s="21"/>
      <c r="J34" s="30"/>
      <c r="N34" s="1"/>
      <c r="O34" s="1"/>
      <c r="P34" s="1"/>
    </row>
    <row r="35" spans="1:16" x14ac:dyDescent="0.35">
      <c r="A35" s="21">
        <v>2</v>
      </c>
      <c r="B35" s="21">
        <v>5</v>
      </c>
      <c r="C35" s="1" t="str">
        <f xml:space="preserve"> IF('Master Player List'!L29=2,'Master Player List'!C29,"")</f>
        <v/>
      </c>
      <c r="D35" s="1" t="str">
        <f xml:space="preserve"> IF('Master Player List'!L29=2,'Master Player List'!F29,"")</f>
        <v/>
      </c>
      <c r="E35" s="21" t="str">
        <f xml:space="preserve"> IF('Master Player List'!L29=2,'Master Player List'!I29,"")</f>
        <v/>
      </c>
      <c r="F35" s="30"/>
      <c r="I35" s="21"/>
      <c r="J35" s="30"/>
      <c r="N35" s="1"/>
      <c r="O35" s="1"/>
      <c r="P35" s="1"/>
    </row>
    <row r="36" spans="1:16" x14ac:dyDescent="0.35">
      <c r="A36" s="21">
        <v>2</v>
      </c>
      <c r="B36" s="21">
        <v>6</v>
      </c>
      <c r="C36" s="1" t="str">
        <f xml:space="preserve"> IF('Master Player List'!L30=2,'Master Player List'!C30,"")</f>
        <v/>
      </c>
      <c r="D36" s="1" t="str">
        <f xml:space="preserve"> IF('Master Player List'!L30=2,'Master Player List'!F30,"")</f>
        <v/>
      </c>
      <c r="E36" s="21" t="str">
        <f xml:space="preserve"> IF('Master Player List'!L30=2,'Master Player List'!I30,"")</f>
        <v/>
      </c>
      <c r="F36" s="30"/>
      <c r="I36" s="21"/>
      <c r="J36" s="30"/>
      <c r="N36" s="1"/>
      <c r="O36" s="1"/>
      <c r="P36" s="1"/>
    </row>
    <row r="37" spans="1:16" x14ac:dyDescent="0.35">
      <c r="A37" s="21">
        <v>2</v>
      </c>
      <c r="B37" s="21">
        <v>7</v>
      </c>
      <c r="C37" s="1" t="str">
        <f xml:space="preserve"> IF('Master Player List'!L31=2,'Master Player List'!C31,"")</f>
        <v/>
      </c>
      <c r="D37" s="1" t="str">
        <f xml:space="preserve"> IF('Master Player List'!L31=2,'Master Player List'!F31,"")</f>
        <v/>
      </c>
      <c r="E37" s="21" t="str">
        <f xml:space="preserve"> IF('Master Player List'!L31=2,'Master Player List'!I31,"")</f>
        <v/>
      </c>
      <c r="F37" s="30"/>
      <c r="I37" s="21"/>
      <c r="J37" s="30"/>
      <c r="N37" s="1"/>
      <c r="O37" s="1"/>
      <c r="P37" s="1"/>
    </row>
    <row r="38" spans="1:16" x14ac:dyDescent="0.35">
      <c r="A38" s="21">
        <v>2</v>
      </c>
      <c r="B38" s="21">
        <v>8</v>
      </c>
      <c r="C38" s="1" t="str">
        <f xml:space="preserve"> IF('Master Player List'!L32=2,'Master Player List'!C32,"")</f>
        <v/>
      </c>
      <c r="D38" s="1" t="str">
        <f xml:space="preserve"> IF('Master Player List'!L32=2,'Master Player List'!F32,"")</f>
        <v/>
      </c>
      <c r="E38" s="21" t="str">
        <f xml:space="preserve"> IF('Master Player List'!L32=2,'Master Player List'!I32,"")</f>
        <v/>
      </c>
      <c r="F38" s="30"/>
      <c r="I38" s="21"/>
      <c r="J38" s="30"/>
      <c r="N38" s="1"/>
      <c r="O38" s="1"/>
      <c r="P38" s="1"/>
    </row>
    <row r="39" spans="1:16" x14ac:dyDescent="0.35">
      <c r="A39" s="21">
        <v>2</v>
      </c>
      <c r="B39" s="21">
        <v>9</v>
      </c>
      <c r="C39" s="1" t="str">
        <f xml:space="preserve"> IF('Master Player List'!L33=2,'Master Player List'!C33,"")</f>
        <v/>
      </c>
      <c r="D39" s="1" t="str">
        <f xml:space="preserve"> IF('Master Player List'!L33=2,'Master Player List'!F33,"")</f>
        <v/>
      </c>
      <c r="E39" s="21" t="str">
        <f xml:space="preserve"> IF('Master Player List'!L33=2,'Master Player List'!I33,"")</f>
        <v/>
      </c>
      <c r="F39" s="30"/>
      <c r="I39" s="21"/>
      <c r="J39" s="30"/>
      <c r="N39" s="1"/>
      <c r="O39" s="1"/>
      <c r="P39" s="1"/>
    </row>
    <row r="40" spans="1:16" x14ac:dyDescent="0.35">
      <c r="A40" s="21">
        <v>2</v>
      </c>
      <c r="B40" s="21">
        <v>10</v>
      </c>
      <c r="C40" s="1" t="str">
        <f xml:space="preserve"> IF('Master Player List'!L34=2,'Master Player List'!C34,"")</f>
        <v/>
      </c>
      <c r="D40" s="1" t="str">
        <f xml:space="preserve"> IF('Master Player List'!L34=2,'Master Player List'!F34,"")</f>
        <v/>
      </c>
      <c r="E40" s="21" t="str">
        <f xml:space="preserve"> IF('Master Player List'!L34=2,'Master Player List'!I34,"")</f>
        <v/>
      </c>
      <c r="F40" s="30"/>
      <c r="I40" s="21"/>
      <c r="J40" s="30"/>
    </row>
    <row r="41" spans="1:16" x14ac:dyDescent="0.35">
      <c r="A41" s="21">
        <v>2</v>
      </c>
      <c r="B41" s="21">
        <v>11</v>
      </c>
      <c r="C41" s="1" t="str">
        <f xml:space="preserve"> IF('Master Player List'!L35=2,'Master Player List'!C35,"")</f>
        <v/>
      </c>
      <c r="D41" s="1" t="str">
        <f xml:space="preserve"> IF('Master Player List'!L35=2,'Master Player List'!F35,"")</f>
        <v/>
      </c>
      <c r="E41" s="21" t="str">
        <f xml:space="preserve"> IF('Master Player List'!L35=2,'Master Player List'!I35,"")</f>
        <v/>
      </c>
      <c r="F41" s="30"/>
      <c r="I41" s="21"/>
      <c r="J41" s="30"/>
    </row>
    <row r="42" spans="1:16" x14ac:dyDescent="0.35">
      <c r="A42" s="21">
        <v>2</v>
      </c>
      <c r="B42" s="21">
        <v>12</v>
      </c>
      <c r="C42" s="1" t="str">
        <f xml:space="preserve"> IF('Master Player List'!L36=2,'Master Player List'!C36,"")</f>
        <v/>
      </c>
      <c r="D42" s="1" t="str">
        <f xml:space="preserve"> IF('Master Player List'!L36=2,'Master Player List'!F36,"")</f>
        <v/>
      </c>
      <c r="E42" s="21" t="str">
        <f xml:space="preserve"> IF('Master Player List'!L36=2,'Master Player List'!I36,"")</f>
        <v/>
      </c>
      <c r="F42" s="30"/>
      <c r="I42" s="21"/>
      <c r="J42" s="30"/>
    </row>
    <row r="43" spans="1:16" x14ac:dyDescent="0.35">
      <c r="A43" s="21">
        <v>2</v>
      </c>
      <c r="B43" s="21">
        <v>13</v>
      </c>
      <c r="C43" s="1" t="str">
        <f xml:space="preserve"> IF('Master Player List'!L37=2,'Master Player List'!C37,"")</f>
        <v/>
      </c>
      <c r="D43" s="1" t="str">
        <f xml:space="preserve"> IF('Master Player List'!L37=2,'Master Player List'!F37,"")</f>
        <v/>
      </c>
      <c r="E43" s="21" t="str">
        <f xml:space="preserve"> IF('Master Player List'!L37=2,'Master Player List'!I37,"")</f>
        <v/>
      </c>
      <c r="F43" s="30"/>
      <c r="I43" s="21"/>
      <c r="J43" s="30"/>
    </row>
    <row r="44" spans="1:16" x14ac:dyDescent="0.35">
      <c r="A44" s="21">
        <v>2</v>
      </c>
      <c r="B44" s="21">
        <v>14</v>
      </c>
      <c r="C44" s="1" t="str">
        <f xml:space="preserve"> IF('Master Player List'!L38=2,'Master Player List'!C38,"")</f>
        <v/>
      </c>
      <c r="D44" s="1" t="str">
        <f xml:space="preserve"> IF('Master Player List'!L38=2,'Master Player List'!F38,"")</f>
        <v/>
      </c>
      <c r="E44" s="21" t="str">
        <f xml:space="preserve"> IF('Master Player List'!L38=2,'Master Player List'!I38,"")</f>
        <v/>
      </c>
      <c r="F44" s="30"/>
      <c r="I44" s="21"/>
      <c r="J44" s="30"/>
    </row>
    <row r="45" spans="1:16" x14ac:dyDescent="0.35">
      <c r="A45" s="21">
        <v>2</v>
      </c>
      <c r="B45" s="21">
        <v>15</v>
      </c>
      <c r="C45" s="1" t="str">
        <f xml:space="preserve"> IF('Master Player List'!L39=2,'Master Player List'!C39,"")</f>
        <v/>
      </c>
      <c r="D45" s="1" t="str">
        <f xml:space="preserve"> IF('Master Player List'!L39=2,'Master Player List'!F39,"")</f>
        <v/>
      </c>
      <c r="E45" s="21" t="str">
        <f xml:space="preserve"> IF('Master Player List'!L39=2,'Master Player List'!I39,"")</f>
        <v/>
      </c>
      <c r="F45" s="30"/>
      <c r="I45" s="21"/>
      <c r="J45" s="30"/>
    </row>
    <row r="46" spans="1:16" x14ac:dyDescent="0.35">
      <c r="A46" s="21">
        <v>2</v>
      </c>
      <c r="B46" s="21">
        <v>16</v>
      </c>
      <c r="C46" s="1" t="str">
        <f xml:space="preserve"> IF('Master Player List'!L40=2,'Master Player List'!C40,"")</f>
        <v/>
      </c>
      <c r="D46" s="1" t="str">
        <f xml:space="preserve"> IF('Master Player List'!L40=2,'Master Player List'!F40,"")</f>
        <v/>
      </c>
      <c r="E46" s="21" t="str">
        <f xml:space="preserve"> IF('Master Player List'!L40=2,'Master Player List'!I40,"")</f>
        <v/>
      </c>
      <c r="F46" s="30"/>
      <c r="I46" s="21"/>
      <c r="J46" s="30"/>
    </row>
    <row r="47" spans="1:16" x14ac:dyDescent="0.35">
      <c r="A47" s="21">
        <v>2</v>
      </c>
      <c r="B47" s="21">
        <v>17</v>
      </c>
      <c r="C47" s="1" t="str">
        <f xml:space="preserve"> IF('Master Player List'!L41=2,'Master Player List'!C41,"")</f>
        <v/>
      </c>
      <c r="D47" s="1" t="str">
        <f xml:space="preserve"> IF('Master Player List'!L41=2,'Master Player List'!F41,"")</f>
        <v/>
      </c>
      <c r="E47" s="21" t="str">
        <f xml:space="preserve"> IF('Master Player List'!L41=2,'Master Player List'!I41,"")</f>
        <v/>
      </c>
      <c r="F47" s="30"/>
      <c r="I47" s="21"/>
      <c r="J47" s="30"/>
    </row>
    <row r="48" spans="1:16" x14ac:dyDescent="0.35">
      <c r="A48" s="21">
        <v>2</v>
      </c>
      <c r="B48" s="21">
        <v>18</v>
      </c>
      <c r="C48" s="1" t="str">
        <f xml:space="preserve"> IF('Master Player List'!L42=2,'Master Player List'!C42,"")</f>
        <v/>
      </c>
      <c r="D48" s="1" t="str">
        <f xml:space="preserve"> IF('Master Player List'!L42=2,'Master Player List'!F42,"")</f>
        <v/>
      </c>
      <c r="E48" s="21" t="str">
        <f xml:space="preserve"> IF('Master Player List'!L42=2,'Master Player List'!I42,"")</f>
        <v/>
      </c>
      <c r="F48" s="30"/>
      <c r="I48" s="21"/>
      <c r="J48" s="30"/>
    </row>
    <row r="49" spans="1:10" x14ac:dyDescent="0.35">
      <c r="A49" s="21">
        <v>2</v>
      </c>
      <c r="B49" s="21">
        <v>19</v>
      </c>
      <c r="C49" s="1" t="str">
        <f xml:space="preserve"> IF('Master Player List'!L43=2,'Master Player List'!C43,"")</f>
        <v/>
      </c>
      <c r="D49" s="1" t="str">
        <f xml:space="preserve"> IF('Master Player List'!L43=2,'Master Player List'!F43,"")</f>
        <v/>
      </c>
      <c r="E49" s="21" t="str">
        <f xml:space="preserve"> IF('Master Player List'!L43=2,'Master Player List'!I43,"")</f>
        <v/>
      </c>
      <c r="F49" s="30"/>
      <c r="I49" s="21"/>
      <c r="J49" s="30"/>
    </row>
    <row r="50" spans="1:10" x14ac:dyDescent="0.35">
      <c r="A50" s="21">
        <v>2</v>
      </c>
      <c r="B50" s="21">
        <v>20</v>
      </c>
      <c r="C50" s="1" t="str">
        <f xml:space="preserve"> IF('Master Player List'!L44=2,'Master Player List'!C44,"")</f>
        <v/>
      </c>
      <c r="D50" s="1" t="str">
        <f xml:space="preserve"> IF('Master Player List'!L44=2,'Master Player List'!F44,"")</f>
        <v/>
      </c>
      <c r="E50" s="21" t="str">
        <f xml:space="preserve"> IF('Master Player List'!L44=2,'Master Player List'!I44,"")</f>
        <v/>
      </c>
      <c r="F50" s="30"/>
      <c r="I50" s="21"/>
      <c r="J50" s="30"/>
    </row>
    <row r="51" spans="1:10" x14ac:dyDescent="0.35">
      <c r="A51" s="21">
        <v>2</v>
      </c>
      <c r="B51" s="21">
        <v>21</v>
      </c>
      <c r="C51" s="1" t="str">
        <f xml:space="preserve"> IF('Master Player List'!L45=2,'Master Player List'!C45,"")</f>
        <v/>
      </c>
      <c r="D51" s="1" t="str">
        <f xml:space="preserve"> IF('Master Player List'!L45=2,'Master Player List'!F45,"")</f>
        <v/>
      </c>
      <c r="E51" s="21" t="str">
        <f xml:space="preserve"> IF('Master Player List'!L45=2,'Master Player List'!I45,"")</f>
        <v/>
      </c>
      <c r="F51" s="30"/>
      <c r="I51" s="21"/>
      <c r="J51" s="30"/>
    </row>
    <row r="52" spans="1:10" x14ac:dyDescent="0.35">
      <c r="A52" s="23">
        <v>2</v>
      </c>
      <c r="B52" s="23">
        <v>22</v>
      </c>
      <c r="C52" s="24" t="str">
        <f xml:space="preserve"> IF('Master Player List'!L46=2,'Master Player List'!C46,"")</f>
        <v/>
      </c>
      <c r="D52" s="24" t="str">
        <f xml:space="preserve"> IF('Master Player List'!L46=2,'Master Player List'!F46,"")</f>
        <v/>
      </c>
      <c r="E52" s="23" t="str">
        <f xml:space="preserve"> IF('Master Player List'!L46=2,'Master Player List'!I46,"")</f>
        <v/>
      </c>
      <c r="F52" s="31"/>
      <c r="G52" s="25"/>
      <c r="H52" s="25"/>
      <c r="I52" s="23"/>
      <c r="J52" s="31"/>
    </row>
    <row r="53" spans="1:10" x14ac:dyDescent="0.35">
      <c r="C53" s="1"/>
      <c r="D53" s="1"/>
    </row>
    <row r="55" spans="1:10" ht="21" x14ac:dyDescent="0.5">
      <c r="A55" s="265" t="s">
        <v>41</v>
      </c>
      <c r="B55" s="334"/>
      <c r="C55" s="266"/>
      <c r="D55" s="266"/>
      <c r="E55" s="340" t="s">
        <v>461</v>
      </c>
      <c r="F55" s="341"/>
      <c r="G55" s="342" t="s">
        <v>462</v>
      </c>
      <c r="H55" s="342"/>
      <c r="I55" s="340" t="s">
        <v>463</v>
      </c>
      <c r="J55" s="341"/>
    </row>
    <row r="56" spans="1:10" x14ac:dyDescent="0.35">
      <c r="A56" s="27" t="s">
        <v>316</v>
      </c>
      <c r="B56" s="27" t="s">
        <v>11</v>
      </c>
      <c r="C56" s="28" t="s">
        <v>2</v>
      </c>
      <c r="D56" s="28" t="s">
        <v>13</v>
      </c>
      <c r="E56" s="27" t="s">
        <v>464</v>
      </c>
      <c r="F56" s="29" t="s">
        <v>465</v>
      </c>
      <c r="G56" s="28" t="s">
        <v>464</v>
      </c>
      <c r="H56" s="28" t="s">
        <v>465</v>
      </c>
      <c r="I56" s="27" t="s">
        <v>464</v>
      </c>
      <c r="J56" s="29" t="s">
        <v>465</v>
      </c>
    </row>
    <row r="57" spans="1:10" x14ac:dyDescent="0.35">
      <c r="A57" s="21">
        <v>3</v>
      </c>
      <c r="B57" s="21">
        <v>1</v>
      </c>
      <c r="C57" s="1" t="str">
        <f xml:space="preserve"> IF('Master Player List'!L47=3,'Master Player List'!C47,"")</f>
        <v/>
      </c>
      <c r="D57" s="1" t="str">
        <f xml:space="preserve"> IF('Master Player List'!L47=3,'Master Player List'!F47,"")</f>
        <v/>
      </c>
      <c r="E57" s="21" t="str">
        <f xml:space="preserve"> IF('Master Player List'!L47=3,'Master Player List'!I47,"")</f>
        <v/>
      </c>
      <c r="F57" s="30"/>
      <c r="I57" s="21"/>
      <c r="J57" s="30"/>
    </row>
    <row r="58" spans="1:10" x14ac:dyDescent="0.35">
      <c r="A58" s="21">
        <v>3</v>
      </c>
      <c r="B58" s="21">
        <v>2</v>
      </c>
      <c r="C58" s="1" t="str">
        <f xml:space="preserve"> IF('Master Player List'!L48=3,'Master Player List'!C48,"")</f>
        <v/>
      </c>
      <c r="D58" s="1" t="str">
        <f xml:space="preserve"> IF('Master Player List'!L48=3,'Master Player List'!F48,"")</f>
        <v/>
      </c>
      <c r="E58" s="21" t="str">
        <f xml:space="preserve"> IF('Master Player List'!L48=3,'Master Player List'!I48,"")</f>
        <v/>
      </c>
      <c r="F58" s="30"/>
      <c r="I58" s="21"/>
      <c r="J58" s="30"/>
    </row>
    <row r="59" spans="1:10" x14ac:dyDescent="0.35">
      <c r="A59" s="21">
        <v>3</v>
      </c>
      <c r="B59" s="21">
        <v>3</v>
      </c>
      <c r="C59" s="1" t="str">
        <f xml:space="preserve"> IF('Master Player List'!L49=3,'Master Player List'!C49,"")</f>
        <v/>
      </c>
      <c r="D59" s="1" t="str">
        <f xml:space="preserve"> IF('Master Player List'!L49=3,'Master Player List'!F49,"")</f>
        <v/>
      </c>
      <c r="E59" s="21" t="str">
        <f xml:space="preserve"> IF('Master Player List'!L49=3,'Master Player List'!I49,"")</f>
        <v/>
      </c>
      <c r="F59" s="30"/>
      <c r="I59" s="21"/>
      <c r="J59" s="30"/>
    </row>
    <row r="60" spans="1:10" x14ac:dyDescent="0.35">
      <c r="A60" s="21">
        <v>3</v>
      </c>
      <c r="B60" s="21">
        <v>4</v>
      </c>
      <c r="C60" s="1" t="str">
        <f xml:space="preserve"> IF('Master Player List'!L50=3,'Master Player List'!C50,"")</f>
        <v/>
      </c>
      <c r="D60" s="1" t="str">
        <f xml:space="preserve"> IF('Master Player List'!L50=3,'Master Player List'!F50,"")</f>
        <v/>
      </c>
      <c r="E60" s="21" t="str">
        <f xml:space="preserve"> IF('Master Player List'!L50=3,'Master Player List'!I50,"")</f>
        <v/>
      </c>
      <c r="F60" s="30"/>
      <c r="I60" s="21"/>
      <c r="J60" s="30"/>
    </row>
    <row r="61" spans="1:10" x14ac:dyDescent="0.35">
      <c r="A61" s="21">
        <v>3</v>
      </c>
      <c r="B61" s="21">
        <v>5</v>
      </c>
      <c r="C61" s="1" t="str">
        <f xml:space="preserve"> IF('Master Player List'!L51=3,'Master Player List'!C51,"")</f>
        <v/>
      </c>
      <c r="D61" s="1" t="str">
        <f xml:space="preserve"> IF('Master Player List'!L51=3,'Master Player List'!F51,"")</f>
        <v/>
      </c>
      <c r="E61" s="21" t="str">
        <f xml:space="preserve"> IF('Master Player List'!L51=3,'Master Player List'!I51,"")</f>
        <v/>
      </c>
      <c r="F61" s="30"/>
      <c r="I61" s="21"/>
      <c r="J61" s="30"/>
    </row>
    <row r="62" spans="1:10" x14ac:dyDescent="0.35">
      <c r="A62" s="21">
        <v>3</v>
      </c>
      <c r="B62" s="21">
        <v>6</v>
      </c>
      <c r="C62" s="1" t="str">
        <f xml:space="preserve"> IF('Master Player List'!L52=3,'Master Player List'!C52,"")</f>
        <v/>
      </c>
      <c r="D62" s="1" t="str">
        <f xml:space="preserve"> IF('Master Player List'!L52=3,'Master Player List'!F52,"")</f>
        <v/>
      </c>
      <c r="E62" s="21" t="str">
        <f xml:space="preserve"> IF('Master Player List'!L52=3,'Master Player List'!I52,"")</f>
        <v/>
      </c>
      <c r="F62" s="30"/>
      <c r="I62" s="21"/>
      <c r="J62" s="30"/>
    </row>
    <row r="63" spans="1:10" x14ac:dyDescent="0.35">
      <c r="A63" s="21">
        <v>3</v>
      </c>
      <c r="B63" s="21">
        <v>7</v>
      </c>
      <c r="C63" s="1" t="str">
        <f xml:space="preserve"> IF('Master Player List'!L53=3,'Master Player List'!C53,"")</f>
        <v/>
      </c>
      <c r="D63" s="1" t="str">
        <f xml:space="preserve"> IF('Master Player List'!L53=3,'Master Player List'!F53,"")</f>
        <v/>
      </c>
      <c r="E63" s="21" t="str">
        <f xml:space="preserve"> IF('Master Player List'!L53=3,'Master Player List'!I53,"")</f>
        <v/>
      </c>
      <c r="F63" s="30"/>
      <c r="I63" s="21"/>
      <c r="J63" s="30"/>
    </row>
    <row r="64" spans="1:10" x14ac:dyDescent="0.35">
      <c r="A64" s="21">
        <v>3</v>
      </c>
      <c r="B64" s="21">
        <v>8</v>
      </c>
      <c r="C64" s="1" t="str">
        <f xml:space="preserve"> IF('Master Player List'!L54=3,'Master Player List'!C54,"")</f>
        <v/>
      </c>
      <c r="D64" s="1" t="str">
        <f xml:space="preserve"> IF('Master Player List'!L54=3,'Master Player List'!F54,"")</f>
        <v/>
      </c>
      <c r="E64" s="21" t="str">
        <f xml:space="preserve"> IF('Master Player List'!L54=3,'Master Player List'!I54,"")</f>
        <v/>
      </c>
      <c r="F64" s="30"/>
      <c r="I64" s="21"/>
      <c r="J64" s="30"/>
    </row>
    <row r="65" spans="1:10" x14ac:dyDescent="0.35">
      <c r="A65" s="21">
        <v>3</v>
      </c>
      <c r="B65" s="21">
        <v>9</v>
      </c>
      <c r="C65" s="1" t="str">
        <f xml:space="preserve"> IF('Master Player List'!L55=3,'Master Player List'!C55,"")</f>
        <v/>
      </c>
      <c r="D65" s="1" t="str">
        <f xml:space="preserve"> IF('Master Player List'!L55=3,'Master Player List'!F55,"")</f>
        <v/>
      </c>
      <c r="E65" s="21" t="str">
        <f xml:space="preserve"> IF('Master Player List'!L55=3,'Master Player List'!I55,"")</f>
        <v/>
      </c>
      <c r="F65" s="30"/>
      <c r="I65" s="21"/>
      <c r="J65" s="30"/>
    </row>
    <row r="66" spans="1:10" x14ac:dyDescent="0.35">
      <c r="A66" s="21">
        <v>3</v>
      </c>
      <c r="B66" s="21">
        <v>10</v>
      </c>
      <c r="C66" s="1" t="str">
        <f xml:space="preserve"> IF('Master Player List'!L56=3,'Master Player List'!C56,"")</f>
        <v/>
      </c>
      <c r="D66" s="1" t="str">
        <f xml:space="preserve"> IF('Master Player List'!L56=3,'Master Player List'!F56,"")</f>
        <v/>
      </c>
      <c r="E66" s="21" t="str">
        <f xml:space="preserve"> IF('Master Player List'!L56=3,'Master Player List'!I56,"")</f>
        <v/>
      </c>
      <c r="F66" s="30"/>
      <c r="I66" s="21"/>
      <c r="J66" s="30"/>
    </row>
    <row r="67" spans="1:10" x14ac:dyDescent="0.35">
      <c r="A67" s="21">
        <v>3</v>
      </c>
      <c r="B67" s="21">
        <v>11</v>
      </c>
      <c r="C67" s="1" t="str">
        <f xml:space="preserve"> IF('Master Player List'!L57=3,'Master Player List'!C57,"")</f>
        <v/>
      </c>
      <c r="D67" s="1" t="str">
        <f xml:space="preserve"> IF('Master Player List'!L57=3,'Master Player List'!F57,"")</f>
        <v/>
      </c>
      <c r="E67" s="21" t="str">
        <f xml:space="preserve"> IF('Master Player List'!L57=3,'Master Player List'!I57,"")</f>
        <v/>
      </c>
      <c r="F67" s="30"/>
      <c r="I67" s="21"/>
      <c r="J67" s="30"/>
    </row>
    <row r="68" spans="1:10" x14ac:dyDescent="0.35">
      <c r="A68" s="21">
        <v>3</v>
      </c>
      <c r="B68" s="21">
        <v>12</v>
      </c>
      <c r="C68" s="1" t="str">
        <f xml:space="preserve"> IF('Master Player List'!L58=3,'Master Player List'!C58,"")</f>
        <v/>
      </c>
      <c r="D68" s="1" t="str">
        <f xml:space="preserve"> IF('Master Player List'!L58=3,'Master Player List'!F58,"")</f>
        <v/>
      </c>
      <c r="E68" s="21" t="str">
        <f xml:space="preserve"> IF('Master Player List'!L58=3,'Master Player List'!I58,"")</f>
        <v/>
      </c>
      <c r="F68" s="30"/>
      <c r="I68" s="21"/>
      <c r="J68" s="30"/>
    </row>
    <row r="69" spans="1:10" x14ac:dyDescent="0.35">
      <c r="A69" s="21">
        <v>3</v>
      </c>
      <c r="B69" s="21">
        <v>13</v>
      </c>
      <c r="C69" s="1" t="str">
        <f xml:space="preserve"> IF('Master Player List'!L59=3,'Master Player List'!C59,"")</f>
        <v/>
      </c>
      <c r="D69" s="1" t="str">
        <f xml:space="preserve"> IF('Master Player List'!L59=3,'Master Player List'!F59,"")</f>
        <v/>
      </c>
      <c r="E69" s="21" t="str">
        <f xml:space="preserve"> IF('Master Player List'!L59=3,'Master Player List'!I59,"")</f>
        <v/>
      </c>
      <c r="F69" s="30"/>
      <c r="I69" s="21"/>
      <c r="J69" s="30"/>
    </row>
    <row r="70" spans="1:10" x14ac:dyDescent="0.35">
      <c r="A70" s="21">
        <v>3</v>
      </c>
      <c r="B70" s="21">
        <v>14</v>
      </c>
      <c r="C70" s="1" t="str">
        <f xml:space="preserve"> IF('Master Player List'!L60=3,'Master Player List'!C60,"")</f>
        <v/>
      </c>
      <c r="D70" s="1" t="str">
        <f xml:space="preserve"> IF('Master Player List'!L60=3,'Master Player List'!F60,"")</f>
        <v/>
      </c>
      <c r="E70" s="21" t="str">
        <f xml:space="preserve"> IF('Master Player List'!L60=3,'Master Player List'!I60,"")</f>
        <v/>
      </c>
      <c r="F70" s="30"/>
      <c r="I70" s="21"/>
      <c r="J70" s="30"/>
    </row>
    <row r="71" spans="1:10" x14ac:dyDescent="0.35">
      <c r="A71" s="21">
        <v>3</v>
      </c>
      <c r="B71" s="21">
        <v>15</v>
      </c>
      <c r="C71" s="1" t="str">
        <f xml:space="preserve"> IF('Master Player List'!L61=3,'Master Player List'!C61,"")</f>
        <v/>
      </c>
      <c r="D71" s="1" t="str">
        <f xml:space="preserve"> IF('Master Player List'!L61=3,'Master Player List'!F61,"")</f>
        <v/>
      </c>
      <c r="E71" s="21" t="str">
        <f xml:space="preserve"> IF('Master Player List'!L61=3,'Master Player List'!I61,"")</f>
        <v/>
      </c>
      <c r="F71" s="30"/>
      <c r="I71" s="21"/>
      <c r="J71" s="30"/>
    </row>
    <row r="72" spans="1:10" x14ac:dyDescent="0.35">
      <c r="A72" s="21">
        <v>3</v>
      </c>
      <c r="B72" s="21">
        <v>16</v>
      </c>
      <c r="C72" s="1" t="str">
        <f xml:space="preserve"> IF('Master Player List'!L62=3,'Master Player List'!C62,"")</f>
        <v/>
      </c>
      <c r="D72" s="1" t="str">
        <f xml:space="preserve"> IF('Master Player List'!L62=3,'Master Player List'!F62,"")</f>
        <v/>
      </c>
      <c r="E72" s="21" t="str">
        <f xml:space="preserve"> IF('Master Player List'!L62=3,'Master Player List'!I62,"")</f>
        <v/>
      </c>
      <c r="F72" s="30"/>
      <c r="I72" s="21"/>
      <c r="J72" s="30"/>
    </row>
    <row r="73" spans="1:10" x14ac:dyDescent="0.35">
      <c r="A73" s="21">
        <v>3</v>
      </c>
      <c r="B73" s="21">
        <v>17</v>
      </c>
      <c r="C73" s="1" t="str">
        <f xml:space="preserve"> IF('Master Player List'!L63=3,'Master Player List'!C63,"")</f>
        <v/>
      </c>
      <c r="D73" s="1" t="str">
        <f xml:space="preserve"> IF('Master Player List'!L63=3,'Master Player List'!F63,"")</f>
        <v/>
      </c>
      <c r="E73" s="21" t="str">
        <f xml:space="preserve"> IF('Master Player List'!L63=3,'Master Player List'!I63,"")</f>
        <v/>
      </c>
      <c r="F73" s="30"/>
      <c r="I73" s="21"/>
      <c r="J73" s="30"/>
    </row>
    <row r="74" spans="1:10" x14ac:dyDescent="0.35">
      <c r="A74" s="21">
        <v>3</v>
      </c>
      <c r="B74" s="21">
        <v>18</v>
      </c>
      <c r="C74" s="1" t="str">
        <f xml:space="preserve"> IF('Master Player List'!L64=3,'Master Player List'!C64,"")</f>
        <v/>
      </c>
      <c r="D74" s="1" t="str">
        <f xml:space="preserve"> IF('Master Player List'!L64=3,'Master Player List'!F64,"")</f>
        <v/>
      </c>
      <c r="E74" s="21" t="str">
        <f xml:space="preserve"> IF('Master Player List'!L64=3,'Master Player List'!I64,"")</f>
        <v/>
      </c>
      <c r="F74" s="30"/>
      <c r="I74" s="21"/>
      <c r="J74" s="30"/>
    </row>
    <row r="75" spans="1:10" x14ac:dyDescent="0.35">
      <c r="A75" s="21">
        <v>3</v>
      </c>
      <c r="B75" s="21">
        <v>19</v>
      </c>
      <c r="C75" s="1" t="str">
        <f xml:space="preserve"> IF('Master Player List'!L65=3,'Master Player List'!C65,"")</f>
        <v/>
      </c>
      <c r="D75" s="1" t="str">
        <f xml:space="preserve"> IF('Master Player List'!L65=3,'Master Player List'!F65,"")</f>
        <v/>
      </c>
      <c r="E75" s="21" t="str">
        <f xml:space="preserve"> IF('Master Player List'!L65=3,'Master Player List'!I65,"")</f>
        <v/>
      </c>
      <c r="F75" s="30"/>
      <c r="I75" s="21"/>
      <c r="J75" s="30"/>
    </row>
    <row r="76" spans="1:10" x14ac:dyDescent="0.35">
      <c r="A76" s="21">
        <v>3</v>
      </c>
      <c r="B76" s="21">
        <v>20</v>
      </c>
      <c r="C76" s="1" t="str">
        <f xml:space="preserve"> IF('Master Player List'!L66=3,'Master Player List'!C66,"")</f>
        <v/>
      </c>
      <c r="D76" s="1" t="str">
        <f xml:space="preserve"> IF('Master Player List'!L66=3,'Master Player List'!F66,"")</f>
        <v/>
      </c>
      <c r="E76" s="21" t="str">
        <f xml:space="preserve"> IF('Master Player List'!L66=3,'Master Player List'!I66,"")</f>
        <v/>
      </c>
      <c r="F76" s="30"/>
      <c r="I76" s="21"/>
      <c r="J76" s="30"/>
    </row>
    <row r="77" spans="1:10" x14ac:dyDescent="0.35">
      <c r="A77" s="21">
        <v>3</v>
      </c>
      <c r="B77" s="21">
        <v>21</v>
      </c>
      <c r="C77" s="1" t="str">
        <f xml:space="preserve"> IF('Master Player List'!L67=3,'Master Player List'!C67,"")</f>
        <v/>
      </c>
      <c r="D77" s="1" t="str">
        <f xml:space="preserve"> IF('Master Player List'!L67=3,'Master Player List'!F67,"")</f>
        <v/>
      </c>
      <c r="E77" s="21" t="str">
        <f xml:space="preserve"> IF('Master Player List'!L67=3,'Master Player List'!I67,"")</f>
        <v/>
      </c>
      <c r="F77" s="30"/>
      <c r="I77" s="21"/>
      <c r="J77" s="30"/>
    </row>
    <row r="78" spans="1:10" x14ac:dyDescent="0.35">
      <c r="A78" s="23">
        <v>3</v>
      </c>
      <c r="B78" s="23">
        <v>22</v>
      </c>
      <c r="C78" s="24" t="str">
        <f xml:space="preserve"> IF('Master Player List'!L68=3,'Master Player List'!C68,"")</f>
        <v/>
      </c>
      <c r="D78" s="24" t="str">
        <f xml:space="preserve"> IF('Master Player List'!L68=3,'Master Player List'!F68,"")</f>
        <v/>
      </c>
      <c r="E78" s="23" t="str">
        <f xml:space="preserve"> IF('Master Player List'!L68=3,'Master Player List'!I68,"")</f>
        <v/>
      </c>
      <c r="F78" s="31"/>
      <c r="G78" s="25"/>
      <c r="H78" s="25"/>
      <c r="I78" s="23"/>
      <c r="J78" s="31"/>
    </row>
    <row r="81" spans="1:10" ht="21" x14ac:dyDescent="0.5">
      <c r="A81" s="265" t="s">
        <v>47</v>
      </c>
      <c r="B81" s="334"/>
      <c r="C81" s="266"/>
      <c r="D81" s="266"/>
      <c r="E81" s="340" t="s">
        <v>461</v>
      </c>
      <c r="F81" s="341"/>
      <c r="G81" s="342" t="s">
        <v>462</v>
      </c>
      <c r="H81" s="342"/>
      <c r="I81" s="340" t="s">
        <v>463</v>
      </c>
      <c r="J81" s="341"/>
    </row>
    <row r="82" spans="1:10" x14ac:dyDescent="0.35">
      <c r="A82" s="27" t="s">
        <v>316</v>
      </c>
      <c r="B82" s="27" t="s">
        <v>11</v>
      </c>
      <c r="C82" s="28" t="s">
        <v>2</v>
      </c>
      <c r="D82" s="28" t="s">
        <v>13</v>
      </c>
      <c r="E82" s="27" t="s">
        <v>464</v>
      </c>
      <c r="F82" s="29" t="s">
        <v>465</v>
      </c>
      <c r="G82" s="28" t="s">
        <v>464</v>
      </c>
      <c r="H82" s="28" t="s">
        <v>465</v>
      </c>
      <c r="I82" s="27" t="s">
        <v>464</v>
      </c>
      <c r="J82" s="29" t="s">
        <v>465</v>
      </c>
    </row>
    <row r="83" spans="1:10" x14ac:dyDescent="0.35">
      <c r="A83" s="21">
        <v>4</v>
      </c>
      <c r="B83" s="21">
        <v>1</v>
      </c>
      <c r="C83" s="1" t="str">
        <f xml:space="preserve"> IF('Master Player List'!L69=4,'Master Player List'!C69,"")</f>
        <v/>
      </c>
      <c r="D83" s="1" t="str">
        <f xml:space="preserve"> IF('Master Player List'!L69=4,'Master Player List'!F69,"")</f>
        <v/>
      </c>
      <c r="E83" s="21" t="str">
        <f xml:space="preserve"> IF('Master Player List'!L69=4,'Master Player List'!I69,"")</f>
        <v/>
      </c>
      <c r="F83" s="30"/>
      <c r="I83" s="21"/>
      <c r="J83" s="30"/>
    </row>
    <row r="84" spans="1:10" x14ac:dyDescent="0.35">
      <c r="A84" s="21">
        <v>4</v>
      </c>
      <c r="B84" s="21">
        <v>2</v>
      </c>
      <c r="C84" s="1" t="str">
        <f xml:space="preserve"> IF('Master Player List'!L70=4,'Master Player List'!C70,"")</f>
        <v/>
      </c>
      <c r="D84" s="1" t="str">
        <f xml:space="preserve"> IF('Master Player List'!L70=4,'Master Player List'!F70,"")</f>
        <v/>
      </c>
      <c r="E84" s="21" t="str">
        <f xml:space="preserve"> IF('Master Player List'!L70=4,'Master Player List'!I70,"")</f>
        <v/>
      </c>
      <c r="F84" s="30"/>
      <c r="I84" s="21"/>
      <c r="J84" s="30"/>
    </row>
    <row r="85" spans="1:10" x14ac:dyDescent="0.35">
      <c r="A85" s="21">
        <v>4</v>
      </c>
      <c r="B85" s="21">
        <v>3</v>
      </c>
      <c r="C85" s="1" t="str">
        <f xml:space="preserve"> IF('Master Player List'!L71=4,'Master Player List'!C71,"")</f>
        <v/>
      </c>
      <c r="D85" s="1" t="str">
        <f xml:space="preserve"> IF('Master Player List'!L71=4,'Master Player List'!F71,"")</f>
        <v/>
      </c>
      <c r="E85" s="21" t="str">
        <f xml:space="preserve"> IF('Master Player List'!L71=4,'Master Player List'!I71,"")</f>
        <v/>
      </c>
      <c r="F85" s="30"/>
      <c r="I85" s="21"/>
      <c r="J85" s="30"/>
    </row>
    <row r="86" spans="1:10" x14ac:dyDescent="0.35">
      <c r="A86" s="21">
        <v>4</v>
      </c>
      <c r="B86" s="21">
        <v>4</v>
      </c>
      <c r="C86" s="1" t="str">
        <f xml:space="preserve"> IF('Master Player List'!L72=4,'Master Player List'!C72,"")</f>
        <v/>
      </c>
      <c r="D86" s="1" t="str">
        <f xml:space="preserve"> IF('Master Player List'!L72=4,'Master Player List'!F72,"")</f>
        <v/>
      </c>
      <c r="E86" s="21" t="str">
        <f xml:space="preserve"> IF('Master Player List'!L72=4,'Master Player List'!I72,"")</f>
        <v/>
      </c>
      <c r="F86" s="30"/>
      <c r="I86" s="21"/>
      <c r="J86" s="30"/>
    </row>
    <row r="87" spans="1:10" x14ac:dyDescent="0.35">
      <c r="A87" s="21">
        <v>4</v>
      </c>
      <c r="B87" s="21">
        <v>5</v>
      </c>
      <c r="C87" s="1" t="str">
        <f xml:space="preserve"> IF('Master Player List'!L73=4,'Master Player List'!C73,"")</f>
        <v/>
      </c>
      <c r="D87" s="1" t="str">
        <f xml:space="preserve"> IF('Master Player List'!L73=4,'Master Player List'!F73,"")</f>
        <v/>
      </c>
      <c r="E87" s="21" t="str">
        <f xml:space="preserve"> IF('Master Player List'!L73=4,'Master Player List'!I73,"")</f>
        <v/>
      </c>
      <c r="F87" s="30"/>
      <c r="I87" s="21"/>
      <c r="J87" s="30"/>
    </row>
    <row r="88" spans="1:10" x14ac:dyDescent="0.35">
      <c r="A88" s="21">
        <v>4</v>
      </c>
      <c r="B88" s="21">
        <v>6</v>
      </c>
      <c r="C88" s="1" t="str">
        <f xml:space="preserve"> IF('Master Player List'!L74=4,'Master Player List'!C74,"")</f>
        <v/>
      </c>
      <c r="D88" s="1" t="str">
        <f xml:space="preserve"> IF('Master Player List'!L74=4,'Master Player List'!F74,"")</f>
        <v/>
      </c>
      <c r="E88" s="21" t="str">
        <f xml:space="preserve"> IF('Master Player List'!L74=4,'Master Player List'!I74,"")</f>
        <v/>
      </c>
      <c r="F88" s="30"/>
      <c r="I88" s="21"/>
      <c r="J88" s="30"/>
    </row>
    <row r="89" spans="1:10" x14ac:dyDescent="0.35">
      <c r="A89" s="21">
        <v>4</v>
      </c>
      <c r="B89" s="21">
        <v>7</v>
      </c>
      <c r="C89" s="1" t="str">
        <f xml:space="preserve"> IF('Master Player List'!L75=4,'Master Player List'!C75,"")</f>
        <v/>
      </c>
      <c r="D89" s="1" t="str">
        <f xml:space="preserve"> IF('Master Player List'!L75=4,'Master Player List'!F75,"")</f>
        <v/>
      </c>
      <c r="E89" s="21" t="str">
        <f xml:space="preserve"> IF('Master Player List'!L75=4,'Master Player List'!I75,"")</f>
        <v/>
      </c>
      <c r="F89" s="30"/>
      <c r="I89" s="21"/>
      <c r="J89" s="30"/>
    </row>
    <row r="90" spans="1:10" x14ac:dyDescent="0.35">
      <c r="A90" s="21">
        <v>4</v>
      </c>
      <c r="B90" s="21">
        <v>8</v>
      </c>
      <c r="C90" s="1" t="str">
        <f xml:space="preserve"> IF('Master Player List'!L76=4,'Master Player List'!C76,"")</f>
        <v/>
      </c>
      <c r="D90" s="1" t="str">
        <f xml:space="preserve"> IF('Master Player List'!L76=4,'Master Player List'!F76,"")</f>
        <v/>
      </c>
      <c r="E90" s="21" t="str">
        <f xml:space="preserve"> IF('Master Player List'!L76=4,'Master Player List'!I76,"")</f>
        <v/>
      </c>
      <c r="F90" s="30"/>
      <c r="I90" s="21"/>
      <c r="J90" s="30"/>
    </row>
    <row r="91" spans="1:10" x14ac:dyDescent="0.35">
      <c r="A91" s="21">
        <v>4</v>
      </c>
      <c r="B91" s="21">
        <v>9</v>
      </c>
      <c r="C91" s="1" t="str">
        <f xml:space="preserve"> IF('Master Player List'!L77=4,'Master Player List'!C77,"")</f>
        <v/>
      </c>
      <c r="D91" s="1" t="str">
        <f xml:space="preserve"> IF('Master Player List'!L77=4,'Master Player List'!F77,"")</f>
        <v/>
      </c>
      <c r="E91" s="21" t="str">
        <f xml:space="preserve"> IF('Master Player List'!L77=4,'Master Player List'!I77,"")</f>
        <v/>
      </c>
      <c r="F91" s="30"/>
      <c r="I91" s="21"/>
      <c r="J91" s="30"/>
    </row>
    <row r="92" spans="1:10" x14ac:dyDescent="0.35">
      <c r="A92" s="21">
        <v>4</v>
      </c>
      <c r="B92" s="21">
        <v>10</v>
      </c>
      <c r="C92" s="1" t="str">
        <f xml:space="preserve"> IF('Master Player List'!L78=4,'Master Player List'!C78,"")</f>
        <v/>
      </c>
      <c r="D92" s="1" t="str">
        <f xml:space="preserve"> IF('Master Player List'!L78=4,'Master Player List'!F78,"")</f>
        <v/>
      </c>
      <c r="E92" s="21" t="str">
        <f xml:space="preserve"> IF('Master Player List'!L78=4,'Master Player List'!I78,"")</f>
        <v/>
      </c>
      <c r="F92" s="30"/>
      <c r="I92" s="21"/>
      <c r="J92" s="30"/>
    </row>
    <row r="93" spans="1:10" x14ac:dyDescent="0.35">
      <c r="A93" s="21">
        <v>4</v>
      </c>
      <c r="B93" s="21">
        <v>11</v>
      </c>
      <c r="C93" s="1" t="str">
        <f xml:space="preserve"> IF('Master Player List'!L79=4,'Master Player List'!C79,"")</f>
        <v/>
      </c>
      <c r="D93" s="1" t="str">
        <f xml:space="preserve"> IF('Master Player List'!L79=4,'Master Player List'!F79,"")</f>
        <v/>
      </c>
      <c r="E93" s="21" t="str">
        <f xml:space="preserve"> IF('Master Player List'!L79=4,'Master Player List'!I79,"")</f>
        <v/>
      </c>
      <c r="F93" s="30"/>
      <c r="I93" s="21"/>
      <c r="J93" s="30"/>
    </row>
    <row r="94" spans="1:10" x14ac:dyDescent="0.35">
      <c r="A94" s="21">
        <v>4</v>
      </c>
      <c r="B94" s="21">
        <v>12</v>
      </c>
      <c r="C94" s="1" t="str">
        <f xml:space="preserve"> IF('Master Player List'!L80=4,'Master Player List'!C80,"")</f>
        <v/>
      </c>
      <c r="D94" s="1" t="str">
        <f xml:space="preserve"> IF('Master Player List'!L80=4,'Master Player List'!F80,"")</f>
        <v/>
      </c>
      <c r="E94" s="21" t="str">
        <f xml:space="preserve"> IF('Master Player List'!L80=4,'Master Player List'!I80,"")</f>
        <v/>
      </c>
      <c r="F94" s="30"/>
      <c r="I94" s="21"/>
      <c r="J94" s="30"/>
    </row>
    <row r="95" spans="1:10" x14ac:dyDescent="0.35">
      <c r="A95" s="21">
        <v>4</v>
      </c>
      <c r="B95" s="21">
        <v>13</v>
      </c>
      <c r="C95" s="1" t="str">
        <f xml:space="preserve"> IF('Master Player List'!L81=4,'Master Player List'!C81,"")</f>
        <v/>
      </c>
      <c r="D95" s="1" t="str">
        <f xml:space="preserve"> IF('Master Player List'!L81=4,'Master Player List'!F81,"")</f>
        <v/>
      </c>
      <c r="E95" s="21" t="str">
        <f xml:space="preserve"> IF('Master Player List'!L81=4,'Master Player List'!I81,"")</f>
        <v/>
      </c>
      <c r="F95" s="30"/>
      <c r="I95" s="21"/>
      <c r="J95" s="30"/>
    </row>
    <row r="96" spans="1:10" x14ac:dyDescent="0.35">
      <c r="A96" s="21">
        <v>4</v>
      </c>
      <c r="B96" s="21">
        <v>14</v>
      </c>
      <c r="C96" s="1" t="str">
        <f xml:space="preserve"> IF('Master Player List'!L82=4,'Master Player List'!C82,"")</f>
        <v/>
      </c>
      <c r="D96" s="1" t="str">
        <f xml:space="preserve"> IF('Master Player List'!L82=4,'Master Player List'!F82,"")</f>
        <v/>
      </c>
      <c r="E96" s="21" t="str">
        <f xml:space="preserve"> IF('Master Player List'!L82=4,'Master Player List'!I82,"")</f>
        <v/>
      </c>
      <c r="F96" s="30"/>
      <c r="I96" s="21"/>
      <c r="J96" s="30"/>
    </row>
    <row r="97" spans="1:10" x14ac:dyDescent="0.35">
      <c r="A97" s="21">
        <v>4</v>
      </c>
      <c r="B97" s="21">
        <v>15</v>
      </c>
      <c r="C97" s="1" t="e">
        <f xml:space="preserve"> IF('Master Player List'!#REF!=4,'Master Player List'!#REF!,"")</f>
        <v>#REF!</v>
      </c>
      <c r="D97" s="1" t="e">
        <f xml:space="preserve"> IF('Master Player List'!#REF!=4,'Master Player List'!#REF!,"")</f>
        <v>#REF!</v>
      </c>
      <c r="E97" s="21" t="e">
        <f xml:space="preserve"> IF('Master Player List'!#REF!=4,'Master Player List'!#REF!,"")</f>
        <v>#REF!</v>
      </c>
      <c r="F97" s="30"/>
      <c r="I97" s="21"/>
      <c r="J97" s="30"/>
    </row>
    <row r="98" spans="1:10" x14ac:dyDescent="0.35">
      <c r="A98" s="21">
        <v>4</v>
      </c>
      <c r="B98" s="21">
        <v>16</v>
      </c>
      <c r="C98" s="1" t="e">
        <f xml:space="preserve"> IF('Master Player List'!#REF!=4,'Master Player List'!#REF!,"")</f>
        <v>#REF!</v>
      </c>
      <c r="D98" s="1" t="e">
        <f xml:space="preserve"> IF('Master Player List'!#REF!=4,'Master Player List'!#REF!,"")</f>
        <v>#REF!</v>
      </c>
      <c r="E98" s="21" t="e">
        <f xml:space="preserve"> IF('Master Player List'!#REF!=4,'Master Player List'!#REF!,"")</f>
        <v>#REF!</v>
      </c>
      <c r="F98" s="30"/>
      <c r="I98" s="21"/>
      <c r="J98" s="30"/>
    </row>
    <row r="99" spans="1:10" x14ac:dyDescent="0.35">
      <c r="A99" s="21">
        <v>4</v>
      </c>
      <c r="B99" s="21">
        <v>17</v>
      </c>
      <c r="C99" s="1" t="e">
        <f xml:space="preserve"> IF('Master Player List'!#REF!=4,'Master Player List'!#REF!,"")</f>
        <v>#REF!</v>
      </c>
      <c r="D99" s="1" t="e">
        <f xml:space="preserve"> IF('Master Player List'!#REF!=4,'Master Player List'!#REF!,"")</f>
        <v>#REF!</v>
      </c>
      <c r="E99" s="21" t="e">
        <f xml:space="preserve"> IF('Master Player List'!#REF!=4,'Master Player List'!#REF!,"")</f>
        <v>#REF!</v>
      </c>
      <c r="F99" s="30"/>
      <c r="I99" s="21"/>
      <c r="J99" s="30"/>
    </row>
    <row r="100" spans="1:10" x14ac:dyDescent="0.35">
      <c r="A100" s="21">
        <v>4</v>
      </c>
      <c r="B100" s="21">
        <v>18</v>
      </c>
      <c r="C100" s="1" t="e">
        <f xml:space="preserve"> IF('Master Player List'!#REF!=4,'Master Player List'!#REF!,"")</f>
        <v>#REF!</v>
      </c>
      <c r="D100" s="1" t="e">
        <f xml:space="preserve"> IF('Master Player List'!#REF!=4,'Master Player List'!#REF!,"")</f>
        <v>#REF!</v>
      </c>
      <c r="E100" s="21" t="e">
        <f xml:space="preserve"> IF('Master Player List'!#REF!=4,'Master Player List'!#REF!,"")</f>
        <v>#REF!</v>
      </c>
      <c r="F100" s="30"/>
      <c r="I100" s="21"/>
      <c r="J100" s="30"/>
    </row>
    <row r="101" spans="1:10" x14ac:dyDescent="0.35">
      <c r="A101" s="21">
        <v>4</v>
      </c>
      <c r="B101" s="21">
        <v>19</v>
      </c>
      <c r="C101" s="1" t="e">
        <f xml:space="preserve"> IF('Master Player List'!#REF!=4,'Master Player List'!#REF!,"")</f>
        <v>#REF!</v>
      </c>
      <c r="D101" s="1" t="e">
        <f xml:space="preserve"> IF('Master Player List'!#REF!=4,'Master Player List'!#REF!,"")</f>
        <v>#REF!</v>
      </c>
      <c r="E101" s="21" t="e">
        <f xml:space="preserve"> IF('Master Player List'!#REF!=4,'Master Player List'!#REF!,"")</f>
        <v>#REF!</v>
      </c>
      <c r="F101" s="30"/>
      <c r="I101" s="21"/>
      <c r="J101" s="30"/>
    </row>
    <row r="102" spans="1:10" x14ac:dyDescent="0.35">
      <c r="A102" s="21">
        <v>4</v>
      </c>
      <c r="B102" s="21">
        <v>20</v>
      </c>
      <c r="C102" s="1" t="e">
        <f xml:space="preserve"> IF('Master Player List'!#REF!=4,'Master Player List'!#REF!,"")</f>
        <v>#REF!</v>
      </c>
      <c r="D102" s="1" t="e">
        <f xml:space="preserve"> IF('Master Player List'!#REF!=4,'Master Player List'!#REF!,"")</f>
        <v>#REF!</v>
      </c>
      <c r="E102" s="21" t="e">
        <f xml:space="preserve"> IF('Master Player List'!#REF!=4,'Master Player List'!#REF!,"")</f>
        <v>#REF!</v>
      </c>
      <c r="F102" s="30"/>
      <c r="I102" s="21"/>
      <c r="J102" s="30"/>
    </row>
    <row r="103" spans="1:10" x14ac:dyDescent="0.35">
      <c r="A103" s="21">
        <v>4</v>
      </c>
      <c r="B103" s="21">
        <v>21</v>
      </c>
      <c r="C103" s="1" t="e">
        <f xml:space="preserve"> IF('Master Player List'!#REF!=4,'Master Player List'!#REF!,"")</f>
        <v>#REF!</v>
      </c>
      <c r="D103" s="1" t="e">
        <f xml:space="preserve"> IF('Master Player List'!#REF!=4,'Master Player List'!#REF!,"")</f>
        <v>#REF!</v>
      </c>
      <c r="E103" s="21" t="e">
        <f xml:space="preserve"> IF('Master Player List'!#REF!=4,'Master Player List'!#REF!,"")</f>
        <v>#REF!</v>
      </c>
      <c r="F103" s="30"/>
      <c r="I103" s="21"/>
      <c r="J103" s="30"/>
    </row>
    <row r="104" spans="1:10" x14ac:dyDescent="0.35">
      <c r="A104" s="23">
        <v>4</v>
      </c>
      <c r="B104" s="23">
        <v>22</v>
      </c>
      <c r="C104" s="24" t="e">
        <f xml:space="preserve"> IF('Master Player List'!#REF!=4,'Master Player List'!#REF!,"")</f>
        <v>#REF!</v>
      </c>
      <c r="D104" s="24" t="e">
        <f xml:space="preserve"> IF('Master Player List'!#REF!=4,'Master Player List'!#REF!,"")</f>
        <v>#REF!</v>
      </c>
      <c r="E104" s="23" t="e">
        <f xml:space="preserve"> IF('Master Player List'!#REF!=4,'Master Player List'!#REF!,"")</f>
        <v>#REF!</v>
      </c>
      <c r="F104" s="31"/>
      <c r="G104" s="25"/>
      <c r="H104" s="25"/>
      <c r="I104" s="23"/>
      <c r="J104" s="31"/>
    </row>
  </sheetData>
  <mergeCells count="16">
    <mergeCell ref="E81:F81"/>
    <mergeCell ref="G81:H81"/>
    <mergeCell ref="I81:J81"/>
    <mergeCell ref="A81:D81"/>
    <mergeCell ref="E55:F55"/>
    <mergeCell ref="G55:H55"/>
    <mergeCell ref="I3:J3"/>
    <mergeCell ref="E29:F29"/>
    <mergeCell ref="G29:H29"/>
    <mergeCell ref="I29:J29"/>
    <mergeCell ref="I55:J55"/>
    <mergeCell ref="A29:D29"/>
    <mergeCell ref="A55:D55"/>
    <mergeCell ref="A3:D3"/>
    <mergeCell ref="E3:F3"/>
    <mergeCell ref="G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A15F-76CE-48F7-AF8C-9935CCAF21D6}">
  <sheetPr filterMode="1"/>
  <dimension ref="B1:F162"/>
  <sheetViews>
    <sheetView zoomScaleNormal="100" workbookViewId="0">
      <selection activeCell="G7" sqref="G7"/>
    </sheetView>
  </sheetViews>
  <sheetFormatPr defaultRowHeight="14.5" x14ac:dyDescent="0.35"/>
  <cols>
    <col min="2" max="2" width="17.7265625" bestFit="1" customWidth="1"/>
    <col min="3" max="3" width="19.7265625" customWidth="1"/>
    <col min="4" max="4" width="20.1796875" bestFit="1" customWidth="1"/>
    <col min="5" max="5" width="11.453125" bestFit="1" customWidth="1"/>
  </cols>
  <sheetData>
    <row r="1" spans="2:6" x14ac:dyDescent="0.35">
      <c r="B1" t="s">
        <v>2</v>
      </c>
      <c r="C1" t="s">
        <v>469</v>
      </c>
      <c r="D1" t="s">
        <v>13</v>
      </c>
      <c r="E1" t="s">
        <v>469</v>
      </c>
      <c r="F1" t="s">
        <v>470</v>
      </c>
    </row>
    <row r="2" spans="2:6" hidden="1" x14ac:dyDescent="0.35">
      <c r="D2" t="s">
        <v>5</v>
      </c>
      <c r="E2">
        <v>-3.1</v>
      </c>
      <c r="F2">
        <f>MOD(ROW(),2)</f>
        <v>0</v>
      </c>
    </row>
    <row r="3" spans="2:6" x14ac:dyDescent="0.35">
      <c r="B3" t="s">
        <v>5</v>
      </c>
      <c r="C3">
        <v>-3.1</v>
      </c>
      <c r="D3" t="s">
        <v>317</v>
      </c>
      <c r="E3">
        <v>-2.1</v>
      </c>
      <c r="F3">
        <f t="shared" ref="F3:F66" si="0">MOD(ROW(),2)</f>
        <v>1</v>
      </c>
    </row>
    <row r="4" spans="2:6" hidden="1" x14ac:dyDescent="0.35">
      <c r="B4" t="s">
        <v>317</v>
      </c>
      <c r="C4">
        <v>-2.1</v>
      </c>
      <c r="D4" t="s">
        <v>24</v>
      </c>
      <c r="E4">
        <v>3.6</v>
      </c>
      <c r="F4">
        <f t="shared" si="0"/>
        <v>0</v>
      </c>
    </row>
    <row r="5" spans="2:6" x14ac:dyDescent="0.35">
      <c r="B5" t="s">
        <v>24</v>
      </c>
      <c r="C5">
        <v>3.6</v>
      </c>
      <c r="D5" t="s">
        <v>318</v>
      </c>
      <c r="E5">
        <v>-4.3</v>
      </c>
      <c r="F5">
        <f t="shared" si="0"/>
        <v>1</v>
      </c>
    </row>
    <row r="6" spans="2:6" hidden="1" x14ac:dyDescent="0.35">
      <c r="B6" t="s">
        <v>318</v>
      </c>
      <c r="C6">
        <v>-4.3</v>
      </c>
      <c r="D6" t="s">
        <v>23</v>
      </c>
      <c r="E6">
        <v>-0.5</v>
      </c>
      <c r="F6">
        <f t="shared" si="0"/>
        <v>0</v>
      </c>
    </row>
    <row r="7" spans="2:6" x14ac:dyDescent="0.35">
      <c r="B7" t="s">
        <v>23</v>
      </c>
      <c r="C7">
        <v>-0.5</v>
      </c>
      <c r="D7" t="s">
        <v>319</v>
      </c>
      <c r="E7">
        <v>0.6</v>
      </c>
      <c r="F7">
        <f t="shared" si="0"/>
        <v>1</v>
      </c>
    </row>
    <row r="8" spans="2:6" hidden="1" x14ac:dyDescent="0.35">
      <c r="B8" t="s">
        <v>319</v>
      </c>
      <c r="C8">
        <v>0.6</v>
      </c>
      <c r="D8" t="s">
        <v>321</v>
      </c>
      <c r="E8">
        <v>0.5</v>
      </c>
      <c r="F8">
        <f t="shared" si="0"/>
        <v>0</v>
      </c>
    </row>
    <row r="9" spans="2:6" x14ac:dyDescent="0.35">
      <c r="B9" t="s">
        <v>321</v>
      </c>
      <c r="C9">
        <v>0.5</v>
      </c>
      <c r="D9" t="s">
        <v>322</v>
      </c>
      <c r="E9">
        <v>1.3</v>
      </c>
      <c r="F9">
        <f t="shared" si="0"/>
        <v>1</v>
      </c>
    </row>
    <row r="10" spans="2:6" hidden="1" x14ac:dyDescent="0.35">
      <c r="B10" t="s">
        <v>322</v>
      </c>
      <c r="C10">
        <v>1.3</v>
      </c>
      <c r="D10" t="s">
        <v>324</v>
      </c>
      <c r="E10">
        <v>2.8</v>
      </c>
      <c r="F10">
        <f t="shared" si="0"/>
        <v>0</v>
      </c>
    </row>
    <row r="11" spans="2:6" x14ac:dyDescent="0.35">
      <c r="B11" t="s">
        <v>324</v>
      </c>
      <c r="C11">
        <v>2.8</v>
      </c>
      <c r="D11" t="s">
        <v>325</v>
      </c>
      <c r="E11">
        <v>0.1</v>
      </c>
      <c r="F11">
        <f t="shared" si="0"/>
        <v>1</v>
      </c>
    </row>
    <row r="12" spans="2:6" hidden="1" x14ac:dyDescent="0.35">
      <c r="B12" t="s">
        <v>325</v>
      </c>
      <c r="C12">
        <v>0.1</v>
      </c>
      <c r="D12" t="s">
        <v>7</v>
      </c>
      <c r="E12">
        <v>-0.7</v>
      </c>
      <c r="F12">
        <f t="shared" si="0"/>
        <v>0</v>
      </c>
    </row>
    <row r="13" spans="2:6" x14ac:dyDescent="0.35">
      <c r="B13" t="s">
        <v>7</v>
      </c>
      <c r="C13">
        <v>-0.7</v>
      </c>
      <c r="D13" t="s">
        <v>326</v>
      </c>
      <c r="E13">
        <v>4.5</v>
      </c>
      <c r="F13">
        <f t="shared" si="0"/>
        <v>1</v>
      </c>
    </row>
    <row r="14" spans="2:6" hidden="1" x14ac:dyDescent="0.35">
      <c r="B14" t="s">
        <v>326</v>
      </c>
      <c r="C14">
        <v>4.5</v>
      </c>
      <c r="D14" t="s">
        <v>26</v>
      </c>
      <c r="E14">
        <v>0.2</v>
      </c>
      <c r="F14">
        <f t="shared" si="0"/>
        <v>0</v>
      </c>
    </row>
    <row r="15" spans="2:6" x14ac:dyDescent="0.35">
      <c r="B15" t="s">
        <v>26</v>
      </c>
      <c r="C15">
        <v>0.2</v>
      </c>
      <c r="D15" t="s">
        <v>327</v>
      </c>
      <c r="E15">
        <v>3.9</v>
      </c>
      <c r="F15">
        <f t="shared" si="0"/>
        <v>1</v>
      </c>
    </row>
    <row r="16" spans="2:6" hidden="1" x14ac:dyDescent="0.35">
      <c r="B16" t="s">
        <v>327</v>
      </c>
      <c r="C16">
        <v>3.9</v>
      </c>
      <c r="D16" t="s">
        <v>328</v>
      </c>
      <c r="E16">
        <v>3.1</v>
      </c>
      <c r="F16">
        <f t="shared" si="0"/>
        <v>0</v>
      </c>
    </row>
    <row r="17" spans="2:6" x14ac:dyDescent="0.35">
      <c r="B17" t="s">
        <v>328</v>
      </c>
      <c r="C17">
        <v>3.1</v>
      </c>
      <c r="D17" t="s">
        <v>329</v>
      </c>
      <c r="E17">
        <v>1.4</v>
      </c>
      <c r="F17">
        <f t="shared" si="0"/>
        <v>1</v>
      </c>
    </row>
    <row r="18" spans="2:6" hidden="1" x14ac:dyDescent="0.35">
      <c r="B18" t="s">
        <v>329</v>
      </c>
      <c r="C18">
        <v>1.4</v>
      </c>
      <c r="D18" t="s">
        <v>74</v>
      </c>
      <c r="E18">
        <v>4.7</v>
      </c>
      <c r="F18">
        <f t="shared" si="0"/>
        <v>0</v>
      </c>
    </row>
    <row r="19" spans="2:6" x14ac:dyDescent="0.35">
      <c r="B19" t="s">
        <v>74</v>
      </c>
      <c r="C19">
        <v>4.7</v>
      </c>
      <c r="D19" t="s">
        <v>330</v>
      </c>
      <c r="E19">
        <v>-0.1</v>
      </c>
      <c r="F19">
        <f t="shared" si="0"/>
        <v>1</v>
      </c>
    </row>
    <row r="20" spans="2:6" hidden="1" x14ac:dyDescent="0.35">
      <c r="B20" t="s">
        <v>330</v>
      </c>
      <c r="C20">
        <v>-0.1</v>
      </c>
      <c r="D20" t="s">
        <v>38</v>
      </c>
      <c r="E20">
        <v>0</v>
      </c>
      <c r="F20">
        <f t="shared" si="0"/>
        <v>0</v>
      </c>
    </row>
    <row r="21" spans="2:6" x14ac:dyDescent="0.35">
      <c r="B21" t="s">
        <v>38</v>
      </c>
      <c r="C21">
        <v>0</v>
      </c>
      <c r="D21" t="s">
        <v>331</v>
      </c>
      <c r="E21">
        <v>5</v>
      </c>
      <c r="F21">
        <f t="shared" si="0"/>
        <v>1</v>
      </c>
    </row>
    <row r="22" spans="2:6" hidden="1" x14ac:dyDescent="0.35">
      <c r="B22" t="s">
        <v>331</v>
      </c>
      <c r="C22">
        <v>5</v>
      </c>
      <c r="D22" t="s">
        <v>36</v>
      </c>
      <c r="E22">
        <v>-3.4</v>
      </c>
      <c r="F22">
        <f t="shared" si="0"/>
        <v>0</v>
      </c>
    </row>
    <row r="23" spans="2:6" x14ac:dyDescent="0.35">
      <c r="B23" t="s">
        <v>36</v>
      </c>
      <c r="C23">
        <v>-3.4</v>
      </c>
      <c r="D23" t="s">
        <v>332</v>
      </c>
      <c r="E23">
        <v>8.5</v>
      </c>
      <c r="F23">
        <f t="shared" si="0"/>
        <v>1</v>
      </c>
    </row>
    <row r="24" spans="2:6" hidden="1" x14ac:dyDescent="0.35">
      <c r="B24" t="s">
        <v>332</v>
      </c>
      <c r="C24">
        <v>8.5</v>
      </c>
      <c r="D24" t="s">
        <v>34</v>
      </c>
      <c r="E24">
        <v>1.5</v>
      </c>
      <c r="F24">
        <f t="shared" si="0"/>
        <v>0</v>
      </c>
    </row>
    <row r="25" spans="2:6" x14ac:dyDescent="0.35">
      <c r="B25" t="s">
        <v>34</v>
      </c>
      <c r="C25">
        <v>1.5</v>
      </c>
      <c r="D25" t="s">
        <v>333</v>
      </c>
      <c r="E25">
        <v>4.5</v>
      </c>
      <c r="F25">
        <f t="shared" si="0"/>
        <v>1</v>
      </c>
    </row>
    <row r="26" spans="2:6" hidden="1" x14ac:dyDescent="0.35">
      <c r="B26" t="s">
        <v>333</v>
      </c>
      <c r="C26">
        <v>4.5</v>
      </c>
      <c r="D26" t="s">
        <v>35</v>
      </c>
      <c r="E26">
        <v>3.2</v>
      </c>
      <c r="F26">
        <f t="shared" si="0"/>
        <v>0</v>
      </c>
    </row>
    <row r="27" spans="2:6" x14ac:dyDescent="0.35">
      <c r="B27" t="s">
        <v>35</v>
      </c>
      <c r="C27">
        <v>3.2</v>
      </c>
      <c r="D27" t="s">
        <v>334</v>
      </c>
      <c r="E27">
        <v>2.9</v>
      </c>
      <c r="F27">
        <f t="shared" si="0"/>
        <v>1</v>
      </c>
    </row>
    <row r="28" spans="2:6" hidden="1" x14ac:dyDescent="0.35">
      <c r="B28" t="s">
        <v>334</v>
      </c>
      <c r="C28">
        <v>2.9</v>
      </c>
      <c r="D28" t="s">
        <v>44</v>
      </c>
      <c r="E28">
        <v>2.9</v>
      </c>
      <c r="F28">
        <f t="shared" si="0"/>
        <v>0</v>
      </c>
    </row>
    <row r="29" spans="2:6" x14ac:dyDescent="0.35">
      <c r="B29" t="s">
        <v>44</v>
      </c>
      <c r="C29">
        <v>2.9</v>
      </c>
      <c r="D29" t="s">
        <v>335</v>
      </c>
      <c r="E29">
        <v>3.7</v>
      </c>
      <c r="F29">
        <f t="shared" si="0"/>
        <v>1</v>
      </c>
    </row>
    <row r="30" spans="2:6" hidden="1" x14ac:dyDescent="0.35">
      <c r="B30" t="s">
        <v>335</v>
      </c>
      <c r="C30">
        <v>3.7</v>
      </c>
      <c r="D30" t="s">
        <v>336</v>
      </c>
      <c r="E30">
        <v>7.5</v>
      </c>
      <c r="F30">
        <f t="shared" si="0"/>
        <v>0</v>
      </c>
    </row>
    <row r="31" spans="2:6" x14ac:dyDescent="0.35">
      <c r="B31" t="s">
        <v>336</v>
      </c>
      <c r="C31">
        <v>7.5</v>
      </c>
      <c r="D31" t="s">
        <v>337</v>
      </c>
      <c r="E31">
        <v>0</v>
      </c>
      <c r="F31">
        <f t="shared" si="0"/>
        <v>1</v>
      </c>
    </row>
    <row r="32" spans="2:6" hidden="1" x14ac:dyDescent="0.35">
      <c r="B32" t="s">
        <v>337</v>
      </c>
      <c r="C32">
        <v>0</v>
      </c>
      <c r="D32" t="s">
        <v>37</v>
      </c>
      <c r="E32">
        <v>0</v>
      </c>
      <c r="F32">
        <f t="shared" si="0"/>
        <v>0</v>
      </c>
    </row>
    <row r="33" spans="2:6" x14ac:dyDescent="0.35">
      <c r="B33" t="s">
        <v>37</v>
      </c>
      <c r="C33">
        <v>0</v>
      </c>
      <c r="D33" t="s">
        <v>338</v>
      </c>
      <c r="E33">
        <v>7.6</v>
      </c>
      <c r="F33">
        <f t="shared" si="0"/>
        <v>1</v>
      </c>
    </row>
    <row r="34" spans="2:6" hidden="1" x14ac:dyDescent="0.35">
      <c r="B34" t="s">
        <v>338</v>
      </c>
      <c r="C34">
        <v>7.6</v>
      </c>
      <c r="D34" t="s">
        <v>339</v>
      </c>
      <c r="E34">
        <v>-1</v>
      </c>
      <c r="F34">
        <f t="shared" si="0"/>
        <v>0</v>
      </c>
    </row>
    <row r="35" spans="2:6" x14ac:dyDescent="0.35">
      <c r="B35" t="s">
        <v>339</v>
      </c>
      <c r="C35">
        <v>-1</v>
      </c>
      <c r="D35" t="s">
        <v>340</v>
      </c>
      <c r="E35">
        <v>9.8000000000000007</v>
      </c>
      <c r="F35">
        <f t="shared" si="0"/>
        <v>1</v>
      </c>
    </row>
    <row r="36" spans="2:6" hidden="1" x14ac:dyDescent="0.35">
      <c r="B36" t="s">
        <v>340</v>
      </c>
      <c r="C36">
        <v>9.8000000000000007</v>
      </c>
      <c r="D36" t="s">
        <v>43</v>
      </c>
      <c r="E36">
        <v>2.4</v>
      </c>
      <c r="F36">
        <f t="shared" si="0"/>
        <v>0</v>
      </c>
    </row>
    <row r="37" spans="2:6" x14ac:dyDescent="0.35">
      <c r="B37" t="s">
        <v>43</v>
      </c>
      <c r="C37">
        <v>2.4</v>
      </c>
      <c r="D37" t="s">
        <v>341</v>
      </c>
      <c r="E37">
        <v>6.6</v>
      </c>
      <c r="F37">
        <f t="shared" si="0"/>
        <v>1</v>
      </c>
    </row>
    <row r="38" spans="2:6" hidden="1" x14ac:dyDescent="0.35">
      <c r="B38" t="s">
        <v>341</v>
      </c>
      <c r="C38">
        <v>6.6</v>
      </c>
      <c r="D38" t="s">
        <v>45</v>
      </c>
      <c r="E38">
        <v>9.1999999999999993</v>
      </c>
      <c r="F38">
        <f t="shared" si="0"/>
        <v>0</v>
      </c>
    </row>
    <row r="39" spans="2:6" x14ac:dyDescent="0.35">
      <c r="B39" t="s">
        <v>45</v>
      </c>
      <c r="C39">
        <v>9.1999999999999993</v>
      </c>
      <c r="D39" t="s">
        <v>342</v>
      </c>
      <c r="E39">
        <v>-0.1</v>
      </c>
      <c r="F39">
        <f t="shared" si="0"/>
        <v>1</v>
      </c>
    </row>
    <row r="40" spans="2:6" hidden="1" x14ac:dyDescent="0.35">
      <c r="B40" t="s">
        <v>342</v>
      </c>
      <c r="C40">
        <v>-0.1</v>
      </c>
      <c r="D40" t="s">
        <v>343</v>
      </c>
      <c r="E40">
        <v>3.5</v>
      </c>
      <c r="F40">
        <f t="shared" si="0"/>
        <v>0</v>
      </c>
    </row>
    <row r="41" spans="2:6" x14ac:dyDescent="0.35">
      <c r="B41" t="s">
        <v>343</v>
      </c>
      <c r="C41">
        <v>3.5</v>
      </c>
      <c r="D41" t="s">
        <v>344</v>
      </c>
      <c r="E41">
        <v>5.7</v>
      </c>
      <c r="F41">
        <f t="shared" si="0"/>
        <v>1</v>
      </c>
    </row>
    <row r="42" spans="2:6" hidden="1" x14ac:dyDescent="0.35">
      <c r="B42" t="s">
        <v>344</v>
      </c>
      <c r="C42">
        <v>5.7</v>
      </c>
      <c r="D42" t="s">
        <v>345</v>
      </c>
      <c r="E42">
        <v>1.5</v>
      </c>
      <c r="F42">
        <f t="shared" si="0"/>
        <v>0</v>
      </c>
    </row>
    <row r="43" spans="2:6" x14ac:dyDescent="0.35">
      <c r="B43" t="s">
        <v>345</v>
      </c>
      <c r="C43">
        <v>1.5</v>
      </c>
      <c r="D43" t="s">
        <v>346</v>
      </c>
      <c r="E43">
        <v>8</v>
      </c>
      <c r="F43">
        <f t="shared" si="0"/>
        <v>1</v>
      </c>
    </row>
    <row r="44" spans="2:6" hidden="1" x14ac:dyDescent="0.35">
      <c r="B44" t="s">
        <v>346</v>
      </c>
      <c r="C44">
        <v>8</v>
      </c>
      <c r="D44" t="s">
        <v>46</v>
      </c>
      <c r="E44">
        <v>4.5</v>
      </c>
      <c r="F44">
        <f t="shared" si="0"/>
        <v>0</v>
      </c>
    </row>
    <row r="45" spans="2:6" x14ac:dyDescent="0.35">
      <c r="B45" t="s">
        <v>46</v>
      </c>
      <c r="C45">
        <v>4.5</v>
      </c>
      <c r="D45" t="s">
        <v>347</v>
      </c>
      <c r="E45">
        <v>5.2</v>
      </c>
      <c r="F45">
        <f t="shared" si="0"/>
        <v>1</v>
      </c>
    </row>
    <row r="46" spans="2:6" hidden="1" x14ac:dyDescent="0.35">
      <c r="B46" t="s">
        <v>347</v>
      </c>
      <c r="C46">
        <v>5.2</v>
      </c>
      <c r="D46" t="s">
        <v>33</v>
      </c>
      <c r="E46">
        <v>7.5</v>
      </c>
      <c r="F46">
        <f t="shared" si="0"/>
        <v>0</v>
      </c>
    </row>
    <row r="47" spans="2:6" x14ac:dyDescent="0.35">
      <c r="B47" t="s">
        <v>33</v>
      </c>
      <c r="C47">
        <v>7.5</v>
      </c>
      <c r="D47" t="s">
        <v>348</v>
      </c>
      <c r="E47">
        <v>2.8</v>
      </c>
      <c r="F47">
        <f t="shared" si="0"/>
        <v>1</v>
      </c>
    </row>
    <row r="48" spans="2:6" hidden="1" x14ac:dyDescent="0.35">
      <c r="B48" t="s">
        <v>348</v>
      </c>
      <c r="C48">
        <v>2.8</v>
      </c>
      <c r="D48" t="s">
        <v>48</v>
      </c>
      <c r="E48">
        <v>4.9000000000000004</v>
      </c>
      <c r="F48">
        <f t="shared" si="0"/>
        <v>0</v>
      </c>
    </row>
    <row r="49" spans="2:6" x14ac:dyDescent="0.35">
      <c r="B49" t="s">
        <v>48</v>
      </c>
      <c r="C49">
        <v>4.9000000000000004</v>
      </c>
      <c r="D49" t="s">
        <v>349</v>
      </c>
      <c r="E49">
        <v>5.4</v>
      </c>
      <c r="F49">
        <f t="shared" si="0"/>
        <v>1</v>
      </c>
    </row>
    <row r="50" spans="2:6" hidden="1" x14ac:dyDescent="0.35">
      <c r="B50" t="s">
        <v>349</v>
      </c>
      <c r="C50">
        <v>5.4</v>
      </c>
      <c r="D50" t="s">
        <v>30</v>
      </c>
      <c r="E50">
        <v>4.4000000000000004</v>
      </c>
      <c r="F50">
        <f t="shared" si="0"/>
        <v>0</v>
      </c>
    </row>
    <row r="51" spans="2:6" x14ac:dyDescent="0.35">
      <c r="B51" t="s">
        <v>30</v>
      </c>
      <c r="C51">
        <v>4.4000000000000004</v>
      </c>
      <c r="D51" t="s">
        <v>350</v>
      </c>
      <c r="E51">
        <v>6</v>
      </c>
      <c r="F51">
        <f t="shared" si="0"/>
        <v>1</v>
      </c>
    </row>
    <row r="52" spans="2:6" hidden="1" x14ac:dyDescent="0.35">
      <c r="B52" t="s">
        <v>350</v>
      </c>
      <c r="C52">
        <v>6</v>
      </c>
      <c r="D52" t="s">
        <v>351</v>
      </c>
      <c r="E52">
        <v>4.5999999999999996</v>
      </c>
      <c r="F52">
        <f t="shared" si="0"/>
        <v>0</v>
      </c>
    </row>
    <row r="53" spans="2:6" x14ac:dyDescent="0.35">
      <c r="B53" t="s">
        <v>351</v>
      </c>
      <c r="C53">
        <v>4.5999999999999996</v>
      </c>
      <c r="D53" t="s">
        <v>352</v>
      </c>
      <c r="E53">
        <v>5.8</v>
      </c>
      <c r="F53">
        <f t="shared" si="0"/>
        <v>1</v>
      </c>
    </row>
    <row r="54" spans="2:6" hidden="1" x14ac:dyDescent="0.35">
      <c r="B54" t="s">
        <v>352</v>
      </c>
      <c r="C54">
        <v>5.8</v>
      </c>
      <c r="D54" t="s">
        <v>353</v>
      </c>
      <c r="E54">
        <v>6.9</v>
      </c>
      <c r="F54">
        <f t="shared" si="0"/>
        <v>0</v>
      </c>
    </row>
    <row r="55" spans="2:6" x14ac:dyDescent="0.35">
      <c r="B55" t="s">
        <v>353</v>
      </c>
      <c r="C55">
        <v>6.9</v>
      </c>
      <c r="D55" t="s">
        <v>354</v>
      </c>
      <c r="E55">
        <v>3.7</v>
      </c>
      <c r="F55">
        <f t="shared" si="0"/>
        <v>1</v>
      </c>
    </row>
    <row r="56" spans="2:6" hidden="1" x14ac:dyDescent="0.35">
      <c r="B56" t="s">
        <v>354</v>
      </c>
      <c r="C56">
        <v>3.7</v>
      </c>
      <c r="D56" t="s">
        <v>50</v>
      </c>
      <c r="E56">
        <v>5.2</v>
      </c>
      <c r="F56">
        <f t="shared" si="0"/>
        <v>0</v>
      </c>
    </row>
    <row r="57" spans="2:6" x14ac:dyDescent="0.35">
      <c r="B57" t="s">
        <v>50</v>
      </c>
      <c r="C57">
        <v>5.2</v>
      </c>
      <c r="D57" t="s">
        <v>355</v>
      </c>
      <c r="E57">
        <v>5.6</v>
      </c>
      <c r="F57">
        <f t="shared" si="0"/>
        <v>1</v>
      </c>
    </row>
    <row r="58" spans="2:6" hidden="1" x14ac:dyDescent="0.35">
      <c r="B58" t="s">
        <v>355</v>
      </c>
      <c r="C58">
        <v>5.6</v>
      </c>
      <c r="D58" t="s">
        <v>51</v>
      </c>
      <c r="E58">
        <v>6</v>
      </c>
      <c r="F58">
        <f t="shared" si="0"/>
        <v>0</v>
      </c>
    </row>
    <row r="59" spans="2:6" x14ac:dyDescent="0.35">
      <c r="B59" t="s">
        <v>51</v>
      </c>
      <c r="C59">
        <v>6</v>
      </c>
      <c r="D59" t="s">
        <v>356</v>
      </c>
      <c r="E59">
        <v>5</v>
      </c>
      <c r="F59">
        <f t="shared" si="0"/>
        <v>1</v>
      </c>
    </row>
    <row r="60" spans="2:6" hidden="1" x14ac:dyDescent="0.35">
      <c r="B60" t="s">
        <v>356</v>
      </c>
      <c r="C60">
        <v>5</v>
      </c>
      <c r="D60" t="s">
        <v>52</v>
      </c>
      <c r="E60">
        <v>5.8</v>
      </c>
      <c r="F60">
        <f t="shared" si="0"/>
        <v>0</v>
      </c>
    </row>
    <row r="61" spans="2:6" x14ac:dyDescent="0.35">
      <c r="B61" t="s">
        <v>52</v>
      </c>
      <c r="C61">
        <v>5.8</v>
      </c>
      <c r="D61" t="s">
        <v>357</v>
      </c>
      <c r="E61">
        <v>6</v>
      </c>
      <c r="F61">
        <f t="shared" si="0"/>
        <v>1</v>
      </c>
    </row>
    <row r="62" spans="2:6" hidden="1" x14ac:dyDescent="0.35">
      <c r="B62" t="s">
        <v>357</v>
      </c>
      <c r="C62">
        <v>6</v>
      </c>
      <c r="D62" t="s">
        <v>358</v>
      </c>
      <c r="E62">
        <v>3.7</v>
      </c>
      <c r="F62">
        <f t="shared" si="0"/>
        <v>0</v>
      </c>
    </row>
    <row r="63" spans="2:6" x14ac:dyDescent="0.35">
      <c r="B63" t="s">
        <v>358</v>
      </c>
      <c r="C63">
        <v>3.7</v>
      </c>
      <c r="D63" t="s">
        <v>359</v>
      </c>
      <c r="E63">
        <v>8.3000000000000007</v>
      </c>
      <c r="F63">
        <f t="shared" si="0"/>
        <v>1</v>
      </c>
    </row>
    <row r="64" spans="2:6" hidden="1" x14ac:dyDescent="0.35">
      <c r="B64" t="s">
        <v>359</v>
      </c>
      <c r="C64">
        <v>8.3000000000000007</v>
      </c>
      <c r="D64" t="s">
        <v>360</v>
      </c>
      <c r="E64">
        <v>-0.1</v>
      </c>
      <c r="F64">
        <f t="shared" si="0"/>
        <v>0</v>
      </c>
    </row>
    <row r="65" spans="2:6" x14ac:dyDescent="0.35">
      <c r="B65" t="s">
        <v>360</v>
      </c>
      <c r="C65">
        <v>-0.1</v>
      </c>
      <c r="D65" t="s">
        <v>361</v>
      </c>
      <c r="E65">
        <v>12.4</v>
      </c>
      <c r="F65">
        <f t="shared" si="0"/>
        <v>1</v>
      </c>
    </row>
    <row r="66" spans="2:6" hidden="1" x14ac:dyDescent="0.35">
      <c r="B66" t="s">
        <v>361</v>
      </c>
      <c r="C66">
        <v>12.4</v>
      </c>
      <c r="D66" t="s">
        <v>62</v>
      </c>
      <c r="E66">
        <v>11</v>
      </c>
      <c r="F66">
        <f t="shared" si="0"/>
        <v>0</v>
      </c>
    </row>
    <row r="67" spans="2:6" x14ac:dyDescent="0.35">
      <c r="B67" t="s">
        <v>62</v>
      </c>
      <c r="C67">
        <v>11</v>
      </c>
      <c r="D67" t="s">
        <v>362</v>
      </c>
      <c r="E67">
        <v>1.5</v>
      </c>
      <c r="F67">
        <f t="shared" ref="F67:F130" si="1">MOD(ROW(),2)</f>
        <v>1</v>
      </c>
    </row>
    <row r="68" spans="2:6" hidden="1" x14ac:dyDescent="0.35">
      <c r="B68" t="s">
        <v>362</v>
      </c>
      <c r="C68">
        <v>1.5</v>
      </c>
      <c r="D68" t="s">
        <v>363</v>
      </c>
      <c r="E68">
        <v>9.1</v>
      </c>
      <c r="F68">
        <f t="shared" si="1"/>
        <v>0</v>
      </c>
    </row>
    <row r="69" spans="2:6" x14ac:dyDescent="0.35">
      <c r="B69" t="s">
        <v>363</v>
      </c>
      <c r="C69">
        <v>9.1</v>
      </c>
      <c r="D69" t="s">
        <v>364</v>
      </c>
      <c r="E69">
        <v>3.7</v>
      </c>
      <c r="F69">
        <f t="shared" si="1"/>
        <v>1</v>
      </c>
    </row>
    <row r="70" spans="2:6" hidden="1" x14ac:dyDescent="0.35">
      <c r="B70" t="s">
        <v>364</v>
      </c>
      <c r="C70">
        <v>3.7</v>
      </c>
      <c r="D70" t="s">
        <v>59</v>
      </c>
      <c r="E70">
        <v>7.1</v>
      </c>
      <c r="F70">
        <f t="shared" si="1"/>
        <v>0</v>
      </c>
    </row>
    <row r="71" spans="2:6" x14ac:dyDescent="0.35">
      <c r="B71" t="s">
        <v>59</v>
      </c>
      <c r="C71">
        <v>7.1</v>
      </c>
      <c r="D71" t="s">
        <v>365</v>
      </c>
      <c r="E71">
        <v>5.8</v>
      </c>
      <c r="F71">
        <f t="shared" si="1"/>
        <v>1</v>
      </c>
    </row>
    <row r="72" spans="2:6" hidden="1" x14ac:dyDescent="0.35">
      <c r="B72" t="s">
        <v>365</v>
      </c>
      <c r="C72">
        <v>5.8</v>
      </c>
      <c r="D72" t="s">
        <v>40</v>
      </c>
      <c r="E72">
        <v>8</v>
      </c>
      <c r="F72">
        <f t="shared" si="1"/>
        <v>0</v>
      </c>
    </row>
    <row r="73" spans="2:6" x14ac:dyDescent="0.35">
      <c r="B73" t="s">
        <v>40</v>
      </c>
      <c r="C73">
        <v>8</v>
      </c>
      <c r="D73" t="s">
        <v>366</v>
      </c>
      <c r="E73">
        <v>5.2</v>
      </c>
      <c r="F73">
        <f t="shared" si="1"/>
        <v>1</v>
      </c>
    </row>
    <row r="74" spans="2:6" hidden="1" x14ac:dyDescent="0.35">
      <c r="B74" t="s">
        <v>366</v>
      </c>
      <c r="C74">
        <v>5.2</v>
      </c>
      <c r="D74" t="s">
        <v>60</v>
      </c>
      <c r="E74">
        <v>4</v>
      </c>
      <c r="F74">
        <f t="shared" si="1"/>
        <v>0</v>
      </c>
    </row>
    <row r="75" spans="2:6" x14ac:dyDescent="0.35">
      <c r="B75" t="s">
        <v>60</v>
      </c>
      <c r="C75">
        <v>4</v>
      </c>
      <c r="D75" t="s">
        <v>367</v>
      </c>
      <c r="E75">
        <v>9.3000000000000007</v>
      </c>
      <c r="F75">
        <f t="shared" si="1"/>
        <v>1</v>
      </c>
    </row>
    <row r="76" spans="2:6" hidden="1" x14ac:dyDescent="0.35">
      <c r="B76" t="s">
        <v>367</v>
      </c>
      <c r="C76">
        <v>9.3000000000000007</v>
      </c>
      <c r="D76" t="s">
        <v>61</v>
      </c>
      <c r="E76">
        <v>6.9</v>
      </c>
      <c r="F76">
        <f t="shared" si="1"/>
        <v>0</v>
      </c>
    </row>
    <row r="77" spans="2:6" x14ac:dyDescent="0.35">
      <c r="B77" t="s">
        <v>61</v>
      </c>
      <c r="C77">
        <v>6.9</v>
      </c>
      <c r="D77" t="s">
        <v>368</v>
      </c>
      <c r="E77">
        <v>6.6</v>
      </c>
      <c r="F77">
        <f t="shared" si="1"/>
        <v>1</v>
      </c>
    </row>
    <row r="78" spans="2:6" hidden="1" x14ac:dyDescent="0.35">
      <c r="B78" t="s">
        <v>368</v>
      </c>
      <c r="C78">
        <v>6.6</v>
      </c>
      <c r="D78" t="s">
        <v>369</v>
      </c>
      <c r="E78">
        <v>7.4</v>
      </c>
      <c r="F78">
        <f t="shared" si="1"/>
        <v>0</v>
      </c>
    </row>
    <row r="79" spans="2:6" x14ac:dyDescent="0.35">
      <c r="B79" t="s">
        <v>369</v>
      </c>
      <c r="C79">
        <v>7.4</v>
      </c>
      <c r="D79" t="s">
        <v>370</v>
      </c>
      <c r="E79">
        <v>6.3</v>
      </c>
      <c r="F79">
        <f t="shared" si="1"/>
        <v>1</v>
      </c>
    </row>
    <row r="80" spans="2:6" hidden="1" x14ac:dyDescent="0.35">
      <c r="B80" t="s">
        <v>370</v>
      </c>
      <c r="C80">
        <v>6.3</v>
      </c>
      <c r="D80" t="s">
        <v>63</v>
      </c>
      <c r="E80">
        <v>2.7</v>
      </c>
      <c r="F80">
        <f t="shared" si="1"/>
        <v>0</v>
      </c>
    </row>
    <row r="81" spans="2:6" x14ac:dyDescent="0.35">
      <c r="B81" t="s">
        <v>63</v>
      </c>
      <c r="C81">
        <v>2.7</v>
      </c>
      <c r="D81" t="s">
        <v>371</v>
      </c>
      <c r="E81">
        <v>12.5</v>
      </c>
      <c r="F81">
        <f t="shared" si="1"/>
        <v>1</v>
      </c>
    </row>
    <row r="82" spans="2:6" hidden="1" x14ac:dyDescent="0.35">
      <c r="B82" t="s">
        <v>371</v>
      </c>
      <c r="C82">
        <v>12.5</v>
      </c>
      <c r="D82" t="s">
        <v>66</v>
      </c>
      <c r="E82">
        <v>10.4</v>
      </c>
      <c r="F82">
        <f t="shared" si="1"/>
        <v>0</v>
      </c>
    </row>
    <row r="83" spans="2:6" x14ac:dyDescent="0.35">
      <c r="B83" t="s">
        <v>66</v>
      </c>
      <c r="C83">
        <v>10.4</v>
      </c>
      <c r="D83" t="s">
        <v>372</v>
      </c>
      <c r="E83">
        <v>4.8</v>
      </c>
      <c r="F83">
        <f t="shared" si="1"/>
        <v>1</v>
      </c>
    </row>
    <row r="84" spans="2:6" hidden="1" x14ac:dyDescent="0.35">
      <c r="B84" t="s">
        <v>372</v>
      </c>
      <c r="C84">
        <v>4.8</v>
      </c>
      <c r="D84" t="s">
        <v>9</v>
      </c>
      <c r="E84">
        <v>5.3</v>
      </c>
      <c r="F84">
        <f t="shared" si="1"/>
        <v>0</v>
      </c>
    </row>
    <row r="85" spans="2:6" x14ac:dyDescent="0.35">
      <c r="B85" t="s">
        <v>9</v>
      </c>
      <c r="C85">
        <v>5.3</v>
      </c>
      <c r="D85" t="s">
        <v>373</v>
      </c>
      <c r="E85">
        <v>10.199999999999999</v>
      </c>
      <c r="F85">
        <f t="shared" si="1"/>
        <v>1</v>
      </c>
    </row>
    <row r="86" spans="2:6" hidden="1" x14ac:dyDescent="0.35">
      <c r="B86" t="s">
        <v>373</v>
      </c>
      <c r="C86">
        <v>10.199999999999999</v>
      </c>
      <c r="D86" t="s">
        <v>374</v>
      </c>
      <c r="E86">
        <v>5.7</v>
      </c>
      <c r="F86">
        <f t="shared" si="1"/>
        <v>0</v>
      </c>
    </row>
    <row r="87" spans="2:6" x14ac:dyDescent="0.35">
      <c r="B87" t="s">
        <v>374</v>
      </c>
      <c r="C87">
        <v>5.7</v>
      </c>
      <c r="D87" t="s">
        <v>375</v>
      </c>
      <c r="E87">
        <v>10.1</v>
      </c>
      <c r="F87">
        <f t="shared" si="1"/>
        <v>1</v>
      </c>
    </row>
    <row r="88" spans="2:6" hidden="1" x14ac:dyDescent="0.35">
      <c r="B88" t="s">
        <v>375</v>
      </c>
      <c r="C88">
        <v>10.1</v>
      </c>
      <c r="D88" t="s">
        <v>68</v>
      </c>
      <c r="E88">
        <v>3.5</v>
      </c>
      <c r="F88">
        <f t="shared" si="1"/>
        <v>0</v>
      </c>
    </row>
    <row r="89" spans="2:6" x14ac:dyDescent="0.35">
      <c r="B89" t="s">
        <v>68</v>
      </c>
      <c r="C89">
        <v>3.5</v>
      </c>
      <c r="D89" t="s">
        <v>376</v>
      </c>
      <c r="E89">
        <v>12.4</v>
      </c>
      <c r="F89">
        <f t="shared" si="1"/>
        <v>1</v>
      </c>
    </row>
    <row r="90" spans="2:6" hidden="1" x14ac:dyDescent="0.35">
      <c r="B90" t="s">
        <v>376</v>
      </c>
      <c r="C90">
        <v>12.4</v>
      </c>
      <c r="D90" t="s">
        <v>71</v>
      </c>
      <c r="E90">
        <v>10.1</v>
      </c>
      <c r="F90">
        <f t="shared" si="1"/>
        <v>0</v>
      </c>
    </row>
    <row r="91" spans="2:6" x14ac:dyDescent="0.35">
      <c r="B91" t="s">
        <v>71</v>
      </c>
      <c r="C91">
        <v>10.1</v>
      </c>
      <c r="D91" t="s">
        <v>377</v>
      </c>
      <c r="E91">
        <v>5.9</v>
      </c>
      <c r="F91">
        <f t="shared" si="1"/>
        <v>1</v>
      </c>
    </row>
    <row r="92" spans="2:6" hidden="1" x14ac:dyDescent="0.35">
      <c r="B92" t="s">
        <v>377</v>
      </c>
      <c r="C92">
        <v>5.9</v>
      </c>
      <c r="D92" t="s">
        <v>69</v>
      </c>
      <c r="E92">
        <v>7.5</v>
      </c>
      <c r="F92">
        <f t="shared" si="1"/>
        <v>0</v>
      </c>
    </row>
    <row r="93" spans="2:6" x14ac:dyDescent="0.35">
      <c r="B93" t="s">
        <v>69</v>
      </c>
      <c r="C93">
        <v>7.5</v>
      </c>
      <c r="D93" t="s">
        <v>378</v>
      </c>
      <c r="E93">
        <v>8.5</v>
      </c>
      <c r="F93">
        <f t="shared" si="1"/>
        <v>1</v>
      </c>
    </row>
    <row r="94" spans="2:6" hidden="1" x14ac:dyDescent="0.35">
      <c r="B94" t="s">
        <v>378</v>
      </c>
      <c r="C94">
        <v>8.5</v>
      </c>
      <c r="D94" t="s">
        <v>72</v>
      </c>
      <c r="E94">
        <v>2.2999999999999998</v>
      </c>
      <c r="F94">
        <f t="shared" si="1"/>
        <v>0</v>
      </c>
    </row>
    <row r="95" spans="2:6" x14ac:dyDescent="0.35">
      <c r="B95" t="s">
        <v>72</v>
      </c>
      <c r="C95">
        <v>2.2999999999999998</v>
      </c>
      <c r="D95" t="s">
        <v>379</v>
      </c>
      <c r="E95">
        <v>14.3</v>
      </c>
      <c r="F95">
        <f t="shared" si="1"/>
        <v>1</v>
      </c>
    </row>
    <row r="96" spans="2:6" hidden="1" x14ac:dyDescent="0.35">
      <c r="B96" t="s">
        <v>379</v>
      </c>
      <c r="C96">
        <v>14.3</v>
      </c>
      <c r="D96" t="s">
        <v>27</v>
      </c>
      <c r="E96">
        <v>5.5</v>
      </c>
      <c r="F96">
        <f t="shared" si="1"/>
        <v>0</v>
      </c>
    </row>
    <row r="97" spans="2:6" x14ac:dyDescent="0.35">
      <c r="B97" t="s">
        <v>27</v>
      </c>
      <c r="C97">
        <v>5.5</v>
      </c>
      <c r="D97" t="s">
        <v>380</v>
      </c>
      <c r="E97">
        <v>11.2</v>
      </c>
      <c r="F97">
        <f t="shared" si="1"/>
        <v>1</v>
      </c>
    </row>
    <row r="98" spans="2:6" hidden="1" x14ac:dyDescent="0.35">
      <c r="B98" t="s">
        <v>380</v>
      </c>
      <c r="C98">
        <v>11.2</v>
      </c>
      <c r="D98" t="s">
        <v>76</v>
      </c>
      <c r="E98">
        <v>7.2</v>
      </c>
      <c r="F98">
        <f t="shared" si="1"/>
        <v>0</v>
      </c>
    </row>
    <row r="99" spans="2:6" x14ac:dyDescent="0.35">
      <c r="B99" t="s">
        <v>76</v>
      </c>
      <c r="C99">
        <v>7.2</v>
      </c>
      <c r="D99" t="s">
        <v>381</v>
      </c>
      <c r="E99">
        <v>9.9</v>
      </c>
      <c r="F99">
        <f t="shared" si="1"/>
        <v>1</v>
      </c>
    </row>
    <row r="100" spans="2:6" hidden="1" x14ac:dyDescent="0.35">
      <c r="B100" t="s">
        <v>381</v>
      </c>
      <c r="C100">
        <v>9.9</v>
      </c>
      <c r="D100" t="s">
        <v>78</v>
      </c>
      <c r="E100">
        <v>8</v>
      </c>
      <c r="F100">
        <f t="shared" si="1"/>
        <v>0</v>
      </c>
    </row>
    <row r="101" spans="2:6" x14ac:dyDescent="0.35">
      <c r="B101" t="s">
        <v>78</v>
      </c>
      <c r="C101">
        <v>8</v>
      </c>
      <c r="D101" t="s">
        <v>382</v>
      </c>
      <c r="E101">
        <v>9.1</v>
      </c>
      <c r="F101">
        <f t="shared" si="1"/>
        <v>1</v>
      </c>
    </row>
    <row r="102" spans="2:6" hidden="1" x14ac:dyDescent="0.35">
      <c r="B102" t="s">
        <v>382</v>
      </c>
      <c r="C102">
        <v>9.1</v>
      </c>
      <c r="D102" t="s">
        <v>79</v>
      </c>
      <c r="E102">
        <v>10.1</v>
      </c>
      <c r="F102">
        <f t="shared" si="1"/>
        <v>0</v>
      </c>
    </row>
    <row r="103" spans="2:6" x14ac:dyDescent="0.35">
      <c r="B103" t="s">
        <v>79</v>
      </c>
      <c r="C103">
        <v>10.1</v>
      </c>
      <c r="D103" t="s">
        <v>383</v>
      </c>
      <c r="E103">
        <v>7.3</v>
      </c>
      <c r="F103">
        <f t="shared" si="1"/>
        <v>1</v>
      </c>
    </row>
    <row r="104" spans="2:6" hidden="1" x14ac:dyDescent="0.35">
      <c r="B104" t="s">
        <v>383</v>
      </c>
      <c r="C104">
        <v>7.3</v>
      </c>
      <c r="D104" t="s">
        <v>81</v>
      </c>
      <c r="E104">
        <v>8.4</v>
      </c>
      <c r="F104">
        <f t="shared" si="1"/>
        <v>0</v>
      </c>
    </row>
    <row r="105" spans="2:6" x14ac:dyDescent="0.35">
      <c r="B105" t="s">
        <v>81</v>
      </c>
      <c r="C105">
        <v>8.4</v>
      </c>
      <c r="D105" t="s">
        <v>384</v>
      </c>
      <c r="E105">
        <v>9</v>
      </c>
      <c r="F105">
        <f t="shared" si="1"/>
        <v>1</v>
      </c>
    </row>
    <row r="106" spans="2:6" hidden="1" x14ac:dyDescent="0.35">
      <c r="B106" t="s">
        <v>384</v>
      </c>
      <c r="C106">
        <v>9</v>
      </c>
      <c r="D106" t="s">
        <v>385</v>
      </c>
      <c r="E106">
        <v>3.4</v>
      </c>
      <c r="F106">
        <f t="shared" si="1"/>
        <v>0</v>
      </c>
    </row>
    <row r="107" spans="2:6" x14ac:dyDescent="0.35">
      <c r="B107" t="s">
        <v>385</v>
      </c>
      <c r="C107">
        <v>3.4</v>
      </c>
      <c r="D107" t="s">
        <v>386</v>
      </c>
      <c r="E107">
        <v>14.1</v>
      </c>
      <c r="F107">
        <f t="shared" si="1"/>
        <v>1</v>
      </c>
    </row>
    <row r="108" spans="2:6" hidden="1" x14ac:dyDescent="0.35">
      <c r="B108" t="s">
        <v>386</v>
      </c>
      <c r="C108">
        <v>14.1</v>
      </c>
      <c r="D108" t="s">
        <v>80</v>
      </c>
      <c r="E108">
        <v>6.9</v>
      </c>
      <c r="F108">
        <f t="shared" si="1"/>
        <v>0</v>
      </c>
    </row>
    <row r="109" spans="2:6" x14ac:dyDescent="0.35">
      <c r="B109" t="s">
        <v>80</v>
      </c>
      <c r="C109">
        <v>6.9</v>
      </c>
      <c r="D109" t="s">
        <v>387</v>
      </c>
      <c r="E109">
        <v>11.2</v>
      </c>
      <c r="F109">
        <f t="shared" si="1"/>
        <v>1</v>
      </c>
    </row>
    <row r="110" spans="2:6" hidden="1" x14ac:dyDescent="0.35">
      <c r="B110" t="s">
        <v>387</v>
      </c>
      <c r="C110">
        <v>11.2</v>
      </c>
      <c r="D110" t="s">
        <v>25</v>
      </c>
      <c r="E110">
        <v>9.4</v>
      </c>
      <c r="F110">
        <f t="shared" si="1"/>
        <v>0</v>
      </c>
    </row>
    <row r="111" spans="2:6" x14ac:dyDescent="0.35">
      <c r="B111" t="s">
        <v>25</v>
      </c>
      <c r="C111">
        <v>9.4</v>
      </c>
      <c r="D111" t="s">
        <v>388</v>
      </c>
      <c r="E111">
        <v>8.6999999999999993</v>
      </c>
      <c r="F111">
        <f t="shared" si="1"/>
        <v>1</v>
      </c>
    </row>
    <row r="112" spans="2:6" hidden="1" x14ac:dyDescent="0.35">
      <c r="B112" t="s">
        <v>388</v>
      </c>
      <c r="C112">
        <v>8.6999999999999993</v>
      </c>
      <c r="D112" t="s">
        <v>18</v>
      </c>
      <c r="E112">
        <v>8.8000000000000007</v>
      </c>
      <c r="F112">
        <f t="shared" si="1"/>
        <v>0</v>
      </c>
    </row>
    <row r="113" spans="2:6" x14ac:dyDescent="0.35">
      <c r="B113" t="s">
        <v>18</v>
      </c>
      <c r="C113">
        <v>8.8000000000000007</v>
      </c>
      <c r="D113" t="s">
        <v>389</v>
      </c>
      <c r="E113">
        <v>9.6</v>
      </c>
      <c r="F113">
        <f t="shared" si="1"/>
        <v>1</v>
      </c>
    </row>
    <row r="114" spans="2:6" hidden="1" x14ac:dyDescent="0.35">
      <c r="B114" t="s">
        <v>389</v>
      </c>
      <c r="C114">
        <v>9.6</v>
      </c>
      <c r="D114" t="s">
        <v>390</v>
      </c>
      <c r="E114">
        <v>9.8000000000000007</v>
      </c>
      <c r="F114">
        <f t="shared" si="1"/>
        <v>0</v>
      </c>
    </row>
    <row r="115" spans="2:6" x14ac:dyDescent="0.35">
      <c r="B115" t="s">
        <v>390</v>
      </c>
      <c r="C115">
        <v>9.8000000000000007</v>
      </c>
      <c r="D115" t="s">
        <v>391</v>
      </c>
      <c r="E115">
        <v>9</v>
      </c>
      <c r="F115">
        <f t="shared" si="1"/>
        <v>1</v>
      </c>
    </row>
    <row r="116" spans="2:6" hidden="1" x14ac:dyDescent="0.35">
      <c r="B116" t="s">
        <v>391</v>
      </c>
      <c r="C116">
        <v>9</v>
      </c>
      <c r="D116" t="s">
        <v>84</v>
      </c>
      <c r="E116">
        <v>6.2</v>
      </c>
      <c r="F116">
        <f t="shared" si="1"/>
        <v>0</v>
      </c>
    </row>
    <row r="117" spans="2:6" x14ac:dyDescent="0.35">
      <c r="B117" t="s">
        <v>84</v>
      </c>
      <c r="C117">
        <v>6.2</v>
      </c>
      <c r="D117" t="s">
        <v>392</v>
      </c>
      <c r="E117">
        <v>13</v>
      </c>
      <c r="F117">
        <f t="shared" si="1"/>
        <v>1</v>
      </c>
    </row>
    <row r="118" spans="2:6" hidden="1" x14ac:dyDescent="0.35">
      <c r="B118" t="s">
        <v>392</v>
      </c>
      <c r="C118">
        <v>13</v>
      </c>
      <c r="D118" t="s">
        <v>86</v>
      </c>
      <c r="E118">
        <v>2.6</v>
      </c>
      <c r="F118">
        <f t="shared" si="1"/>
        <v>0</v>
      </c>
    </row>
    <row r="119" spans="2:6" x14ac:dyDescent="0.35">
      <c r="B119" t="s">
        <v>86</v>
      </c>
      <c r="C119">
        <v>2.6</v>
      </c>
      <c r="D119" t="s">
        <v>393</v>
      </c>
      <c r="E119">
        <v>17</v>
      </c>
      <c r="F119">
        <f t="shared" si="1"/>
        <v>1</v>
      </c>
    </row>
    <row r="120" spans="2:6" hidden="1" x14ac:dyDescent="0.35">
      <c r="B120" t="s">
        <v>393</v>
      </c>
      <c r="C120">
        <v>17</v>
      </c>
      <c r="D120" t="s">
        <v>85</v>
      </c>
      <c r="E120">
        <v>6.2</v>
      </c>
      <c r="F120">
        <f t="shared" si="1"/>
        <v>0</v>
      </c>
    </row>
    <row r="121" spans="2:6" x14ac:dyDescent="0.35">
      <c r="B121" t="s">
        <v>85</v>
      </c>
      <c r="C121">
        <v>6.2</v>
      </c>
      <c r="D121" t="s">
        <v>394</v>
      </c>
      <c r="E121">
        <v>13.8</v>
      </c>
      <c r="F121">
        <f t="shared" si="1"/>
        <v>1</v>
      </c>
    </row>
    <row r="122" spans="2:6" hidden="1" x14ac:dyDescent="0.35">
      <c r="B122" t="s">
        <v>394</v>
      </c>
      <c r="C122">
        <v>13.8</v>
      </c>
      <c r="D122" t="s">
        <v>395</v>
      </c>
      <c r="E122">
        <v>12.1</v>
      </c>
      <c r="F122">
        <f t="shared" si="1"/>
        <v>0</v>
      </c>
    </row>
    <row r="123" spans="2:6" x14ac:dyDescent="0.35">
      <c r="B123" t="s">
        <v>395</v>
      </c>
      <c r="C123">
        <v>12.1</v>
      </c>
      <c r="D123" t="s">
        <v>396</v>
      </c>
      <c r="E123">
        <v>8.1</v>
      </c>
      <c r="F123">
        <f t="shared" si="1"/>
        <v>1</v>
      </c>
    </row>
    <row r="124" spans="2:6" hidden="1" x14ac:dyDescent="0.35">
      <c r="B124" t="s">
        <v>396</v>
      </c>
      <c r="C124">
        <v>8.1</v>
      </c>
      <c r="D124" t="s">
        <v>87</v>
      </c>
      <c r="E124">
        <v>15.9</v>
      </c>
      <c r="F124">
        <f t="shared" si="1"/>
        <v>0</v>
      </c>
    </row>
    <row r="125" spans="2:6" x14ac:dyDescent="0.35">
      <c r="B125" t="s">
        <v>87</v>
      </c>
      <c r="C125">
        <v>15.9</v>
      </c>
      <c r="D125" t="s">
        <v>397</v>
      </c>
      <c r="E125">
        <v>4.5999999999999996</v>
      </c>
      <c r="F125">
        <f t="shared" si="1"/>
        <v>1</v>
      </c>
    </row>
    <row r="126" spans="2:6" hidden="1" x14ac:dyDescent="0.35">
      <c r="B126" t="s">
        <v>397</v>
      </c>
      <c r="C126">
        <v>4.5999999999999996</v>
      </c>
      <c r="D126" t="s">
        <v>58</v>
      </c>
      <c r="E126">
        <v>16.3</v>
      </c>
      <c r="F126">
        <f t="shared" si="1"/>
        <v>0</v>
      </c>
    </row>
    <row r="127" spans="2:6" x14ac:dyDescent="0.35">
      <c r="B127" t="s">
        <v>58</v>
      </c>
      <c r="C127">
        <v>16.3</v>
      </c>
      <c r="D127" t="s">
        <v>398</v>
      </c>
      <c r="E127">
        <v>5.0999999999999996</v>
      </c>
      <c r="F127">
        <f t="shared" si="1"/>
        <v>1</v>
      </c>
    </row>
    <row r="128" spans="2:6" hidden="1" x14ac:dyDescent="0.35">
      <c r="B128" t="s">
        <v>398</v>
      </c>
      <c r="C128">
        <v>5.0999999999999996</v>
      </c>
      <c r="D128" t="s">
        <v>399</v>
      </c>
      <c r="E128">
        <v>8.8000000000000007</v>
      </c>
      <c r="F128">
        <f t="shared" si="1"/>
        <v>0</v>
      </c>
    </row>
    <row r="129" spans="2:6" x14ac:dyDescent="0.35">
      <c r="B129" t="s">
        <v>399</v>
      </c>
      <c r="C129">
        <v>8.8000000000000007</v>
      </c>
      <c r="D129" t="s">
        <v>400</v>
      </c>
      <c r="E129">
        <v>13.5</v>
      </c>
      <c r="F129">
        <f t="shared" si="1"/>
        <v>1</v>
      </c>
    </row>
    <row r="130" spans="2:6" hidden="1" x14ac:dyDescent="0.35">
      <c r="B130" t="s">
        <v>400</v>
      </c>
      <c r="C130">
        <v>13.5</v>
      </c>
      <c r="D130" t="s">
        <v>53</v>
      </c>
      <c r="E130">
        <v>8.6</v>
      </c>
      <c r="F130">
        <f t="shared" si="1"/>
        <v>0</v>
      </c>
    </row>
    <row r="131" spans="2:6" x14ac:dyDescent="0.35">
      <c r="B131" t="s">
        <v>53</v>
      </c>
      <c r="C131">
        <v>8.6</v>
      </c>
      <c r="D131" t="s">
        <v>401</v>
      </c>
      <c r="E131">
        <v>14.1</v>
      </c>
      <c r="F131">
        <f t="shared" ref="F131:F162" si="2">MOD(ROW(),2)</f>
        <v>1</v>
      </c>
    </row>
    <row r="132" spans="2:6" hidden="1" x14ac:dyDescent="0.35">
      <c r="B132" t="s">
        <v>401</v>
      </c>
      <c r="C132">
        <v>14.1</v>
      </c>
      <c r="D132" t="s">
        <v>32</v>
      </c>
      <c r="E132">
        <v>5.0999999999999996</v>
      </c>
      <c r="F132">
        <f t="shared" si="2"/>
        <v>0</v>
      </c>
    </row>
    <row r="133" spans="2:6" x14ac:dyDescent="0.35">
      <c r="B133" t="s">
        <v>32</v>
      </c>
      <c r="C133">
        <v>5.0999999999999996</v>
      </c>
      <c r="D133" t="s">
        <v>402</v>
      </c>
      <c r="E133">
        <v>17.899999999999999</v>
      </c>
      <c r="F133">
        <f t="shared" si="2"/>
        <v>1</v>
      </c>
    </row>
    <row r="134" spans="2:6" hidden="1" x14ac:dyDescent="0.35">
      <c r="B134" t="s">
        <v>402</v>
      </c>
      <c r="C134">
        <v>17.899999999999999</v>
      </c>
      <c r="D134" t="s">
        <v>92</v>
      </c>
      <c r="E134">
        <v>13.4</v>
      </c>
      <c r="F134">
        <f t="shared" si="2"/>
        <v>0</v>
      </c>
    </row>
    <row r="135" spans="2:6" x14ac:dyDescent="0.35">
      <c r="B135" t="s">
        <v>92</v>
      </c>
      <c r="C135">
        <v>13.4</v>
      </c>
      <c r="D135" t="s">
        <v>403</v>
      </c>
      <c r="E135">
        <v>10.3</v>
      </c>
      <c r="F135">
        <f t="shared" si="2"/>
        <v>1</v>
      </c>
    </row>
    <row r="136" spans="2:6" hidden="1" x14ac:dyDescent="0.35">
      <c r="B136" t="s">
        <v>403</v>
      </c>
      <c r="C136">
        <v>10.3</v>
      </c>
      <c r="D136" t="s">
        <v>90</v>
      </c>
      <c r="E136">
        <v>15.6</v>
      </c>
      <c r="F136">
        <f t="shared" si="2"/>
        <v>0</v>
      </c>
    </row>
    <row r="137" spans="2:6" x14ac:dyDescent="0.35">
      <c r="B137" t="s">
        <v>90</v>
      </c>
      <c r="C137">
        <v>15.6</v>
      </c>
      <c r="D137" t="s">
        <v>404</v>
      </c>
      <c r="E137">
        <v>8.3000000000000007</v>
      </c>
      <c r="F137">
        <f t="shared" si="2"/>
        <v>1</v>
      </c>
    </row>
    <row r="138" spans="2:6" hidden="1" x14ac:dyDescent="0.35">
      <c r="B138" t="s">
        <v>404</v>
      </c>
      <c r="C138">
        <v>8.3000000000000007</v>
      </c>
      <c r="D138" t="s">
        <v>93</v>
      </c>
      <c r="E138">
        <v>6.4</v>
      </c>
      <c r="F138">
        <f t="shared" si="2"/>
        <v>0</v>
      </c>
    </row>
    <row r="139" spans="2:6" x14ac:dyDescent="0.35">
      <c r="B139" t="s">
        <v>93</v>
      </c>
      <c r="C139">
        <v>6.4</v>
      </c>
      <c r="D139" t="s">
        <v>405</v>
      </c>
      <c r="E139">
        <v>17.7</v>
      </c>
      <c r="F139">
        <f t="shared" si="2"/>
        <v>1</v>
      </c>
    </row>
    <row r="140" spans="2:6" hidden="1" x14ac:dyDescent="0.35">
      <c r="B140" t="s">
        <v>405</v>
      </c>
      <c r="C140">
        <v>17.7</v>
      </c>
      <c r="D140" t="s">
        <v>55</v>
      </c>
      <c r="E140">
        <v>17.7</v>
      </c>
      <c r="F140">
        <f t="shared" si="2"/>
        <v>0</v>
      </c>
    </row>
    <row r="141" spans="2:6" x14ac:dyDescent="0.35">
      <c r="B141" t="s">
        <v>55</v>
      </c>
      <c r="C141">
        <v>17.7</v>
      </c>
      <c r="D141" t="s">
        <v>406</v>
      </c>
      <c r="E141">
        <v>6.4</v>
      </c>
      <c r="F141">
        <f t="shared" si="2"/>
        <v>1</v>
      </c>
    </row>
    <row r="142" spans="2:6" hidden="1" x14ac:dyDescent="0.35">
      <c r="B142" t="s">
        <v>406</v>
      </c>
      <c r="C142">
        <v>6.4</v>
      </c>
      <c r="D142" t="s">
        <v>70</v>
      </c>
      <c r="E142">
        <v>13</v>
      </c>
      <c r="F142">
        <f t="shared" si="2"/>
        <v>0</v>
      </c>
    </row>
    <row r="143" spans="2:6" x14ac:dyDescent="0.35">
      <c r="B143" t="s">
        <v>70</v>
      </c>
      <c r="C143">
        <v>13</v>
      </c>
      <c r="D143" t="s">
        <v>407</v>
      </c>
      <c r="E143">
        <v>12.5</v>
      </c>
      <c r="F143">
        <f t="shared" si="2"/>
        <v>1</v>
      </c>
    </row>
    <row r="144" spans="2:6" hidden="1" x14ac:dyDescent="0.35">
      <c r="B144" t="s">
        <v>407</v>
      </c>
      <c r="C144">
        <v>12.5</v>
      </c>
      <c r="D144" t="s">
        <v>91</v>
      </c>
      <c r="E144">
        <v>12.4</v>
      </c>
      <c r="F144">
        <f t="shared" si="2"/>
        <v>0</v>
      </c>
    </row>
    <row r="145" spans="2:6" x14ac:dyDescent="0.35">
      <c r="B145" t="s">
        <v>91</v>
      </c>
      <c r="C145">
        <v>12.4</v>
      </c>
      <c r="D145" t="s">
        <v>408</v>
      </c>
      <c r="E145">
        <v>14.8</v>
      </c>
      <c r="F145">
        <f t="shared" si="2"/>
        <v>1</v>
      </c>
    </row>
    <row r="146" spans="2:6" hidden="1" x14ac:dyDescent="0.35">
      <c r="B146" t="s">
        <v>408</v>
      </c>
      <c r="C146">
        <v>14.8</v>
      </c>
      <c r="D146" t="s">
        <v>409</v>
      </c>
      <c r="E146">
        <v>10</v>
      </c>
      <c r="F146">
        <f t="shared" si="2"/>
        <v>0</v>
      </c>
    </row>
    <row r="147" spans="2:6" x14ac:dyDescent="0.35">
      <c r="B147" t="s">
        <v>409</v>
      </c>
      <c r="C147">
        <v>10</v>
      </c>
      <c r="D147" t="s">
        <v>410</v>
      </c>
      <c r="E147">
        <v>17.7</v>
      </c>
      <c r="F147">
        <f t="shared" si="2"/>
        <v>1</v>
      </c>
    </row>
    <row r="148" spans="2:6" hidden="1" x14ac:dyDescent="0.35">
      <c r="B148" t="s">
        <v>410</v>
      </c>
      <c r="C148">
        <v>17.7</v>
      </c>
      <c r="D148" t="s">
        <v>97</v>
      </c>
      <c r="E148">
        <v>12</v>
      </c>
      <c r="F148">
        <f t="shared" si="2"/>
        <v>0</v>
      </c>
    </row>
    <row r="149" spans="2:6" x14ac:dyDescent="0.35">
      <c r="B149" t="s">
        <v>97</v>
      </c>
      <c r="C149">
        <v>12</v>
      </c>
      <c r="D149" t="s">
        <v>411</v>
      </c>
      <c r="E149">
        <v>17.3</v>
      </c>
      <c r="F149">
        <f t="shared" si="2"/>
        <v>1</v>
      </c>
    </row>
    <row r="150" spans="2:6" hidden="1" x14ac:dyDescent="0.35">
      <c r="B150" t="s">
        <v>411</v>
      </c>
      <c r="C150">
        <v>17.3</v>
      </c>
      <c r="D150" t="s">
        <v>39</v>
      </c>
      <c r="E150">
        <v>15.9</v>
      </c>
      <c r="F150">
        <f t="shared" si="2"/>
        <v>0</v>
      </c>
    </row>
    <row r="151" spans="2:6" x14ac:dyDescent="0.35">
      <c r="B151" t="s">
        <v>39</v>
      </c>
      <c r="C151">
        <v>15.9</v>
      </c>
      <c r="D151" t="s">
        <v>412</v>
      </c>
      <c r="E151">
        <v>14.2</v>
      </c>
      <c r="F151">
        <f t="shared" si="2"/>
        <v>1</v>
      </c>
    </row>
    <row r="152" spans="2:6" hidden="1" x14ac:dyDescent="0.35">
      <c r="B152" t="s">
        <v>412</v>
      </c>
      <c r="C152">
        <v>14.2</v>
      </c>
      <c r="D152" t="s">
        <v>96</v>
      </c>
      <c r="E152">
        <v>17.100000000000001</v>
      </c>
      <c r="F152">
        <f t="shared" si="2"/>
        <v>0</v>
      </c>
    </row>
    <row r="153" spans="2:6" x14ac:dyDescent="0.35">
      <c r="B153" t="s">
        <v>96</v>
      </c>
      <c r="C153">
        <v>17.100000000000001</v>
      </c>
      <c r="D153" t="s">
        <v>413</v>
      </c>
      <c r="E153">
        <v>13.5</v>
      </c>
      <c r="F153">
        <f t="shared" si="2"/>
        <v>1</v>
      </c>
    </row>
    <row r="154" spans="2:6" hidden="1" x14ac:dyDescent="0.35">
      <c r="B154" t="s">
        <v>413</v>
      </c>
      <c r="C154">
        <v>13.5</v>
      </c>
      <c r="D154" t="s">
        <v>98</v>
      </c>
      <c r="E154">
        <v>14.8</v>
      </c>
      <c r="F154">
        <f t="shared" si="2"/>
        <v>0</v>
      </c>
    </row>
    <row r="155" spans="2:6" x14ac:dyDescent="0.35">
      <c r="B155" t="s">
        <v>98</v>
      </c>
      <c r="C155">
        <v>14.8</v>
      </c>
      <c r="D155" t="s">
        <v>414</v>
      </c>
      <c r="E155">
        <v>16</v>
      </c>
      <c r="F155">
        <f t="shared" si="2"/>
        <v>1</v>
      </c>
    </row>
    <row r="156" spans="2:6" hidden="1" x14ac:dyDescent="0.35">
      <c r="B156" t="s">
        <v>414</v>
      </c>
      <c r="C156">
        <v>16</v>
      </c>
      <c r="D156" t="s">
        <v>415</v>
      </c>
      <c r="E156">
        <v>13.5</v>
      </c>
      <c r="F156">
        <f t="shared" si="2"/>
        <v>0</v>
      </c>
    </row>
    <row r="157" spans="2:6" x14ac:dyDescent="0.35">
      <c r="B157" t="s">
        <v>415</v>
      </c>
      <c r="C157">
        <v>13.5</v>
      </c>
      <c r="D157" t="s">
        <v>416</v>
      </c>
      <c r="E157">
        <v>18.5</v>
      </c>
      <c r="F157">
        <f t="shared" si="2"/>
        <v>1</v>
      </c>
    </row>
    <row r="158" spans="2:6" hidden="1" x14ac:dyDescent="0.35">
      <c r="B158" t="s">
        <v>416</v>
      </c>
      <c r="C158">
        <v>18.5</v>
      </c>
      <c r="D158" t="s">
        <v>99</v>
      </c>
      <c r="E158">
        <v>16</v>
      </c>
      <c r="F158">
        <f t="shared" si="2"/>
        <v>0</v>
      </c>
    </row>
    <row r="159" spans="2:6" x14ac:dyDescent="0.35">
      <c r="B159" t="s">
        <v>99</v>
      </c>
      <c r="C159">
        <v>16</v>
      </c>
      <c r="D159" t="s">
        <v>417</v>
      </c>
      <c r="E159">
        <v>17</v>
      </c>
      <c r="F159">
        <f t="shared" si="2"/>
        <v>1</v>
      </c>
    </row>
    <row r="160" spans="2:6" hidden="1" x14ac:dyDescent="0.35">
      <c r="B160" t="s">
        <v>417</v>
      </c>
      <c r="C160">
        <v>17</v>
      </c>
      <c r="D160" t="s">
        <v>57</v>
      </c>
      <c r="E160">
        <v>21.6</v>
      </c>
      <c r="F160">
        <f t="shared" si="2"/>
        <v>0</v>
      </c>
    </row>
    <row r="161" spans="2:6" x14ac:dyDescent="0.35">
      <c r="B161" t="s">
        <v>57</v>
      </c>
      <c r="C161">
        <v>21.6</v>
      </c>
      <c r="D161" t="s">
        <v>418</v>
      </c>
      <c r="E161">
        <v>19.7</v>
      </c>
      <c r="F161">
        <f t="shared" si="2"/>
        <v>1</v>
      </c>
    </row>
    <row r="162" spans="2:6" hidden="1" x14ac:dyDescent="0.35">
      <c r="B162" t="s">
        <v>418</v>
      </c>
      <c r="C162">
        <v>19.7</v>
      </c>
      <c r="F162">
        <f t="shared" si="2"/>
        <v>0</v>
      </c>
    </row>
  </sheetData>
  <autoFilter ref="B1:F162" xr:uid="{697AA15F-76CE-48F7-AF8C-9935CCAF21D6}">
    <filterColumn colId="4">
      <filters>
        <filter val="1"/>
      </filters>
    </filterColumn>
  </autoFilter>
  <pageMargins left="0.7" right="0.7" top="0.75" bottom="0.75" header="0.3" footer="0.3"/>
  <pageSetup scale="39" orientation="portrait" r:id="rId1"/>
  <rowBreaks count="1" manualBreakCount="1">
    <brk id="120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8A54-DB29-4D84-8D3A-1B275DC5E330}">
  <dimension ref="A2:X92"/>
  <sheetViews>
    <sheetView workbookViewId="0">
      <selection activeCell="M65" sqref="M65"/>
    </sheetView>
  </sheetViews>
  <sheetFormatPr defaultRowHeight="14.5" x14ac:dyDescent="0.35"/>
  <cols>
    <col min="1" max="1" width="15.1796875" customWidth="1"/>
    <col min="2" max="2" width="11" customWidth="1"/>
    <col min="3" max="3" width="14.26953125" bestFit="1" customWidth="1"/>
    <col min="4" max="4" width="20.1796875" bestFit="1" customWidth="1"/>
    <col min="5" max="5" width="18.7265625" bestFit="1" customWidth="1"/>
    <col min="6" max="6" width="11.54296875" bestFit="1" customWidth="1"/>
    <col min="7" max="9" width="11" customWidth="1"/>
    <col min="12" max="12" width="19.81640625" customWidth="1"/>
    <col min="13" max="13" width="11" customWidth="1"/>
    <col min="14" max="14" width="11.26953125" customWidth="1"/>
    <col min="15" max="15" width="14.26953125" customWidth="1"/>
    <col min="16" max="16" width="17.26953125" customWidth="1"/>
    <col min="19" max="19" width="15.7265625" customWidth="1"/>
    <col min="20" max="22" width="11" customWidth="1"/>
    <col min="23" max="24" width="17.7265625" bestFit="1" customWidth="1"/>
  </cols>
  <sheetData>
    <row r="2" spans="1:24" ht="16.5" x14ac:dyDescent="0.35">
      <c r="A2" s="250" t="s">
        <v>316</v>
      </c>
      <c r="B2" t="s">
        <v>471</v>
      </c>
      <c r="C2" t="s">
        <v>2</v>
      </c>
      <c r="D2" t="s">
        <v>13</v>
      </c>
      <c r="E2" t="s">
        <v>3</v>
      </c>
      <c r="F2" t="s">
        <v>14</v>
      </c>
      <c r="G2" t="s">
        <v>472</v>
      </c>
      <c r="H2" t="s">
        <v>473</v>
      </c>
      <c r="I2" t="s">
        <v>474</v>
      </c>
      <c r="L2" s="250" t="s">
        <v>316</v>
      </c>
      <c r="M2" t="s">
        <v>475</v>
      </c>
      <c r="N2" t="s">
        <v>476</v>
      </c>
      <c r="O2" t="s">
        <v>477</v>
      </c>
      <c r="P2" t="s">
        <v>3</v>
      </c>
      <c r="S2" s="250" t="s">
        <v>316</v>
      </c>
      <c r="T2" t="s">
        <v>478</v>
      </c>
      <c r="U2" t="s">
        <v>475</v>
      </c>
      <c r="V2" t="s">
        <v>476</v>
      </c>
      <c r="W2" t="s">
        <v>477</v>
      </c>
      <c r="X2" t="s">
        <v>3</v>
      </c>
    </row>
    <row r="3" spans="1:24" x14ac:dyDescent="0.35">
      <c r="A3">
        <f>'Master Player List'!L3</f>
        <v>1</v>
      </c>
      <c r="B3">
        <f>'Master Player List'!M3</f>
        <v>1</v>
      </c>
      <c r="C3" t="str">
        <f>'Master Player List'!C3</f>
        <v xml:space="preserve">Brijalba, Rufus </v>
      </c>
      <c r="D3" t="str">
        <f>'Master Player List'!F3</f>
        <v xml:space="preserve">Peck, Colin </v>
      </c>
      <c r="E3" t="str">
        <f>'Master Player List'!N3</f>
        <v xml:space="preserve">Brijalba, Rufus </v>
      </c>
      <c r="F3" s="251">
        <f>Calcutta!E11</f>
        <v>3200</v>
      </c>
      <c r="G3" s="252" t="str">
        <f>'Master Player List'!J3</f>
        <v>+5.2</v>
      </c>
      <c r="H3" s="252" t="str">
        <f>'Master Player List'!E3</f>
        <v>+3.1</v>
      </c>
      <c r="I3" s="252" t="str">
        <f>'Master Player List'!H3</f>
        <v>+2.1</v>
      </c>
      <c r="L3">
        <v>1</v>
      </c>
      <c r="M3">
        <v>1</v>
      </c>
      <c r="N3" s="251">
        <f>Calcutta!I14</f>
        <v>6260</v>
      </c>
      <c r="O3" t="str">
        <f>Calcutta!J14</f>
        <v xml:space="preserve">Lambert, Jeff </v>
      </c>
      <c r="P3" t="str">
        <f>Calcutta!K14</f>
        <v xml:space="preserve">Aghazadeh, Abdol </v>
      </c>
      <c r="S3">
        <v>1</v>
      </c>
      <c r="T3" t="s">
        <v>20</v>
      </c>
      <c r="U3">
        <v>1</v>
      </c>
      <c r="V3" s="251">
        <f>Calcutta!$N$14</f>
        <v>1120</v>
      </c>
      <c r="W3" t="str">
        <f>Calcutta!O14</f>
        <v xml:space="preserve">Brijalba, Rufus </v>
      </c>
      <c r="X3" t="str">
        <f>Calcutta!P14</f>
        <v xml:space="preserve">Brijalba, Rufus </v>
      </c>
    </row>
    <row r="4" spans="1:24" x14ac:dyDescent="0.35">
      <c r="A4">
        <f>'Master Player List'!L4</f>
        <v>1</v>
      </c>
      <c r="B4">
        <f>'Master Player List'!M4</f>
        <v>2</v>
      </c>
      <c r="C4" t="str">
        <f>'Master Player List'!C4</f>
        <v xml:space="preserve">Paschke, Michael </v>
      </c>
      <c r="D4" t="str">
        <f>'Master Player List'!F4</f>
        <v xml:space="preserve">Montes, Daniel </v>
      </c>
      <c r="E4" t="str">
        <f>'Master Player List'!N4</f>
        <v xml:space="preserve">Edwards, Patric </v>
      </c>
      <c r="F4" s="251">
        <f>Calcutta!E12</f>
        <v>4000</v>
      </c>
      <c r="G4" s="252" t="str">
        <f>'Master Player List'!J4</f>
        <v>+0.7</v>
      </c>
      <c r="H4" s="252">
        <f>'Master Player List'!E4</f>
        <v>3.6</v>
      </c>
      <c r="I4" s="252" t="str">
        <f>'Master Player List'!H4</f>
        <v>+4.3</v>
      </c>
      <c r="L4">
        <v>1</v>
      </c>
      <c r="M4">
        <v>2</v>
      </c>
      <c r="N4" s="251">
        <f>Calcutta!I15</f>
        <v>3755</v>
      </c>
      <c r="O4" t="str">
        <f>Calcutta!J15</f>
        <v xml:space="preserve">Harwood, Michael </v>
      </c>
      <c r="P4" t="str">
        <f>Calcutta!K15</f>
        <v xml:space="preserve">Harwood, Michael </v>
      </c>
      <c r="S4">
        <v>1</v>
      </c>
      <c r="T4" t="s">
        <v>20</v>
      </c>
      <c r="U4">
        <v>2</v>
      </c>
      <c r="V4" s="251">
        <f>Calcutta!$N$15</f>
        <v>670</v>
      </c>
      <c r="W4" t="str">
        <f>Calcutta!O15</f>
        <v xml:space="preserve">Kim, Steven </v>
      </c>
      <c r="X4" t="str">
        <f>Calcutta!P15</f>
        <v xml:space="preserve">Godhania, Vikas </v>
      </c>
    </row>
    <row r="5" spans="1:24" x14ac:dyDescent="0.35">
      <c r="A5">
        <f>'Master Player List'!L5</f>
        <v>1</v>
      </c>
      <c r="B5">
        <f>'Master Player List'!M5</f>
        <v>3</v>
      </c>
      <c r="C5" t="str">
        <f>'Master Player List'!C5</f>
        <v xml:space="preserve">Harwood, Michael </v>
      </c>
      <c r="D5" t="str">
        <f>'Master Player List'!F5</f>
        <v xml:space="preserve">Diaz, Gerry </v>
      </c>
      <c r="E5" t="str">
        <f>'Master Player List'!N5</f>
        <v xml:space="preserve">Harwood, Michael </v>
      </c>
      <c r="F5" s="251">
        <f>Calcutta!E13</f>
        <v>2200</v>
      </c>
      <c r="G5" s="252">
        <f>'Master Player List'!J5</f>
        <v>9.9999999999999978E-2</v>
      </c>
      <c r="H5" s="252" t="str">
        <f>'Master Player List'!E5</f>
        <v>+0.5</v>
      </c>
      <c r="I5" s="252">
        <f>'Master Player List'!H5</f>
        <v>0.6</v>
      </c>
      <c r="L5">
        <v>1</v>
      </c>
      <c r="M5">
        <v>3</v>
      </c>
      <c r="N5" s="251">
        <f>Calcutta!I16</f>
        <v>2505</v>
      </c>
      <c r="O5" t="str">
        <f>Calcutta!J16</f>
        <v xml:space="preserve">Paschke, Michael </v>
      </c>
      <c r="P5" t="str">
        <f>Calcutta!K16</f>
        <v xml:space="preserve">Edwards, Patric </v>
      </c>
      <c r="S5">
        <v>1</v>
      </c>
      <c r="T5" t="s">
        <v>20</v>
      </c>
      <c r="U5">
        <v>3</v>
      </c>
      <c r="V5" s="251">
        <f>Calcutta!$N$16</f>
        <v>445</v>
      </c>
      <c r="W5" t="str">
        <f>Calcutta!O16</f>
        <v xml:space="preserve">Paschke, Michael </v>
      </c>
      <c r="X5" t="str">
        <f>Calcutta!P16</f>
        <v xml:space="preserve">Edwards, Patric </v>
      </c>
    </row>
    <row r="6" spans="1:24" x14ac:dyDescent="0.35">
      <c r="A6">
        <f>'Master Player List'!L6</f>
        <v>1</v>
      </c>
      <c r="B6">
        <f>'Master Player List'!M6</f>
        <v>4</v>
      </c>
      <c r="C6" t="str">
        <f>'Master Player List'!C6</f>
        <v xml:space="preserve">Lambert, Jeff </v>
      </c>
      <c r="D6" t="str">
        <f>'Master Player List'!F6</f>
        <v xml:space="preserve">White, Jason </v>
      </c>
      <c r="E6" t="str">
        <f>'Master Player List'!N6</f>
        <v xml:space="preserve">Aghazadeh, Abdol </v>
      </c>
      <c r="F6" s="251">
        <f>Calcutta!E14</f>
        <v>1900</v>
      </c>
      <c r="G6" s="252">
        <f>'Master Player List'!J6</f>
        <v>1.8</v>
      </c>
      <c r="H6" s="252">
        <f>'Master Player List'!E6</f>
        <v>0.5</v>
      </c>
      <c r="I6" s="252">
        <f>'Master Player List'!H6</f>
        <v>1.3</v>
      </c>
      <c r="L6">
        <v>2</v>
      </c>
      <c r="M6">
        <v>1</v>
      </c>
      <c r="N6" s="251">
        <f>Calcutta!I25</f>
        <v>6380</v>
      </c>
      <c r="O6" t="str">
        <f>Calcutta!J25</f>
        <v xml:space="preserve">Sherman, Michael </v>
      </c>
      <c r="P6" t="str">
        <f>Calcutta!K25</f>
        <v xml:space="preserve">Brymer, Cory </v>
      </c>
      <c r="S6">
        <v>1</v>
      </c>
      <c r="T6" t="s">
        <v>21</v>
      </c>
      <c r="U6">
        <v>1</v>
      </c>
      <c r="V6" s="251">
        <f>Calcutta!$N$14</f>
        <v>1120</v>
      </c>
      <c r="W6" t="str">
        <f>Calcutta!Q14</f>
        <v xml:space="preserve">Paschke, Michael </v>
      </c>
      <c r="X6" t="str">
        <f>Calcutta!R14</f>
        <v xml:space="preserve">Edwards, Patric </v>
      </c>
    </row>
    <row r="7" spans="1:24" x14ac:dyDescent="0.35">
      <c r="A7">
        <f>'Master Player List'!L7</f>
        <v>1</v>
      </c>
      <c r="B7">
        <f>'Master Player List'!M7</f>
        <v>5</v>
      </c>
      <c r="C7" t="str">
        <f>'Master Player List'!C7</f>
        <v xml:space="preserve">Kim, Steven </v>
      </c>
      <c r="D7" t="str">
        <f>'Master Player List'!F7</f>
        <v xml:space="preserve">Kerrigan, Mike </v>
      </c>
      <c r="E7" t="str">
        <f>'Master Player List'!N7</f>
        <v xml:space="preserve">Godhania, Vikas </v>
      </c>
      <c r="F7" s="251">
        <f>Calcutta!E15</f>
        <v>1600</v>
      </c>
      <c r="G7" s="252">
        <f>'Master Player List'!J7</f>
        <v>2.9</v>
      </c>
      <c r="H7" s="252">
        <f>'Master Player List'!E7</f>
        <v>2.8</v>
      </c>
      <c r="I7" s="252">
        <f>'Master Player List'!H7</f>
        <v>0.1</v>
      </c>
      <c r="L7">
        <v>2</v>
      </c>
      <c r="M7">
        <v>2</v>
      </c>
      <c r="N7" s="251">
        <f>Calcutta!I26</f>
        <v>3830</v>
      </c>
      <c r="O7" t="str">
        <f>Calcutta!J26</f>
        <v xml:space="preserve">Fulmer, Austen </v>
      </c>
      <c r="P7" t="str">
        <f>Calcutta!K26</f>
        <v xml:space="preserve">Aghazadeh, Abdol </v>
      </c>
      <c r="S7">
        <v>1</v>
      </c>
      <c r="T7" t="s">
        <v>21</v>
      </c>
      <c r="U7">
        <v>2</v>
      </c>
      <c r="V7" s="251">
        <f>Calcutta!$N$15</f>
        <v>670</v>
      </c>
      <c r="W7" t="str">
        <f>Calcutta!Q15</f>
        <v xml:space="preserve">Paschke, Michael </v>
      </c>
      <c r="X7" t="str">
        <f>Calcutta!R15</f>
        <v xml:space="preserve">Edwards, Patric </v>
      </c>
    </row>
    <row r="8" spans="1:24" x14ac:dyDescent="0.35">
      <c r="A8">
        <f>'Master Player List'!L8</f>
        <v>1</v>
      </c>
      <c r="B8">
        <f>'Master Player List'!M8</f>
        <v>6</v>
      </c>
      <c r="C8" t="str">
        <f>'Master Player List'!C8</f>
        <v xml:space="preserve">Maples, Brent </v>
      </c>
      <c r="D8" t="str">
        <f>'Master Player List'!F8</f>
        <v xml:space="preserve">Buratto, Mark </v>
      </c>
      <c r="E8" t="str">
        <f>'Master Player List'!N8</f>
        <v xml:space="preserve">Maples, Brent </v>
      </c>
      <c r="F8" s="251">
        <f>Calcutta!E16</f>
        <v>2500</v>
      </c>
      <c r="G8" s="252">
        <f>'Master Player List'!J8</f>
        <v>3.8</v>
      </c>
      <c r="H8" s="252" t="str">
        <f>'Master Player List'!E8</f>
        <v>+0.7</v>
      </c>
      <c r="I8" s="252">
        <f>'Master Player List'!H8</f>
        <v>4.5</v>
      </c>
      <c r="L8">
        <v>2</v>
      </c>
      <c r="M8">
        <v>3</v>
      </c>
      <c r="N8" s="251">
        <f>Calcutta!I27</f>
        <v>2550</v>
      </c>
      <c r="O8" t="str">
        <f>Calcutta!J27</f>
        <v xml:space="preserve">Lau, Jason </v>
      </c>
      <c r="P8" t="str">
        <f>Calcutta!K27</f>
        <v xml:space="preserve">Brymer, Cory </v>
      </c>
      <c r="S8">
        <v>1</v>
      </c>
      <c r="T8" t="s">
        <v>21</v>
      </c>
      <c r="U8">
        <v>3</v>
      </c>
      <c r="V8" s="251">
        <f>Calcutta!$N$16</f>
        <v>445</v>
      </c>
      <c r="W8" t="str">
        <f>Calcutta!Q16</f>
        <v xml:space="preserve">Paschke, Michael </v>
      </c>
      <c r="X8" t="str">
        <f>Calcutta!R16</f>
        <v xml:space="preserve">Edwards, Patric </v>
      </c>
    </row>
    <row r="9" spans="1:24" x14ac:dyDescent="0.35">
      <c r="A9">
        <f>'Master Player List'!L9</f>
        <v>1</v>
      </c>
      <c r="B9">
        <f>'Master Player List'!M9</f>
        <v>7</v>
      </c>
      <c r="C9" t="str">
        <f>'Master Player List'!C9</f>
        <v xml:space="preserve">Darter, Bret </v>
      </c>
      <c r="D9" t="str">
        <f>'Master Player List'!F9</f>
        <v xml:space="preserve">Caldwell, Trey </v>
      </c>
      <c r="E9" t="str">
        <f>'Master Player List'!N9</f>
        <v xml:space="preserve">Darter, Bret </v>
      </c>
      <c r="F9" s="251">
        <f>Calcutta!E17</f>
        <v>2200</v>
      </c>
      <c r="G9" s="252">
        <f>'Master Player List'!J9</f>
        <v>4.0999999999999996</v>
      </c>
      <c r="H9" s="252">
        <f>'Master Player List'!E9</f>
        <v>0.2</v>
      </c>
      <c r="I9" s="252">
        <f>'Master Player List'!H9</f>
        <v>3.9</v>
      </c>
      <c r="L9">
        <v>3</v>
      </c>
      <c r="M9">
        <v>1</v>
      </c>
      <c r="N9" s="251">
        <f>Calcutta!I36</f>
        <v>4060</v>
      </c>
      <c r="O9">
        <f>Calcutta!J36</f>
        <v>0</v>
      </c>
      <c r="P9" t="e">
        <f>Calcutta!K36</f>
        <v>#N/A</v>
      </c>
      <c r="S9">
        <v>1</v>
      </c>
      <c r="T9" t="s">
        <v>22</v>
      </c>
      <c r="U9">
        <v>1</v>
      </c>
      <c r="V9" s="251">
        <f>Calcutta!$N$14</f>
        <v>1120</v>
      </c>
      <c r="W9" t="str">
        <f>Calcutta!S14</f>
        <v xml:space="preserve">Paschke, Michael </v>
      </c>
      <c r="X9" t="str">
        <f>Calcutta!T14</f>
        <v xml:space="preserve">Edwards, Patric </v>
      </c>
    </row>
    <row r="10" spans="1:24" x14ac:dyDescent="0.35">
      <c r="A10">
        <f>'Master Player List'!L10</f>
        <v>1</v>
      </c>
      <c r="B10">
        <f>'Master Player List'!M10</f>
        <v>8</v>
      </c>
      <c r="C10" t="str">
        <f>'Master Player List'!C10</f>
        <v xml:space="preserve">Black, Gene </v>
      </c>
      <c r="D10" t="str">
        <f>'Master Player List'!F10</f>
        <v xml:space="preserve">Tilson, Scott </v>
      </c>
      <c r="E10" t="str">
        <f>'Master Player List'!N10</f>
        <v xml:space="preserve">Vidrine, Scot </v>
      </c>
      <c r="F10" s="251">
        <f>Calcutta!E18</f>
        <v>3000</v>
      </c>
      <c r="G10" s="252">
        <f>'Master Player List'!J10</f>
        <v>4.5</v>
      </c>
      <c r="H10" s="252">
        <f>'Master Player List'!E10</f>
        <v>3.1</v>
      </c>
      <c r="I10" s="252">
        <f>'Master Player List'!H10</f>
        <v>1.4</v>
      </c>
      <c r="L10">
        <v>3</v>
      </c>
      <c r="M10">
        <v>2</v>
      </c>
      <c r="N10" s="251">
        <f>Calcutta!I37</f>
        <v>2435</v>
      </c>
      <c r="O10" t="str">
        <f>Calcutta!J37</f>
        <v xml:space="preserve">Hill, Justin </v>
      </c>
      <c r="P10" t="str">
        <f>Calcutta!K37</f>
        <v xml:space="preserve">Vidrine, Scot </v>
      </c>
      <c r="S10">
        <v>1</v>
      </c>
      <c r="T10" t="s">
        <v>22</v>
      </c>
      <c r="U10">
        <v>2</v>
      </c>
      <c r="V10" s="251">
        <f>Calcutta!$N$15</f>
        <v>670</v>
      </c>
      <c r="W10" t="str">
        <f>Calcutta!S15</f>
        <v xml:space="preserve">Kim, Steven </v>
      </c>
      <c r="X10" t="str">
        <f>Calcutta!T15</f>
        <v xml:space="preserve">Godhania, Vikas </v>
      </c>
    </row>
    <row r="11" spans="1:24" x14ac:dyDescent="0.35">
      <c r="A11">
        <f>'Master Player List'!L11</f>
        <v>2</v>
      </c>
      <c r="B11">
        <f>'Master Player List'!M11</f>
        <v>1</v>
      </c>
      <c r="C11" t="str">
        <f>'Master Player List'!C11</f>
        <v xml:space="preserve">Lau, Jason </v>
      </c>
      <c r="D11" t="str">
        <f>'Master Player List'!F11</f>
        <v xml:space="preserve">Martin, Aaron </v>
      </c>
      <c r="E11" t="str">
        <f>'Master Player List'!N11</f>
        <v xml:space="preserve">Brymer, Cory </v>
      </c>
      <c r="F11" s="251">
        <f>Calcutta!E22</f>
        <v>2600</v>
      </c>
      <c r="G11" s="252">
        <f>'Master Player List'!J11</f>
        <v>4.6000000000000005</v>
      </c>
      <c r="H11" s="252">
        <f>'Master Player List'!E11</f>
        <v>4.7</v>
      </c>
      <c r="I11" s="252" t="str">
        <f>'Master Player List'!H11</f>
        <v>+0.1</v>
      </c>
      <c r="L11">
        <v>3</v>
      </c>
      <c r="M11">
        <v>3</v>
      </c>
      <c r="N11" s="251">
        <f>Calcutta!I38</f>
        <v>1625</v>
      </c>
      <c r="O11">
        <f>Calcutta!J38</f>
        <v>0</v>
      </c>
      <c r="P11" t="e">
        <f>Calcutta!K38</f>
        <v>#N/A</v>
      </c>
      <c r="S11">
        <v>1</v>
      </c>
      <c r="T11" t="s">
        <v>22</v>
      </c>
      <c r="U11">
        <v>3</v>
      </c>
      <c r="V11" s="251">
        <f>Calcutta!$N$16</f>
        <v>445</v>
      </c>
      <c r="W11" t="str">
        <f>Calcutta!S16</f>
        <v xml:space="preserve">Paschke, Michael </v>
      </c>
      <c r="X11" t="str">
        <f>Calcutta!T16</f>
        <v xml:space="preserve">Edwards, Patric </v>
      </c>
    </row>
    <row r="12" spans="1:24" x14ac:dyDescent="0.35">
      <c r="A12">
        <f>'Master Player List'!L12</f>
        <v>2</v>
      </c>
      <c r="B12">
        <f>'Master Player List'!M12</f>
        <v>2</v>
      </c>
      <c r="C12" t="str">
        <f>'Master Player List'!C12</f>
        <v xml:space="preserve">Peterson, Erik </v>
      </c>
      <c r="D12" t="str">
        <f>'Master Player List'!F12</f>
        <v xml:space="preserve">Ferrell, Ryan </v>
      </c>
      <c r="E12" t="str">
        <f>'Master Player List'!N12</f>
        <v xml:space="preserve">Aghazadeh, Abdol </v>
      </c>
      <c r="F12" s="251">
        <f>Calcutta!E23</f>
        <v>2200</v>
      </c>
      <c r="G12" s="252">
        <f>'Master Player List'!J12</f>
        <v>5</v>
      </c>
      <c r="H12" s="252">
        <f>'Master Player List'!E12</f>
        <v>0</v>
      </c>
      <c r="I12" s="252">
        <f>'Master Player List'!H12</f>
        <v>5</v>
      </c>
      <c r="L12">
        <v>4</v>
      </c>
      <c r="M12">
        <v>1</v>
      </c>
      <c r="N12" s="251">
        <f>Calcutta!I47</f>
        <v>5925</v>
      </c>
      <c r="O12" t="str">
        <f>Calcutta!J47</f>
        <v xml:space="preserve">Dietz, Jeffrey </v>
      </c>
      <c r="P12" t="str">
        <f>Calcutta!K47</f>
        <v xml:space="preserve">Aghazadeh, Abdol </v>
      </c>
      <c r="S12">
        <v>2</v>
      </c>
      <c r="T12" t="s">
        <v>20</v>
      </c>
      <c r="U12">
        <v>1</v>
      </c>
      <c r="V12" s="251">
        <f>Calcutta!$N$25</f>
        <v>1145</v>
      </c>
      <c r="W12" t="str">
        <f>Calcutta!O25</f>
        <v xml:space="preserve">Escobar, Rafael </v>
      </c>
      <c r="X12" t="str">
        <f>Calcutta!P25</f>
        <v xml:space="preserve">Bohnen, John </v>
      </c>
    </row>
    <row r="13" spans="1:24" x14ac:dyDescent="0.35">
      <c r="A13">
        <f>'Master Player List'!L13</f>
        <v>2</v>
      </c>
      <c r="B13">
        <f>'Master Player List'!M13</f>
        <v>3</v>
      </c>
      <c r="C13" t="str">
        <f>'Master Player List'!C13</f>
        <v xml:space="preserve">Fulmer, Austen </v>
      </c>
      <c r="D13" t="str">
        <f>'Master Player List'!F13</f>
        <v xml:space="preserve">Pacheco, Jeremy </v>
      </c>
      <c r="E13" t="str">
        <f>'Master Player List'!N13</f>
        <v xml:space="preserve">Aghazadeh, Abdol </v>
      </c>
      <c r="F13" s="251">
        <f>Calcutta!E24</f>
        <v>2800</v>
      </c>
      <c r="G13" s="252">
        <f>'Master Player List'!J13</f>
        <v>5.0999999999999996</v>
      </c>
      <c r="H13" s="252" t="str">
        <f>'Master Player List'!E13</f>
        <v>+3.4</v>
      </c>
      <c r="I13" s="252">
        <f>'Master Player List'!H13</f>
        <v>8.5</v>
      </c>
      <c r="L13">
        <v>4</v>
      </c>
      <c r="M13">
        <v>2</v>
      </c>
      <c r="N13" s="251">
        <f>Calcutta!I48</f>
        <v>3555</v>
      </c>
      <c r="O13" t="str">
        <f>Calcutta!J48</f>
        <v xml:space="preserve">Tionloc, Alex </v>
      </c>
      <c r="P13" t="str">
        <f>Calcutta!K48</f>
        <v xml:space="preserve">Vidrine, Scot </v>
      </c>
      <c r="S13">
        <v>2</v>
      </c>
      <c r="T13" t="s">
        <v>20</v>
      </c>
      <c r="U13">
        <v>2</v>
      </c>
      <c r="V13" s="251">
        <f>Calcutta!$N$26</f>
        <v>685</v>
      </c>
      <c r="W13" t="str">
        <f>Calcutta!O26</f>
        <v xml:space="preserve">Sherman, Michael </v>
      </c>
      <c r="X13" t="str">
        <f>Calcutta!P26</f>
        <v xml:space="preserve">Brymer, Cory </v>
      </c>
    </row>
    <row r="14" spans="1:24" x14ac:dyDescent="0.35">
      <c r="A14">
        <f>'Master Player List'!L14</f>
        <v>2</v>
      </c>
      <c r="B14">
        <f>'Master Player List'!M14</f>
        <v>4</v>
      </c>
      <c r="C14" t="str">
        <f>'Master Player List'!C14</f>
        <v xml:space="preserve">Escobar, Rafael </v>
      </c>
      <c r="D14" t="str">
        <f>'Master Player List'!F14</f>
        <v xml:space="preserve">Gillmor, Rob </v>
      </c>
      <c r="E14" t="str">
        <f>'Master Player List'!N14</f>
        <v xml:space="preserve">Bohnen, John </v>
      </c>
      <c r="F14" s="251">
        <f>Calcutta!E25</f>
        <v>1800</v>
      </c>
      <c r="G14" s="252">
        <f>'Master Player List'!J14</f>
        <v>6</v>
      </c>
      <c r="H14" s="252">
        <f>'Master Player List'!E14</f>
        <v>1.5</v>
      </c>
      <c r="I14" s="252">
        <f>'Master Player List'!H14</f>
        <v>4.5</v>
      </c>
      <c r="L14">
        <v>4</v>
      </c>
      <c r="M14">
        <v>3</v>
      </c>
      <c r="N14" s="251">
        <f>Calcutta!I49</f>
        <v>2370</v>
      </c>
      <c r="O14" t="str">
        <f>Calcutta!J49</f>
        <v xml:space="preserve">Redding, Scott </v>
      </c>
      <c r="P14" t="str">
        <f>Calcutta!K49</f>
        <v xml:space="preserve">Vaughn, Earl </v>
      </c>
      <c r="S14">
        <v>2</v>
      </c>
      <c r="T14" t="s">
        <v>20</v>
      </c>
      <c r="U14">
        <v>3</v>
      </c>
      <c r="V14" s="251">
        <f>Calcutta!$N$27</f>
        <v>455</v>
      </c>
      <c r="W14" t="str">
        <f>Calcutta!O27</f>
        <v xml:space="preserve">Peterson, Erik </v>
      </c>
      <c r="X14" t="str">
        <f>Calcutta!P27</f>
        <v xml:space="preserve">Aghazadeh, Abdol </v>
      </c>
    </row>
    <row r="15" spans="1:24" x14ac:dyDescent="0.35">
      <c r="A15">
        <f>'Master Player List'!L15</f>
        <v>2</v>
      </c>
      <c r="B15">
        <f>'Master Player List'!M15</f>
        <v>5</v>
      </c>
      <c r="C15" t="str">
        <f>'Master Player List'!C15</f>
        <v xml:space="preserve">Bellomio, Ron </v>
      </c>
      <c r="D15" t="str">
        <f>'Master Player List'!F15</f>
        <v xml:space="preserve">Boles, John </v>
      </c>
      <c r="E15" t="str">
        <f>'Master Player List'!N15</f>
        <v xml:space="preserve">Bellomio, Ron </v>
      </c>
      <c r="F15" s="251">
        <f>Calcutta!E26</f>
        <v>3000</v>
      </c>
      <c r="G15" s="252">
        <f>'Master Player List'!J15</f>
        <v>6.1</v>
      </c>
      <c r="H15" s="252">
        <f>'Master Player List'!E15</f>
        <v>3.2</v>
      </c>
      <c r="I15" s="252">
        <f>'Master Player List'!H15</f>
        <v>2.9</v>
      </c>
      <c r="L15">
        <v>5</v>
      </c>
      <c r="M15">
        <v>1</v>
      </c>
      <c r="N15" s="251">
        <f>Calcutta!I58</f>
        <v>3635</v>
      </c>
      <c r="O15" t="str">
        <f>Calcutta!J58</f>
        <v xml:space="preserve">Butler, Gregory </v>
      </c>
      <c r="P15" t="str">
        <f>Calcutta!K58</f>
        <v xml:space="preserve">Capone, Michael </v>
      </c>
      <c r="S15">
        <v>2</v>
      </c>
      <c r="T15" t="s">
        <v>21</v>
      </c>
      <c r="U15">
        <v>1</v>
      </c>
      <c r="V15" s="251">
        <f>Calcutta!$N$25</f>
        <v>1145</v>
      </c>
      <c r="W15">
        <f>Calcutta!Q25</f>
        <v>0</v>
      </c>
      <c r="X15" t="e">
        <f>Calcutta!R25</f>
        <v>#N/A</v>
      </c>
    </row>
    <row r="16" spans="1:24" x14ac:dyDescent="0.35">
      <c r="A16">
        <f>'Master Player List'!L16</f>
        <v>2</v>
      </c>
      <c r="B16">
        <f>'Master Player List'!M16</f>
        <v>6</v>
      </c>
      <c r="C16" t="str">
        <f>'Master Player List'!C16</f>
        <v xml:space="preserve">Vaughn, Earl </v>
      </c>
      <c r="D16" t="str">
        <f>'Master Player List'!F16</f>
        <v xml:space="preserve">Cowden, Cole </v>
      </c>
      <c r="E16" t="str">
        <f>'Master Player List'!N16</f>
        <v xml:space="preserve">Godhania, Vikas </v>
      </c>
      <c r="F16" s="251">
        <f>Calcutta!E27</f>
        <v>5000</v>
      </c>
      <c r="G16" s="252">
        <f>'Master Player List'!J16</f>
        <v>6.6</v>
      </c>
      <c r="H16" s="252">
        <f>'Master Player List'!E16</f>
        <v>2.9</v>
      </c>
      <c r="I16" s="252">
        <f>'Master Player List'!H16</f>
        <v>3.7</v>
      </c>
      <c r="L16">
        <v>5</v>
      </c>
      <c r="M16">
        <v>2</v>
      </c>
      <c r="N16" s="251">
        <f>Calcutta!I59</f>
        <v>2180</v>
      </c>
      <c r="O16" t="str">
        <f>Calcutta!J59</f>
        <v xml:space="preserve">Turner, Trevor </v>
      </c>
      <c r="P16" t="str">
        <f>Calcutta!K59</f>
        <v xml:space="preserve">Fulmer, Austen </v>
      </c>
      <c r="S16">
        <v>2</v>
      </c>
      <c r="T16" t="s">
        <v>21</v>
      </c>
      <c r="U16">
        <v>2</v>
      </c>
      <c r="V16" s="251">
        <f>Calcutta!$N$26</f>
        <v>685</v>
      </c>
      <c r="W16" t="str">
        <f>Calcutta!Q26</f>
        <v xml:space="preserve">Bellomio, Ron </v>
      </c>
      <c r="X16" t="str">
        <f>Calcutta!R26</f>
        <v xml:space="preserve">Bellomio, Ron </v>
      </c>
    </row>
    <row r="17" spans="1:24" x14ac:dyDescent="0.35">
      <c r="A17">
        <f>'Master Player List'!L17</f>
        <v>2</v>
      </c>
      <c r="B17">
        <f>'Master Player List'!M17</f>
        <v>7</v>
      </c>
      <c r="C17" t="str">
        <f>'Master Player List'!C17</f>
        <v xml:space="preserve">Jain, Nitin </v>
      </c>
      <c r="D17" t="str">
        <f>'Master Player List'!F17</f>
        <v xml:space="preserve">Friggle, Scott </v>
      </c>
      <c r="E17" t="str">
        <f>'Master Player List'!N17</f>
        <v xml:space="preserve">Wedgeworth, Cliff </v>
      </c>
      <c r="F17" s="251">
        <f>Calcutta!E28</f>
        <v>1200</v>
      </c>
      <c r="G17" s="252">
        <f>'Master Player List'!J17</f>
        <v>7.5</v>
      </c>
      <c r="H17" s="252">
        <f>'Master Player List'!E17</f>
        <v>7.5</v>
      </c>
      <c r="I17" s="252">
        <f>'Master Player List'!H17</f>
        <v>0</v>
      </c>
      <c r="L17">
        <v>5</v>
      </c>
      <c r="M17">
        <v>3</v>
      </c>
      <c r="N17" s="251">
        <f>Calcutta!I60</f>
        <v>1450</v>
      </c>
      <c r="O17" t="str">
        <f>Calcutta!J60</f>
        <v xml:space="preserve">Scott, Paul </v>
      </c>
      <c r="P17" t="str">
        <f>Calcutta!K60</f>
        <v xml:space="preserve">Schnautz, David </v>
      </c>
      <c r="S17">
        <v>2</v>
      </c>
      <c r="T17" t="s">
        <v>21</v>
      </c>
      <c r="U17">
        <v>3</v>
      </c>
      <c r="V17" s="251">
        <f>Calcutta!$N$27</f>
        <v>455</v>
      </c>
      <c r="W17" t="str">
        <f>Calcutta!Q27</f>
        <v xml:space="preserve">Sherman, Michael </v>
      </c>
      <c r="X17" t="str">
        <f>Calcutta!R27</f>
        <v xml:space="preserve">Brymer, Cory </v>
      </c>
    </row>
    <row r="18" spans="1:24" x14ac:dyDescent="0.35">
      <c r="A18">
        <f>'Master Player List'!L18</f>
        <v>2</v>
      </c>
      <c r="B18">
        <f>'Master Player List'!M18</f>
        <v>8</v>
      </c>
      <c r="C18" t="str">
        <f>'Master Player List'!C18</f>
        <v xml:space="preserve">Purslow, Brock </v>
      </c>
      <c r="D18" t="str">
        <f>'Master Player List'!F18</f>
        <v xml:space="preserve">Thompson, Brad </v>
      </c>
      <c r="E18" t="str">
        <f>'Master Player List'!N18</f>
        <v xml:space="preserve">Drain, Zip </v>
      </c>
      <c r="F18" s="251">
        <f>Calcutta!E29</f>
        <v>2400</v>
      </c>
      <c r="G18" s="252">
        <f>'Master Player List'!J18</f>
        <v>7.6</v>
      </c>
      <c r="H18" s="252">
        <f>'Master Player List'!E18</f>
        <v>0</v>
      </c>
      <c r="I18" s="252">
        <f>'Master Player List'!H18</f>
        <v>7.6</v>
      </c>
      <c r="L18">
        <v>6</v>
      </c>
      <c r="M18">
        <v>1</v>
      </c>
      <c r="N18" s="251">
        <f>Calcutta!I69</f>
        <v>3450</v>
      </c>
      <c r="O18" t="str">
        <f>Calcutta!J69</f>
        <v xml:space="preserve">Sawyer, Ryan </v>
      </c>
      <c r="P18" t="str">
        <f>Calcutta!K69</f>
        <v xml:space="preserve">Fulmer, Austen </v>
      </c>
      <c r="S18">
        <v>2</v>
      </c>
      <c r="T18" t="s">
        <v>22</v>
      </c>
      <c r="U18">
        <v>1</v>
      </c>
      <c r="V18" s="251">
        <f>Calcutta!$N$25</f>
        <v>1145</v>
      </c>
      <c r="W18" t="str">
        <f>Calcutta!S25</f>
        <v xml:space="preserve">Sherman, Michael </v>
      </c>
      <c r="X18" t="str">
        <f>Calcutta!T25</f>
        <v xml:space="preserve">Brymer, Cory </v>
      </c>
    </row>
    <row r="19" spans="1:24" x14ac:dyDescent="0.35">
      <c r="A19">
        <f>'Master Player List'!L19</f>
        <v>3</v>
      </c>
      <c r="B19">
        <f>'Master Player List'!M19</f>
        <v>1</v>
      </c>
      <c r="C19" t="str">
        <f>'Master Player List'!C19</f>
        <v xml:space="preserve">Esau, Nickolai </v>
      </c>
      <c r="D19" t="str">
        <f>'Master Player List'!F19</f>
        <v xml:space="preserve">Esau, Rex </v>
      </c>
      <c r="E19" t="str">
        <f>'Master Player List'!N19</f>
        <v xml:space="preserve">Bohnen, John </v>
      </c>
      <c r="F19" s="251">
        <f>Calcutta!E33</f>
        <v>1100</v>
      </c>
      <c r="G19" s="252">
        <f>'Master Player List'!J19</f>
        <v>8.8000000000000007</v>
      </c>
      <c r="H19" s="252" t="str">
        <f>'Master Player List'!E19</f>
        <v>+1</v>
      </c>
      <c r="I19" s="252">
        <f>'Master Player List'!H19</f>
        <v>9.8000000000000007</v>
      </c>
      <c r="L19">
        <v>6</v>
      </c>
      <c r="M19">
        <v>2</v>
      </c>
      <c r="N19" s="251">
        <f>Calcutta!I70</f>
        <v>2070</v>
      </c>
      <c r="O19">
        <f>Calcutta!J70</f>
        <v>0</v>
      </c>
      <c r="P19" t="e">
        <f>Calcutta!K70</f>
        <v>#N/A</v>
      </c>
      <c r="S19">
        <v>2</v>
      </c>
      <c r="T19" t="s">
        <v>22</v>
      </c>
      <c r="U19">
        <v>2</v>
      </c>
      <c r="V19" s="251">
        <f>Calcutta!$N$26</f>
        <v>685</v>
      </c>
      <c r="W19" t="str">
        <f>Calcutta!S26</f>
        <v xml:space="preserve">Purslow, Brock </v>
      </c>
      <c r="X19" t="str">
        <f>Calcutta!T26</f>
        <v xml:space="preserve">Drain, Zip </v>
      </c>
    </row>
    <row r="20" spans="1:24" x14ac:dyDescent="0.35">
      <c r="A20">
        <f>'Master Player List'!L20</f>
        <v>3</v>
      </c>
      <c r="B20">
        <f>'Master Player List'!M20</f>
        <v>2</v>
      </c>
      <c r="C20" t="str">
        <f>'Master Player List'!C20</f>
        <v xml:space="preserve">Scott, Jonathan </v>
      </c>
      <c r="D20" t="str">
        <f>'Master Player List'!F20</f>
        <v xml:space="preserve">McGowan, Marshall </v>
      </c>
      <c r="E20" t="str">
        <f>'Master Player List'!N20</f>
        <v xml:space="preserve">Scott, Jonathan </v>
      </c>
      <c r="F20" s="251">
        <f>Calcutta!E34</f>
        <v>1100</v>
      </c>
      <c r="G20" s="252">
        <f>'Master Player List'!J20</f>
        <v>9</v>
      </c>
      <c r="H20" s="252">
        <f>'Master Player List'!E20</f>
        <v>2.4</v>
      </c>
      <c r="I20" s="252">
        <f>'Master Player List'!H20</f>
        <v>6.6</v>
      </c>
      <c r="L20">
        <v>6</v>
      </c>
      <c r="M20">
        <v>3</v>
      </c>
      <c r="N20" s="251">
        <f>Calcutta!I71</f>
        <v>1380</v>
      </c>
      <c r="O20" t="str">
        <f>Calcutta!J71</f>
        <v xml:space="preserve">O'Farrell, Patrick </v>
      </c>
      <c r="P20" t="str">
        <f>Calcutta!K71</f>
        <v>Drain, Zip</v>
      </c>
      <c r="S20">
        <v>2</v>
      </c>
      <c r="T20" t="s">
        <v>22</v>
      </c>
      <c r="U20">
        <v>3</v>
      </c>
      <c r="V20" s="251">
        <f>Calcutta!$N$27</f>
        <v>455</v>
      </c>
      <c r="W20">
        <f>Calcutta!S27</f>
        <v>0</v>
      </c>
      <c r="X20" t="e">
        <f>Calcutta!T27</f>
        <v>#N/A</v>
      </c>
    </row>
    <row r="21" spans="1:24" x14ac:dyDescent="0.35">
      <c r="A21">
        <f>'Master Player List'!L21</f>
        <v>3</v>
      </c>
      <c r="B21">
        <f>'Master Player List'!M21</f>
        <v>3</v>
      </c>
      <c r="C21" t="str">
        <f>'Master Player List'!C21</f>
        <v xml:space="preserve">Hill, Justin </v>
      </c>
      <c r="D21" t="str">
        <f>'Master Player List'!F21</f>
        <v xml:space="preserve">Bobbitt, Jason </v>
      </c>
      <c r="E21" t="str">
        <f>'Master Player List'!N21</f>
        <v xml:space="preserve">Vidrine, Scot </v>
      </c>
      <c r="F21" s="251">
        <f>Calcutta!E35</f>
        <v>1900</v>
      </c>
      <c r="G21" s="252">
        <f>'Master Player List'!J21</f>
        <v>9.1</v>
      </c>
      <c r="H21" s="252">
        <f>'Master Player List'!E21</f>
        <v>9.1999999999999993</v>
      </c>
      <c r="I21" s="252" t="str">
        <f>'Master Player List'!H21</f>
        <v>+0.1</v>
      </c>
      <c r="L21">
        <v>7</v>
      </c>
      <c r="M21">
        <v>1</v>
      </c>
      <c r="N21" s="251">
        <f>Calcutta!I80</f>
        <v>3115</v>
      </c>
      <c r="O21" t="str">
        <f>Calcutta!J80</f>
        <v xml:space="preserve">Godhania, Vikas </v>
      </c>
      <c r="P21" t="str">
        <f>Calcutta!K80</f>
        <v xml:space="preserve">Edwards, Patric </v>
      </c>
      <c r="S21">
        <v>3</v>
      </c>
      <c r="T21" t="s">
        <v>20</v>
      </c>
      <c r="U21">
        <v>1</v>
      </c>
      <c r="V21" s="251">
        <f>Calcutta!$N$36</f>
        <v>725</v>
      </c>
      <c r="W21">
        <f>Calcutta!O36</f>
        <v>0</v>
      </c>
      <c r="X21" t="e">
        <f>Calcutta!P36</f>
        <v>#N/A</v>
      </c>
    </row>
    <row r="22" spans="1:24" x14ac:dyDescent="0.35">
      <c r="A22">
        <f>'Master Player List'!L22</f>
        <v>3</v>
      </c>
      <c r="B22">
        <f>'Master Player List'!M22</f>
        <v>4</v>
      </c>
      <c r="C22" t="str">
        <f>'Master Player List'!C22</f>
        <v xml:space="preserve">Ramirez, David </v>
      </c>
      <c r="D22" t="str">
        <f>'Master Player List'!F22</f>
        <v xml:space="preserve">May, Jason </v>
      </c>
      <c r="E22" t="str">
        <f>'Master Player List'!N22</f>
        <v xml:space="preserve">Aghazadeh, Abdol </v>
      </c>
      <c r="F22" s="251">
        <f>Calcutta!E36</f>
        <v>2100</v>
      </c>
      <c r="G22" s="252">
        <f>'Master Player List'!J22</f>
        <v>9.1999999999999993</v>
      </c>
      <c r="H22" s="252">
        <f>'Master Player List'!E22</f>
        <v>3.5</v>
      </c>
      <c r="I22" s="252">
        <f>'Master Player List'!H22</f>
        <v>5.7</v>
      </c>
      <c r="L22">
        <v>7</v>
      </c>
      <c r="M22">
        <v>2</v>
      </c>
      <c r="N22" s="251">
        <f>Calcutta!I81</f>
        <v>1865</v>
      </c>
      <c r="O22" t="str">
        <f>Calcutta!J81</f>
        <v xml:space="preserve">Rzepniewski, Jason </v>
      </c>
      <c r="P22" t="str">
        <f>Calcutta!K81</f>
        <v xml:space="preserve">Rzepniewski, Jason </v>
      </c>
      <c r="S22">
        <v>3</v>
      </c>
      <c r="T22" t="s">
        <v>20</v>
      </c>
      <c r="U22">
        <v>2</v>
      </c>
      <c r="V22" s="251">
        <f>Calcutta!$N$37</f>
        <v>435</v>
      </c>
      <c r="W22">
        <f>Calcutta!O37</f>
        <v>0</v>
      </c>
      <c r="X22" t="e">
        <f>Calcutta!P37</f>
        <v>#N/A</v>
      </c>
    </row>
    <row r="23" spans="1:24" x14ac:dyDescent="0.35">
      <c r="A23">
        <f>'Master Player List'!L23</f>
        <v>3</v>
      </c>
      <c r="B23">
        <f>'Master Player List'!M23</f>
        <v>5</v>
      </c>
      <c r="C23" t="str">
        <f>'Master Player List'!C23</f>
        <v xml:space="preserve">Kellner, Timothy </v>
      </c>
      <c r="D23" t="str">
        <f>'Master Player List'!F23</f>
        <v xml:space="preserve">Flinn, Kyle </v>
      </c>
      <c r="E23" t="str">
        <f>'Master Player List'!N23</f>
        <v xml:space="preserve">Vaughn, Earl </v>
      </c>
      <c r="F23" s="251">
        <f>Calcutta!E37</f>
        <v>2100</v>
      </c>
      <c r="G23" s="252">
        <f>'Master Player List'!J23</f>
        <v>9.5</v>
      </c>
      <c r="H23" s="252">
        <f>'Master Player List'!E23</f>
        <v>1.5</v>
      </c>
      <c r="I23" s="252">
        <f>'Master Player List'!H23</f>
        <v>8</v>
      </c>
      <c r="L23">
        <v>7</v>
      </c>
      <c r="M23">
        <v>3</v>
      </c>
      <c r="N23" s="251">
        <f>Calcutta!I82</f>
        <v>1245</v>
      </c>
      <c r="O23" t="str">
        <f>Calcutta!J82</f>
        <v xml:space="preserve">Toombs, Chris </v>
      </c>
      <c r="P23" t="str">
        <f>Calcutta!K82</f>
        <v xml:space="preserve">Parent, Brian </v>
      </c>
      <c r="S23">
        <v>3</v>
      </c>
      <c r="T23" t="s">
        <v>20</v>
      </c>
      <c r="U23">
        <v>3</v>
      </c>
      <c r="V23" s="251">
        <f>Calcutta!$N$38</f>
        <v>290</v>
      </c>
      <c r="W23" t="str">
        <f>Calcutta!O38</f>
        <v xml:space="preserve">Scott, Jonathan </v>
      </c>
      <c r="X23" t="str">
        <f>Calcutta!P38</f>
        <v xml:space="preserve">Scott, Jonathan </v>
      </c>
    </row>
    <row r="24" spans="1:24" x14ac:dyDescent="0.35">
      <c r="A24">
        <f>'Master Player List'!L24</f>
        <v>3</v>
      </c>
      <c r="B24">
        <f>'Master Player List'!M24</f>
        <v>6</v>
      </c>
      <c r="C24" t="str">
        <f>'Master Player List'!C24</f>
        <v xml:space="preserve">Kromis, Daniel </v>
      </c>
      <c r="D24" t="str">
        <f>'Master Player List'!F24</f>
        <v xml:space="preserve">Wilson, David </v>
      </c>
      <c r="E24" t="str">
        <f>'Master Player List'!N24</f>
        <v xml:space="preserve">Kromis, Daniel </v>
      </c>
      <c r="F24" s="251">
        <f>Calcutta!E38</f>
        <v>1800</v>
      </c>
      <c r="G24" s="252">
        <f>'Master Player List'!J24</f>
        <v>9.6999999999999993</v>
      </c>
      <c r="H24" s="252">
        <f>'Master Player List'!E24</f>
        <v>4.5</v>
      </c>
      <c r="I24" s="252">
        <f>'Master Player List'!H24</f>
        <v>5.2</v>
      </c>
      <c r="L24">
        <v>8</v>
      </c>
      <c r="M24">
        <v>1</v>
      </c>
      <c r="N24" s="251">
        <f>Calcutta!I91</f>
        <v>2810</v>
      </c>
      <c r="O24" t="str">
        <f>Calcutta!J91</f>
        <v xml:space="preserve">McDonald, David </v>
      </c>
      <c r="P24" t="str">
        <f>Calcutta!K91</f>
        <v xml:space="preserve">Schnautz, David </v>
      </c>
      <c r="S24">
        <v>3</v>
      </c>
      <c r="T24" t="s">
        <v>21</v>
      </c>
      <c r="U24">
        <v>1</v>
      </c>
      <c r="V24" s="251">
        <f>Calcutta!$N$36</f>
        <v>725</v>
      </c>
      <c r="W24">
        <f>Calcutta!Q36</f>
        <v>0</v>
      </c>
      <c r="X24" t="e">
        <f>Calcutta!R36</f>
        <v>#N/A</v>
      </c>
    </row>
    <row r="25" spans="1:24" x14ac:dyDescent="0.35">
      <c r="A25">
        <f>'Master Player List'!L25</f>
        <v>3</v>
      </c>
      <c r="B25">
        <f>'Master Player List'!M25</f>
        <v>7</v>
      </c>
      <c r="C25" t="str">
        <f>'Master Player List'!C25</f>
        <v xml:space="preserve">Sherman, Michael </v>
      </c>
      <c r="D25" t="str">
        <f>'Master Player List'!F25</f>
        <v xml:space="preserve">Elvers, Nate </v>
      </c>
      <c r="E25" t="str">
        <f>'Master Player List'!N25</f>
        <v xml:space="preserve">Brymer, Cory </v>
      </c>
      <c r="F25" s="251">
        <f>Calcutta!E39</f>
        <v>1900</v>
      </c>
      <c r="G25" s="252">
        <f>'Master Player List'!J25</f>
        <v>10.3</v>
      </c>
      <c r="H25" s="252">
        <f>'Master Player List'!E25</f>
        <v>7.5</v>
      </c>
      <c r="I25" s="252">
        <f>'Master Player List'!H25</f>
        <v>2.8</v>
      </c>
      <c r="L25">
        <v>8</v>
      </c>
      <c r="M25">
        <v>2</v>
      </c>
      <c r="N25" s="251">
        <f>Calcutta!I92</f>
        <v>1685</v>
      </c>
      <c r="O25" t="str">
        <f>Calcutta!J92</f>
        <v xml:space="preserve">Korndorffer, Blake </v>
      </c>
      <c r="P25" t="str">
        <f>Calcutta!K92</f>
        <v xml:space="preserve">Aghazadeh, Abdol </v>
      </c>
      <c r="S25">
        <v>3</v>
      </c>
      <c r="T25" t="s">
        <v>21</v>
      </c>
      <c r="U25">
        <v>2</v>
      </c>
      <c r="V25" s="251">
        <f>Calcutta!$N$37</f>
        <v>435</v>
      </c>
      <c r="W25">
        <f>Calcutta!Q37</f>
        <v>0</v>
      </c>
      <c r="X25" t="e">
        <f>Calcutta!R37</f>
        <v>#N/A</v>
      </c>
    </row>
    <row r="26" spans="1:24" x14ac:dyDescent="0.35">
      <c r="A26">
        <f>'Master Player List'!L26</f>
        <v>3</v>
      </c>
      <c r="B26">
        <f>'Master Player List'!M26</f>
        <v>8</v>
      </c>
      <c r="C26" t="str">
        <f>'Master Player List'!C26</f>
        <v xml:space="preserve">Jones, Jason </v>
      </c>
      <c r="D26" t="str">
        <f>'Master Player List'!F26</f>
        <v xml:space="preserve">Qualls, Michael </v>
      </c>
      <c r="E26" t="str">
        <f>'Master Player List'!N26</f>
        <v xml:space="preserve">Fulmer, Austen </v>
      </c>
      <c r="F26" s="251">
        <f>Calcutta!E40</f>
        <v>1400</v>
      </c>
      <c r="G26" s="252">
        <f>'Master Player List'!J26</f>
        <v>10.3</v>
      </c>
      <c r="H26" s="252">
        <f>'Master Player List'!E26</f>
        <v>4.9000000000000004</v>
      </c>
      <c r="I26" s="252">
        <f>'Master Player List'!H26</f>
        <v>5.4</v>
      </c>
      <c r="L26">
        <v>8</v>
      </c>
      <c r="M26">
        <v>3</v>
      </c>
      <c r="N26" s="251">
        <f>Calcutta!I93</f>
        <v>1120</v>
      </c>
      <c r="O26" t="str">
        <f>Calcutta!J93</f>
        <v xml:space="preserve">Capone, Michael </v>
      </c>
      <c r="P26" t="str">
        <f>Calcutta!K93</f>
        <v xml:space="preserve">Capone, Michael </v>
      </c>
      <c r="S26">
        <v>3</v>
      </c>
      <c r="T26" t="s">
        <v>21</v>
      </c>
      <c r="U26">
        <v>3</v>
      </c>
      <c r="V26" s="251">
        <f>Calcutta!$N$38</f>
        <v>290</v>
      </c>
      <c r="W26">
        <f>Calcutta!Q38</f>
        <v>0</v>
      </c>
      <c r="X26" t="e">
        <f>Calcutta!R38</f>
        <v>#N/A</v>
      </c>
    </row>
    <row r="27" spans="1:24" x14ac:dyDescent="0.35">
      <c r="A27">
        <f>'Master Player List'!L27</f>
        <v>4</v>
      </c>
      <c r="B27">
        <f>'Master Player List'!M27</f>
        <v>1</v>
      </c>
      <c r="C27" t="str">
        <f>'Master Player List'!C27</f>
        <v xml:space="preserve">Brymer, Cory </v>
      </c>
      <c r="D27" t="str">
        <f>'Master Player List'!F27</f>
        <v xml:space="preserve">Manas, Shane </v>
      </c>
      <c r="E27" t="str">
        <f>'Master Player List'!N27</f>
        <v xml:space="preserve">Jones, Jason </v>
      </c>
      <c r="F27" s="251">
        <f>Calcutta!E44</f>
        <v>1900</v>
      </c>
      <c r="G27" s="252">
        <f>'Master Player List'!J27</f>
        <v>10.4</v>
      </c>
      <c r="H27" s="252">
        <f>'Master Player List'!E27</f>
        <v>4.4000000000000004</v>
      </c>
      <c r="I27" s="252">
        <f>'Master Player List'!H27</f>
        <v>6</v>
      </c>
      <c r="L27">
        <v>9</v>
      </c>
      <c r="M27">
        <v>1</v>
      </c>
      <c r="N27" s="251">
        <f>Calcutta!I102</f>
        <v>2810</v>
      </c>
      <c r="O27" t="str">
        <f>Calcutta!J102</f>
        <v xml:space="preserve">Kruchowsky, Tim </v>
      </c>
      <c r="P27" t="str">
        <f>Calcutta!K102</f>
        <v xml:space="preserve">Fulmer, Austen </v>
      </c>
      <c r="S27">
        <v>3</v>
      </c>
      <c r="T27" t="s">
        <v>22</v>
      </c>
      <c r="U27">
        <v>1</v>
      </c>
      <c r="V27" s="251">
        <f>Calcutta!$N$36</f>
        <v>725</v>
      </c>
      <c r="W27">
        <f>Calcutta!S36</f>
        <v>0</v>
      </c>
      <c r="X27" t="e">
        <f>Calcutta!T36</f>
        <v>#N/A</v>
      </c>
    </row>
    <row r="28" spans="1:24" x14ac:dyDescent="0.35">
      <c r="A28">
        <f>'Master Player List'!L28</f>
        <v>4</v>
      </c>
      <c r="B28">
        <f>'Master Player List'!M28</f>
        <v>2</v>
      </c>
      <c r="C28" t="str">
        <f>'Master Player List'!C28</f>
        <v xml:space="preserve">Ledet, Jim </v>
      </c>
      <c r="D28" t="str">
        <f>'Master Player List'!F28</f>
        <v xml:space="preserve">Doucet, Jamie </v>
      </c>
      <c r="E28" t="str">
        <f>'Master Player List'!N28</f>
        <v xml:space="preserve">Aghazadeh, Abdol </v>
      </c>
      <c r="F28" s="251">
        <f>Calcutta!E45</f>
        <v>5100</v>
      </c>
      <c r="G28" s="252">
        <f>'Master Player List'!J28</f>
        <v>10.399999999999999</v>
      </c>
      <c r="H28" s="252">
        <f>'Master Player List'!E28</f>
        <v>4.5999999999999996</v>
      </c>
      <c r="I28" s="252">
        <f>'Master Player List'!H28</f>
        <v>5.8</v>
      </c>
      <c r="L28">
        <v>9</v>
      </c>
      <c r="M28">
        <v>2</v>
      </c>
      <c r="N28" s="251">
        <f>Calcutta!I103</f>
        <v>1685</v>
      </c>
      <c r="O28" t="str">
        <f>Calcutta!J103</f>
        <v xml:space="preserve">Grantham, Mark </v>
      </c>
      <c r="P28" t="str">
        <f>Calcutta!K103</f>
        <v xml:space="preserve">Grantham, Mark </v>
      </c>
      <c r="S28">
        <v>3</v>
      </c>
      <c r="T28" t="s">
        <v>22</v>
      </c>
      <c r="U28">
        <v>2</v>
      </c>
      <c r="V28" s="251">
        <f>Calcutta!$N$37</f>
        <v>435</v>
      </c>
      <c r="W28">
        <f>Calcutta!S37</f>
        <v>0</v>
      </c>
      <c r="X28" t="e">
        <f>Calcutta!T37</f>
        <v>#N/A</v>
      </c>
    </row>
    <row r="29" spans="1:24" x14ac:dyDescent="0.35">
      <c r="A29">
        <f>'Master Player List'!L29</f>
        <v>4</v>
      </c>
      <c r="B29">
        <f>'Master Player List'!M29</f>
        <v>3</v>
      </c>
      <c r="C29" t="str">
        <f>'Master Player List'!C29</f>
        <v xml:space="preserve">Nugent, Tim </v>
      </c>
      <c r="D29" t="str">
        <f>'Master Player List'!F29</f>
        <v xml:space="preserve">Williams, Jeff </v>
      </c>
      <c r="E29" t="str">
        <f>'Master Player List'!N29</f>
        <v xml:space="preserve">Vaughn, Earl </v>
      </c>
      <c r="F29" s="251">
        <f>Calcutta!E46</f>
        <v>1600</v>
      </c>
      <c r="G29" s="252">
        <f>'Master Player List'!J29</f>
        <v>10.600000000000001</v>
      </c>
      <c r="H29" s="252">
        <f>'Master Player List'!E29</f>
        <v>6.9</v>
      </c>
      <c r="I29" s="252">
        <f>'Master Player List'!H29</f>
        <v>3.7</v>
      </c>
      <c r="L29">
        <v>9</v>
      </c>
      <c r="M29">
        <v>3</v>
      </c>
      <c r="N29" s="251">
        <f>Calcutta!I104</f>
        <v>1120</v>
      </c>
      <c r="O29" t="str">
        <f>Calcutta!J104</f>
        <v xml:space="preserve">Clements, Jake </v>
      </c>
      <c r="P29" t="str">
        <f>Calcutta!K104</f>
        <v xml:space="preserve">Vaughn, Earl </v>
      </c>
      <c r="S29">
        <v>3</v>
      </c>
      <c r="T29" t="s">
        <v>22</v>
      </c>
      <c r="U29">
        <v>3</v>
      </c>
      <c r="V29" s="251">
        <f>Calcutta!$N$38</f>
        <v>290</v>
      </c>
      <c r="W29">
        <f>Calcutta!S38</f>
        <v>0</v>
      </c>
      <c r="X29" t="e">
        <f>Calcutta!T38</f>
        <v>#N/A</v>
      </c>
    </row>
    <row r="30" spans="1:24" x14ac:dyDescent="0.35">
      <c r="A30">
        <f>'Master Player List'!L30</f>
        <v>4</v>
      </c>
      <c r="B30">
        <f>'Master Player List'!M30</f>
        <v>4</v>
      </c>
      <c r="C30" t="str">
        <f>'Master Player List'!C30</f>
        <v xml:space="preserve">Dietz, Jeffrey </v>
      </c>
      <c r="D30" t="str">
        <f>'Master Player List'!F30</f>
        <v xml:space="preserve">Morris, Brian </v>
      </c>
      <c r="E30" t="str">
        <f>'Master Player List'!N30</f>
        <v xml:space="preserve">Aghazadeh, Abdol </v>
      </c>
      <c r="F30" s="251">
        <f>Calcutta!E47</f>
        <v>3600</v>
      </c>
      <c r="G30" s="252">
        <f>'Master Player List'!J30</f>
        <v>10.8</v>
      </c>
      <c r="H30" s="252">
        <f>'Master Player List'!E30</f>
        <v>5.2</v>
      </c>
      <c r="I30" s="252">
        <f>'Master Player List'!H30</f>
        <v>5.6</v>
      </c>
      <c r="L30">
        <v>10</v>
      </c>
      <c r="M30">
        <v>1</v>
      </c>
      <c r="N30" s="251">
        <f>Calcutta!I113</f>
        <v>2505</v>
      </c>
      <c r="O30" t="str">
        <f>Calcutta!J113</f>
        <v xml:space="preserve">Donohue, Robert </v>
      </c>
      <c r="P30" t="str">
        <f>Calcutta!K113</f>
        <v xml:space="preserve">Aghazadeh, Abdol </v>
      </c>
      <c r="S30">
        <v>4</v>
      </c>
      <c r="T30" t="s">
        <v>20</v>
      </c>
      <c r="U30">
        <v>1</v>
      </c>
      <c r="V30" s="251">
        <f>Calcutta!$N$47</f>
        <v>1060</v>
      </c>
      <c r="W30">
        <f>Calcutta!O47</f>
        <v>0</v>
      </c>
      <c r="X30" t="e">
        <f>Calcutta!P47</f>
        <v>#N/A</v>
      </c>
    </row>
    <row r="31" spans="1:24" x14ac:dyDescent="0.35">
      <c r="A31">
        <f>'Master Player List'!L31</f>
        <v>4</v>
      </c>
      <c r="B31">
        <f>'Master Player List'!M31</f>
        <v>5</v>
      </c>
      <c r="C31" t="str">
        <f>'Master Player List'!C31</f>
        <v xml:space="preserve">Tionloc, Alex </v>
      </c>
      <c r="D31" t="str">
        <f>'Master Player List'!F31</f>
        <v xml:space="preserve">Hicks, Clay </v>
      </c>
      <c r="E31" t="str">
        <f>'Master Player List'!N31</f>
        <v xml:space="preserve">Vidrine, Scot </v>
      </c>
      <c r="F31" s="251">
        <f>Calcutta!E48</f>
        <v>2000</v>
      </c>
      <c r="G31" s="252">
        <f>'Master Player List'!J31</f>
        <v>11</v>
      </c>
      <c r="H31" s="252">
        <f>'Master Player List'!E31</f>
        <v>6</v>
      </c>
      <c r="I31" s="252">
        <f>'Master Player List'!H31</f>
        <v>5</v>
      </c>
      <c r="L31">
        <v>10</v>
      </c>
      <c r="M31">
        <v>2</v>
      </c>
      <c r="N31" s="251">
        <f>Calcutta!I114</f>
        <v>1500</v>
      </c>
      <c r="O31" t="str">
        <f>Calcutta!J114</f>
        <v xml:space="preserve">Wedgeworth, Cliff </v>
      </c>
      <c r="P31" t="str">
        <f>Calcutta!K114</f>
        <v xml:space="preserve">Wedgeworth, Cliff </v>
      </c>
      <c r="S31">
        <v>4</v>
      </c>
      <c r="T31" t="s">
        <v>20</v>
      </c>
      <c r="U31">
        <v>2</v>
      </c>
      <c r="V31" s="251">
        <f>Calcutta!$N$48</f>
        <v>635</v>
      </c>
      <c r="W31">
        <f>Calcutta!O48</f>
        <v>0</v>
      </c>
      <c r="X31" t="e">
        <f>Calcutta!P48</f>
        <v>#N/A</v>
      </c>
    </row>
    <row r="32" spans="1:24" x14ac:dyDescent="0.35">
      <c r="A32">
        <f>'Master Player List'!L32</f>
        <v>4</v>
      </c>
      <c r="B32">
        <f>'Master Player List'!M32</f>
        <v>6</v>
      </c>
      <c r="C32" t="str">
        <f>'Master Player List'!C32</f>
        <v xml:space="preserve">Redding, Scott </v>
      </c>
      <c r="D32" t="str">
        <f>'Master Player List'!F32</f>
        <v xml:space="preserve">Redding, David </v>
      </c>
      <c r="E32" t="str">
        <f>'Master Player List'!N32</f>
        <v xml:space="preserve">Vaughn, Earl </v>
      </c>
      <c r="F32" s="251">
        <f>Calcutta!E49</f>
        <v>1600</v>
      </c>
      <c r="G32" s="252">
        <f>'Master Player List'!J32</f>
        <v>11.8</v>
      </c>
      <c r="H32" s="252">
        <f>'Master Player List'!E32</f>
        <v>5.8</v>
      </c>
      <c r="I32" s="252">
        <f>'Master Player List'!H32</f>
        <v>6</v>
      </c>
      <c r="L32">
        <v>10</v>
      </c>
      <c r="M32">
        <v>3</v>
      </c>
      <c r="N32" s="251">
        <f>Calcutta!I115</f>
        <v>1000</v>
      </c>
      <c r="O32" t="str">
        <f>Calcutta!J115</f>
        <v xml:space="preserve">Walters, Neil </v>
      </c>
      <c r="P32" t="str">
        <f>Calcutta!K115</f>
        <v xml:space="preserve">Grantham, Mark </v>
      </c>
      <c r="S32">
        <v>4</v>
      </c>
      <c r="T32" t="s">
        <v>20</v>
      </c>
      <c r="U32">
        <v>3</v>
      </c>
      <c r="V32" s="251">
        <f>Calcutta!$N$49</f>
        <v>425</v>
      </c>
      <c r="W32">
        <f>Calcutta!O49</f>
        <v>0</v>
      </c>
      <c r="X32" t="e">
        <f>Calcutta!P49</f>
        <v>#N/A</v>
      </c>
    </row>
    <row r="33" spans="1:24" x14ac:dyDescent="0.35">
      <c r="A33">
        <f>'Master Player List'!L33</f>
        <v>4</v>
      </c>
      <c r="B33">
        <f>'Master Player List'!M33</f>
        <v>7</v>
      </c>
      <c r="C33" t="str">
        <f>'Master Player List'!C33</f>
        <v xml:space="preserve">Waclawsky, Paul </v>
      </c>
      <c r="D33" t="str">
        <f>'Master Player List'!F33</f>
        <v xml:space="preserve">Anderson, John </v>
      </c>
      <c r="E33" t="str">
        <f>'Master Player List'!N33</f>
        <v xml:space="preserve">Aghazadeh, Abdol </v>
      </c>
      <c r="F33" s="251">
        <f>Calcutta!E50</f>
        <v>1600</v>
      </c>
      <c r="G33" s="252">
        <f>'Master Player List'!J33</f>
        <v>12</v>
      </c>
      <c r="H33" s="252">
        <f>'Master Player List'!E33</f>
        <v>3.7</v>
      </c>
      <c r="I33" s="252">
        <f>'Master Player List'!H33</f>
        <v>8.3000000000000007</v>
      </c>
      <c r="S33">
        <v>4</v>
      </c>
      <c r="T33" t="s">
        <v>21</v>
      </c>
      <c r="U33">
        <v>1</v>
      </c>
      <c r="V33" s="251">
        <f>Calcutta!$N$47</f>
        <v>1060</v>
      </c>
      <c r="W33">
        <f>Calcutta!Q47</f>
        <v>0</v>
      </c>
      <c r="X33" t="e">
        <f>Calcutta!R47</f>
        <v>#N/A</v>
      </c>
    </row>
    <row r="34" spans="1:24" x14ac:dyDescent="0.35">
      <c r="A34">
        <f>'Master Player List'!L34</f>
        <v>4</v>
      </c>
      <c r="B34">
        <f>'Master Player List'!M34</f>
        <v>8</v>
      </c>
      <c r="C34" t="str">
        <f>'Master Player List'!C34</f>
        <v xml:space="preserve">Erickson, Nick </v>
      </c>
      <c r="D34" t="str">
        <f>'Master Player List'!F34</f>
        <v xml:space="preserve">Erickson, Michael </v>
      </c>
      <c r="E34" t="str">
        <f>'Master Player List'!N34</f>
        <v xml:space="preserve">Cress, Pj </v>
      </c>
      <c r="F34" s="251">
        <f>Calcutta!E51</f>
        <v>2100</v>
      </c>
      <c r="G34" s="252">
        <f>'Master Player List'!J34</f>
        <v>12.3</v>
      </c>
      <c r="H34" s="252" t="str">
        <f>'Master Player List'!E34</f>
        <v>+0.1</v>
      </c>
      <c r="I34" s="252">
        <f>'Master Player List'!H34</f>
        <v>12.4</v>
      </c>
      <c r="S34">
        <v>4</v>
      </c>
      <c r="T34" t="s">
        <v>21</v>
      </c>
      <c r="U34">
        <v>2</v>
      </c>
      <c r="V34" s="251">
        <f>Calcutta!$N$48</f>
        <v>635</v>
      </c>
      <c r="W34">
        <f>Calcutta!Q48</f>
        <v>0</v>
      </c>
      <c r="X34" t="e">
        <f>Calcutta!R48</f>
        <v>#N/A</v>
      </c>
    </row>
    <row r="35" spans="1:24" x14ac:dyDescent="0.35">
      <c r="A35">
        <f>'Master Player List'!L35</f>
        <v>5</v>
      </c>
      <c r="B35">
        <f>'Master Player List'!M35</f>
        <v>1</v>
      </c>
      <c r="C35" t="str">
        <f>'Master Player List'!C35</f>
        <v xml:space="preserve">Scott, Paul </v>
      </c>
      <c r="D35" t="str">
        <f>'Master Player List'!F35</f>
        <v xml:space="preserve">Stopnik, Sean </v>
      </c>
      <c r="E35" t="str">
        <f>'Master Player List'!N35</f>
        <v xml:space="preserve">Schnautz, David </v>
      </c>
      <c r="F35" s="251">
        <f>Calcutta!E55</f>
        <v>2000</v>
      </c>
      <c r="G35" s="252">
        <f>'Master Player List'!J35</f>
        <v>12.5</v>
      </c>
      <c r="H35" s="252">
        <f>'Master Player List'!E35</f>
        <v>11</v>
      </c>
      <c r="I35" s="252">
        <f>'Master Player List'!H35</f>
        <v>1.5</v>
      </c>
      <c r="S35">
        <v>4</v>
      </c>
      <c r="T35" t="s">
        <v>21</v>
      </c>
      <c r="U35">
        <v>3</v>
      </c>
      <c r="V35" s="251">
        <f>Calcutta!$N$49</f>
        <v>425</v>
      </c>
      <c r="W35">
        <f>Calcutta!Q49</f>
        <v>0</v>
      </c>
      <c r="X35" t="e">
        <f>Calcutta!R49</f>
        <v>#N/A</v>
      </c>
    </row>
    <row r="36" spans="1:24" x14ac:dyDescent="0.35">
      <c r="A36">
        <f>'Master Player List'!L36</f>
        <v>5</v>
      </c>
      <c r="B36">
        <f>'Master Player List'!M36</f>
        <v>2</v>
      </c>
      <c r="C36" t="str">
        <f>'Master Player List'!C36</f>
        <v xml:space="preserve">Marusco, Austin </v>
      </c>
      <c r="D36" t="str">
        <f>'Master Player List'!F36</f>
        <v xml:space="preserve">Joyce, Brendan </v>
      </c>
      <c r="E36" t="str">
        <f>'Master Player List'!N36</f>
        <v xml:space="preserve">Parent, Brian </v>
      </c>
      <c r="F36" s="251">
        <f>Calcutta!E56</f>
        <v>1900</v>
      </c>
      <c r="G36" s="252">
        <f>'Master Player List'!J36</f>
        <v>12.8</v>
      </c>
      <c r="H36" s="252">
        <f>'Master Player List'!E36</f>
        <v>9.1</v>
      </c>
      <c r="I36" s="252">
        <f>'Master Player List'!H36</f>
        <v>3.7</v>
      </c>
      <c r="S36">
        <v>4</v>
      </c>
      <c r="T36" t="s">
        <v>22</v>
      </c>
      <c r="U36">
        <v>1</v>
      </c>
      <c r="V36" s="251">
        <f>Calcutta!$N$47</f>
        <v>1060</v>
      </c>
      <c r="W36">
        <f>Calcutta!S47</f>
        <v>0</v>
      </c>
      <c r="X36" t="e">
        <f>Calcutta!T47</f>
        <v>#N/A</v>
      </c>
    </row>
    <row r="37" spans="1:24" x14ac:dyDescent="0.35">
      <c r="A37">
        <f>'Master Player List'!L37</f>
        <v>5</v>
      </c>
      <c r="B37">
        <f>'Master Player List'!M37</f>
        <v>3</v>
      </c>
      <c r="C37" t="str">
        <f>'Master Player List'!C37</f>
        <v xml:space="preserve">Butler, Gregory </v>
      </c>
      <c r="D37" t="str">
        <f>'Master Player List'!F37</f>
        <v xml:space="preserve">Butler, Jonathan </v>
      </c>
      <c r="E37" t="str">
        <f>'Master Player List'!N37</f>
        <v xml:space="preserve">Capone, Michael </v>
      </c>
      <c r="F37" s="251">
        <f>Calcutta!E57</f>
        <v>1100</v>
      </c>
      <c r="G37" s="252">
        <f>'Master Player List'!J37</f>
        <v>12.899999999999999</v>
      </c>
      <c r="H37" s="252">
        <f>'Master Player List'!E37</f>
        <v>7.1</v>
      </c>
      <c r="I37" s="252">
        <f>'Master Player List'!H37</f>
        <v>5.8</v>
      </c>
      <c r="S37">
        <v>4</v>
      </c>
      <c r="T37" t="s">
        <v>22</v>
      </c>
      <c r="U37">
        <v>2</v>
      </c>
      <c r="V37" s="251">
        <f>Calcutta!$N$48</f>
        <v>635</v>
      </c>
      <c r="W37">
        <f>Calcutta!S48</f>
        <v>0</v>
      </c>
      <c r="X37" t="e">
        <f>Calcutta!T48</f>
        <v>#N/A</v>
      </c>
    </row>
    <row r="38" spans="1:24" x14ac:dyDescent="0.35">
      <c r="A38">
        <f>'Master Player List'!L38</f>
        <v>5</v>
      </c>
      <c r="B38">
        <f>'Master Player List'!M38</f>
        <v>4</v>
      </c>
      <c r="C38" t="str">
        <f>'Master Player List'!C38</f>
        <v xml:space="preserve">Drain, Zip </v>
      </c>
      <c r="D38" t="str">
        <f>'Master Player List'!F38</f>
        <v xml:space="preserve">Lange, Mark </v>
      </c>
      <c r="E38" t="str">
        <f>'Master Player List'!N38</f>
        <v xml:space="preserve">Butler, Gregory </v>
      </c>
      <c r="F38" s="251">
        <f>Calcutta!E58</f>
        <v>1400</v>
      </c>
      <c r="G38" s="252">
        <f>'Master Player List'!J38</f>
        <v>13.2</v>
      </c>
      <c r="H38" s="252">
        <f>'Master Player List'!E38</f>
        <v>8</v>
      </c>
      <c r="I38" s="252">
        <f>'Master Player List'!H38</f>
        <v>5.2</v>
      </c>
      <c r="S38">
        <v>4</v>
      </c>
      <c r="T38" t="s">
        <v>22</v>
      </c>
      <c r="U38">
        <v>3</v>
      </c>
      <c r="V38" s="251">
        <f>Calcutta!$N$49</f>
        <v>425</v>
      </c>
      <c r="W38">
        <f>Calcutta!S49</f>
        <v>0</v>
      </c>
      <c r="X38" t="e">
        <f>Calcutta!T49</f>
        <v>#N/A</v>
      </c>
    </row>
    <row r="39" spans="1:24" x14ac:dyDescent="0.35">
      <c r="A39">
        <f>'Master Player List'!L39</f>
        <v>5</v>
      </c>
      <c r="B39">
        <f>'Master Player List'!M39</f>
        <v>5</v>
      </c>
      <c r="C39" t="str">
        <f>'Master Player List'!C39</f>
        <v xml:space="preserve">Turner, Trevor </v>
      </c>
      <c r="D39" t="str">
        <f>'Master Player List'!F39</f>
        <v xml:space="preserve">Sherman, John </v>
      </c>
      <c r="E39" t="str">
        <f>'Master Player List'!N39</f>
        <v xml:space="preserve">Fulmer, Austen </v>
      </c>
      <c r="F39" s="251">
        <f>Calcutta!E59</f>
        <v>1400</v>
      </c>
      <c r="G39" s="252">
        <f>'Master Player List'!J39</f>
        <v>13.3</v>
      </c>
      <c r="H39" s="252">
        <f>'Master Player List'!E39</f>
        <v>4</v>
      </c>
      <c r="I39" s="252">
        <f>'Master Player List'!H39</f>
        <v>9.3000000000000007</v>
      </c>
      <c r="S39">
        <v>5</v>
      </c>
      <c r="T39" t="s">
        <v>20</v>
      </c>
      <c r="U39">
        <v>1</v>
      </c>
      <c r="V39" s="251">
        <f>Calcutta!$N$58</f>
        <v>650</v>
      </c>
      <c r="W39" t="str">
        <f>Calcutta!O58</f>
        <v xml:space="preserve">Butler, Gregory </v>
      </c>
      <c r="X39" t="str">
        <f>Calcutta!P58</f>
        <v xml:space="preserve">Capone, Michael </v>
      </c>
    </row>
    <row r="40" spans="1:24" x14ac:dyDescent="0.35">
      <c r="A40">
        <f>'Master Player List'!L40</f>
        <v>5</v>
      </c>
      <c r="B40">
        <f>'Master Player List'!M40</f>
        <v>6</v>
      </c>
      <c r="C40" t="str">
        <f>'Master Player List'!C40</f>
        <v xml:space="preserve">Spisak, Brian </v>
      </c>
      <c r="D40" t="str">
        <f>'Master Player List'!F40</f>
        <v xml:space="preserve">Haarberg, Casey </v>
      </c>
      <c r="E40" t="str">
        <f>'Master Player List'!N40</f>
        <v xml:space="preserve">Spisak, Brian </v>
      </c>
      <c r="F40" s="251">
        <f>Calcutta!E60</f>
        <v>1300</v>
      </c>
      <c r="G40" s="252">
        <f>'Master Player List'!J40</f>
        <v>13.5</v>
      </c>
      <c r="H40" s="252">
        <f>'Master Player List'!E40</f>
        <v>6.9</v>
      </c>
      <c r="I40" s="252">
        <f>'Master Player List'!H40</f>
        <v>6.6</v>
      </c>
      <c r="S40">
        <v>5</v>
      </c>
      <c r="T40" t="s">
        <v>20</v>
      </c>
      <c r="U40">
        <v>2</v>
      </c>
      <c r="V40" s="251">
        <f>Calcutta!$N$59</f>
        <v>390</v>
      </c>
      <c r="W40">
        <f>Calcutta!O59</f>
        <v>0</v>
      </c>
      <c r="X40" t="e">
        <f>Calcutta!P59</f>
        <v>#N/A</v>
      </c>
    </row>
    <row r="41" spans="1:24" x14ac:dyDescent="0.35">
      <c r="A41">
        <f>'Master Player List'!L41</f>
        <v>5</v>
      </c>
      <c r="B41">
        <f>'Master Player List'!M41</f>
        <v>7</v>
      </c>
      <c r="C41" t="str">
        <f>'Master Player List'!C41</f>
        <v xml:space="preserve">Munoz, Juan </v>
      </c>
      <c r="D41" t="str">
        <f>'Master Player List'!F41</f>
        <v xml:space="preserve">Sanchez, Bert </v>
      </c>
      <c r="E41" t="str">
        <f>'Master Player List'!N41</f>
        <v xml:space="preserve">Aghazadeh, Abdol </v>
      </c>
      <c r="F41" s="251">
        <f>Calcutta!E61</f>
        <v>1700</v>
      </c>
      <c r="G41" s="252">
        <f>'Master Player List'!J41</f>
        <v>13.7</v>
      </c>
      <c r="H41" s="252">
        <f>'Master Player List'!E41</f>
        <v>7.4</v>
      </c>
      <c r="I41" s="252">
        <f>'Master Player List'!H41</f>
        <v>6.3</v>
      </c>
      <c r="S41">
        <v>5</v>
      </c>
      <c r="T41" t="s">
        <v>20</v>
      </c>
      <c r="U41">
        <v>3</v>
      </c>
      <c r="V41" s="251">
        <f>Calcutta!$N$60</f>
        <v>260</v>
      </c>
      <c r="W41">
        <f>Calcutta!O60</f>
        <v>0</v>
      </c>
      <c r="X41" t="e">
        <f>Calcutta!P60</f>
        <v>#N/A</v>
      </c>
    </row>
    <row r="42" spans="1:24" x14ac:dyDescent="0.35">
      <c r="A42">
        <f>'Master Player List'!L42</f>
        <v>5</v>
      </c>
      <c r="B42">
        <f>'Master Player List'!M42</f>
        <v>8</v>
      </c>
      <c r="C42" t="str">
        <f>'Master Player List'!C42</f>
        <v xml:space="preserve">Samsel, Steve </v>
      </c>
      <c r="D42" t="str">
        <f>'Master Player List'!F42</f>
        <v xml:space="preserve">Whiston, Patrick </v>
      </c>
      <c r="E42" t="str">
        <f>'Master Player List'!N42</f>
        <v xml:space="preserve">Samsel, Steve </v>
      </c>
      <c r="F42" s="251">
        <f>Calcutta!E62</f>
        <v>1200</v>
      </c>
      <c r="G42" s="252">
        <f>'Master Player List'!J42</f>
        <v>15.2</v>
      </c>
      <c r="H42" s="252">
        <f>'Master Player List'!E42</f>
        <v>2.7</v>
      </c>
      <c r="I42" s="252">
        <f>'Master Player List'!H42</f>
        <v>12.5</v>
      </c>
      <c r="S42">
        <v>5</v>
      </c>
      <c r="T42" t="s">
        <v>21</v>
      </c>
      <c r="U42">
        <v>1</v>
      </c>
      <c r="V42" s="251">
        <f>Calcutta!$N$58</f>
        <v>650</v>
      </c>
      <c r="W42">
        <f>Calcutta!Q58</f>
        <v>0</v>
      </c>
      <c r="X42" t="e">
        <f>Calcutta!R58</f>
        <v>#N/A</v>
      </c>
    </row>
    <row r="43" spans="1:24" x14ac:dyDescent="0.35">
      <c r="A43">
        <f>'Master Player List'!L43</f>
        <v>6</v>
      </c>
      <c r="B43">
        <f>'Master Player List'!M43</f>
        <v>1</v>
      </c>
      <c r="C43" t="str">
        <f>'Master Player List'!C43</f>
        <v xml:space="preserve">French, Arthur </v>
      </c>
      <c r="D43" t="str">
        <f>'Master Player List'!F43</f>
        <v xml:space="preserve">Reese, Brian </v>
      </c>
      <c r="E43" t="str">
        <f>'Master Player List'!N43</f>
        <v xml:space="preserve">French, Arthur </v>
      </c>
      <c r="F43" s="251">
        <f>Calcutta!E66</f>
        <v>1000</v>
      </c>
      <c r="G43" s="252">
        <f>'Master Player List'!J43</f>
        <v>15.2</v>
      </c>
      <c r="H43" s="252">
        <f>'Master Player List'!E43</f>
        <v>10.4</v>
      </c>
      <c r="I43" s="252">
        <f>'Master Player List'!H43</f>
        <v>4.8</v>
      </c>
      <c r="S43">
        <v>5</v>
      </c>
      <c r="T43" t="s">
        <v>21</v>
      </c>
      <c r="U43">
        <v>2</v>
      </c>
      <c r="V43" s="251">
        <f>Calcutta!$N$59</f>
        <v>390</v>
      </c>
      <c r="W43">
        <f>Calcutta!Q59</f>
        <v>0</v>
      </c>
      <c r="X43" t="e">
        <f>Calcutta!R59</f>
        <v>#N/A</v>
      </c>
    </row>
    <row r="44" spans="1:24" x14ac:dyDescent="0.35">
      <c r="A44">
        <f>'Master Player List'!L44</f>
        <v>6</v>
      </c>
      <c r="B44">
        <f>'Master Player List'!M44</f>
        <v>2</v>
      </c>
      <c r="C44" t="str">
        <f>'Master Player List'!C44</f>
        <v xml:space="preserve">Aghazadeh, Abdol </v>
      </c>
      <c r="D44" t="str">
        <f>'Master Player List'!F44</f>
        <v xml:space="preserve">Khorzad, Kaveh </v>
      </c>
      <c r="E44" t="str">
        <f>'Master Player List'!N44</f>
        <v xml:space="preserve">Brymer, Cory </v>
      </c>
      <c r="F44" s="251">
        <f>Calcutta!E67</f>
        <v>2500</v>
      </c>
      <c r="G44" s="252">
        <f>'Master Player List'!J44</f>
        <v>15.5</v>
      </c>
      <c r="H44" s="252">
        <f>'Master Player List'!E44</f>
        <v>5.3</v>
      </c>
      <c r="I44" s="252">
        <f>'Master Player List'!H44</f>
        <v>10.199999999999999</v>
      </c>
      <c r="S44">
        <v>5</v>
      </c>
      <c r="T44" t="s">
        <v>21</v>
      </c>
      <c r="U44">
        <v>3</v>
      </c>
      <c r="V44" s="251">
        <f>Calcutta!$N$60</f>
        <v>260</v>
      </c>
      <c r="W44">
        <f>Calcutta!Q60</f>
        <v>0</v>
      </c>
      <c r="X44" t="e">
        <f>Calcutta!R60</f>
        <v>#N/A</v>
      </c>
    </row>
    <row r="45" spans="1:24" x14ac:dyDescent="0.35">
      <c r="A45">
        <f>'Master Player List'!L45</f>
        <v>6</v>
      </c>
      <c r="B45">
        <f>'Master Player List'!M45</f>
        <v>3</v>
      </c>
      <c r="C45" t="str">
        <f>'Master Player List'!C45</f>
        <v xml:space="preserve">Burton, Aaron </v>
      </c>
      <c r="D45" t="str">
        <f>'Master Player List'!F45</f>
        <v xml:space="preserve">Krueger, Kyle </v>
      </c>
      <c r="E45" t="str">
        <f>'Master Player List'!N45</f>
        <v xml:space="preserve">Vaughn, Earl </v>
      </c>
      <c r="F45" s="251">
        <f>Calcutta!E68</f>
        <v>1500</v>
      </c>
      <c r="G45" s="252">
        <f>'Master Player List'!J45</f>
        <v>15.8</v>
      </c>
      <c r="H45" s="252">
        <f>'Master Player List'!E45</f>
        <v>5.7</v>
      </c>
      <c r="I45" s="252">
        <f>'Master Player List'!H45</f>
        <v>10.1</v>
      </c>
      <c r="S45">
        <v>5</v>
      </c>
      <c r="T45" t="s">
        <v>22</v>
      </c>
      <c r="U45">
        <v>1</v>
      </c>
      <c r="V45" s="251">
        <f>Calcutta!$N$58</f>
        <v>650</v>
      </c>
      <c r="W45">
        <f>Calcutta!S58</f>
        <v>0</v>
      </c>
      <c r="X45" t="e">
        <f>Calcutta!T58</f>
        <v>#N/A</v>
      </c>
    </row>
    <row r="46" spans="1:24" x14ac:dyDescent="0.35">
      <c r="A46">
        <f>'Master Player List'!L46</f>
        <v>6</v>
      </c>
      <c r="B46">
        <f>'Master Player List'!M46</f>
        <v>4</v>
      </c>
      <c r="C46" t="str">
        <f>'Master Player List'!C46</f>
        <v xml:space="preserve">Crutcher, Ian </v>
      </c>
      <c r="D46" t="str">
        <f>'Master Player List'!F46</f>
        <v xml:space="preserve">Crutcher, Jonathan </v>
      </c>
      <c r="E46" t="str">
        <f>'Master Player List'!N46</f>
        <v xml:space="preserve">Crutcher, Ian </v>
      </c>
      <c r="F46" s="251">
        <f>Calcutta!E69</f>
        <v>1500</v>
      </c>
      <c r="G46" s="252">
        <f>'Master Player List'!J46</f>
        <v>15.9</v>
      </c>
      <c r="H46" s="252">
        <f>'Master Player List'!E46</f>
        <v>3.5</v>
      </c>
      <c r="I46" s="252">
        <f>'Master Player List'!H46</f>
        <v>12.4</v>
      </c>
      <c r="S46">
        <v>5</v>
      </c>
      <c r="T46" t="s">
        <v>22</v>
      </c>
      <c r="U46">
        <v>2</v>
      </c>
      <c r="V46" s="251">
        <f>Calcutta!$N$59</f>
        <v>390</v>
      </c>
      <c r="W46">
        <f>Calcutta!S59</f>
        <v>0</v>
      </c>
      <c r="X46" t="e">
        <f>Calcutta!T59</f>
        <v>#N/A</v>
      </c>
    </row>
    <row r="47" spans="1:24" x14ac:dyDescent="0.35">
      <c r="A47">
        <f>'Master Player List'!L47</f>
        <v>6</v>
      </c>
      <c r="B47">
        <f>'Master Player List'!M47</f>
        <v>5</v>
      </c>
      <c r="C47" t="str">
        <f>'Master Player List'!C47</f>
        <v xml:space="preserve">Shulman, Brandon </v>
      </c>
      <c r="D47" t="str">
        <f>'Master Player List'!F47</f>
        <v xml:space="preserve">Schietinger, John </v>
      </c>
      <c r="E47" t="str">
        <f>'Master Player List'!N47</f>
        <v xml:space="preserve">Grantham, Mark </v>
      </c>
      <c r="F47" s="251">
        <f>Calcutta!E70</f>
        <v>1000</v>
      </c>
      <c r="G47" s="252">
        <f>'Master Player List'!J47</f>
        <v>16</v>
      </c>
      <c r="H47" s="252">
        <f>'Master Player List'!E47</f>
        <v>10.1</v>
      </c>
      <c r="I47" s="252">
        <f>'Master Player List'!H47</f>
        <v>5.9</v>
      </c>
      <c r="S47">
        <v>5</v>
      </c>
      <c r="T47" t="s">
        <v>22</v>
      </c>
      <c r="U47">
        <v>3</v>
      </c>
      <c r="V47" s="251">
        <f>Calcutta!$N$60</f>
        <v>260</v>
      </c>
      <c r="W47">
        <f>Calcutta!S60</f>
        <v>0</v>
      </c>
      <c r="X47" t="e">
        <f>Calcutta!T60</f>
        <v>#N/A</v>
      </c>
    </row>
    <row r="48" spans="1:24" x14ac:dyDescent="0.35">
      <c r="A48">
        <f>'Master Player List'!L48</f>
        <v>6</v>
      </c>
      <c r="B48">
        <f>'Master Player List'!M48</f>
        <v>6</v>
      </c>
      <c r="C48" t="str">
        <f>'Master Player List'!C48</f>
        <v xml:space="preserve">Sawyer, Ryan </v>
      </c>
      <c r="D48" t="str">
        <f>'Master Player List'!F48</f>
        <v xml:space="preserve">Resnick, Dan </v>
      </c>
      <c r="E48" t="str">
        <f>'Master Player List'!N48</f>
        <v xml:space="preserve">Fulmer, Austen </v>
      </c>
      <c r="F48" s="251">
        <f>Calcutta!E71</f>
        <v>1300</v>
      </c>
      <c r="G48" s="252">
        <f>'Master Player List'!J48</f>
        <v>16</v>
      </c>
      <c r="H48" s="252">
        <f>'Master Player List'!E48</f>
        <v>7.5</v>
      </c>
      <c r="I48" s="252">
        <f>'Master Player List'!H48</f>
        <v>8.5</v>
      </c>
      <c r="S48">
        <v>6</v>
      </c>
      <c r="T48" t="s">
        <v>20</v>
      </c>
      <c r="U48">
        <v>1</v>
      </c>
      <c r="V48" s="251">
        <f>Calcutta!$N$69</f>
        <v>615</v>
      </c>
      <c r="W48" t="str">
        <f>Calcutta!O69</f>
        <v xml:space="preserve">Crutcher, Ian </v>
      </c>
      <c r="X48" t="str">
        <f>Calcutta!P69</f>
        <v xml:space="preserve">Crutcher, Ian </v>
      </c>
    </row>
    <row r="49" spans="1:24" x14ac:dyDescent="0.35">
      <c r="A49">
        <f>'Master Player List'!L49</f>
        <v>6</v>
      </c>
      <c r="B49">
        <f>'Master Player List'!M49</f>
        <v>7</v>
      </c>
      <c r="C49" t="str">
        <f>'Master Player List'!C49</f>
        <v xml:space="preserve">O'Farrell, Patrick </v>
      </c>
      <c r="D49" t="str">
        <f>'Master Player List'!F49</f>
        <v xml:space="preserve">Elder, Forrest </v>
      </c>
      <c r="E49" t="str">
        <f>'Master Player List'!N49</f>
        <v>Drain, Zip</v>
      </c>
      <c r="F49" s="251">
        <f>Calcutta!E72</f>
        <v>1400</v>
      </c>
      <c r="G49" s="252">
        <f>'Master Player List'!J49</f>
        <v>16.600000000000001</v>
      </c>
      <c r="H49" s="252">
        <f>'Master Player List'!E49</f>
        <v>2.2999999999999998</v>
      </c>
      <c r="I49" s="252">
        <f>'Master Player List'!H49</f>
        <v>14.3</v>
      </c>
      <c r="S49">
        <v>6</v>
      </c>
      <c r="T49" t="s">
        <v>20</v>
      </c>
      <c r="U49">
        <v>2</v>
      </c>
      <c r="V49" s="251">
        <f>Calcutta!$N$70</f>
        <v>370</v>
      </c>
      <c r="W49">
        <f>Calcutta!O70</f>
        <v>0</v>
      </c>
      <c r="X49" t="e">
        <f>Calcutta!P70</f>
        <v>#N/A</v>
      </c>
    </row>
    <row r="50" spans="1:24" x14ac:dyDescent="0.35">
      <c r="A50">
        <f>'Master Player List'!L50</f>
        <v>6</v>
      </c>
      <c r="B50">
        <f>'Master Player List'!M50</f>
        <v>8</v>
      </c>
      <c r="C50" t="str">
        <f>'Master Player List'!C50</f>
        <v xml:space="preserve">Vidrine, Scot </v>
      </c>
      <c r="D50" t="str">
        <f>'Master Player List'!F50</f>
        <v xml:space="preserve">Nicholson, Scott </v>
      </c>
      <c r="E50" t="str">
        <f>'Master Player List'!N50</f>
        <v xml:space="preserve">Lau, Jason </v>
      </c>
      <c r="F50" s="251">
        <f>Calcutta!E73</f>
        <v>1200</v>
      </c>
      <c r="G50" s="252">
        <f>'Master Player List'!J50</f>
        <v>16.7</v>
      </c>
      <c r="H50" s="252">
        <f>'Master Player List'!E50</f>
        <v>5.5</v>
      </c>
      <c r="I50" s="252">
        <f>'Master Player List'!H50</f>
        <v>11.2</v>
      </c>
      <c r="S50">
        <v>6</v>
      </c>
      <c r="T50" t="s">
        <v>20</v>
      </c>
      <c r="U50">
        <v>3</v>
      </c>
      <c r="V50" s="251">
        <f>Calcutta!$N$71</f>
        <v>245</v>
      </c>
      <c r="W50">
        <f>Calcutta!O71</f>
        <v>0</v>
      </c>
      <c r="X50" t="e">
        <f>Calcutta!P71</f>
        <v>#N/A</v>
      </c>
    </row>
    <row r="51" spans="1:24" x14ac:dyDescent="0.35">
      <c r="A51">
        <f>'Master Player List'!L51</f>
        <v>7</v>
      </c>
      <c r="B51">
        <f>'Master Player List'!M51</f>
        <v>1</v>
      </c>
      <c r="C51" t="str">
        <f>'Master Player List'!C51</f>
        <v xml:space="preserve">Rzepniewski, Jason </v>
      </c>
      <c r="D51" t="str">
        <f>'Master Player List'!F51</f>
        <v xml:space="preserve">VanNoller, John </v>
      </c>
      <c r="E51" t="str">
        <f>'Master Player List'!N51</f>
        <v xml:space="preserve">Rzepniewski, Jason </v>
      </c>
      <c r="F51" s="251">
        <f>Calcutta!E77</f>
        <v>1500</v>
      </c>
      <c r="G51" s="252">
        <f>'Master Player List'!J51</f>
        <v>17.100000000000001</v>
      </c>
      <c r="H51" s="252">
        <f>'Master Player List'!E51</f>
        <v>7.2</v>
      </c>
      <c r="I51" s="252">
        <f>'Master Player List'!H51</f>
        <v>9.9</v>
      </c>
      <c r="S51">
        <v>6</v>
      </c>
      <c r="T51" t="s">
        <v>21</v>
      </c>
      <c r="U51">
        <v>1</v>
      </c>
      <c r="V51" s="251">
        <f>Calcutta!$N$69</f>
        <v>615</v>
      </c>
      <c r="W51">
        <f>Calcutta!Q69</f>
        <v>0</v>
      </c>
      <c r="X51" t="e">
        <f>Calcutta!R69</f>
        <v>#N/A</v>
      </c>
    </row>
    <row r="52" spans="1:24" x14ac:dyDescent="0.35">
      <c r="A52">
        <f>'Master Player List'!L52</f>
        <v>7</v>
      </c>
      <c r="B52">
        <f>'Master Player List'!M52</f>
        <v>2</v>
      </c>
      <c r="C52" t="str">
        <f>'Master Player List'!C52</f>
        <v xml:space="preserve">Patel, Bhav </v>
      </c>
      <c r="D52" t="str">
        <f>'Master Player List'!F52</f>
        <v xml:space="preserve">Ballou, Bob </v>
      </c>
      <c r="E52" t="str">
        <f>'Master Player List'!N52</f>
        <v xml:space="preserve">Wedgeworth, Cliff </v>
      </c>
      <c r="F52" s="251">
        <f>Calcutta!E78</f>
        <v>1500</v>
      </c>
      <c r="G52" s="252">
        <f>'Master Player List'!J52</f>
        <v>17.100000000000001</v>
      </c>
      <c r="H52" s="252">
        <f>'Master Player List'!E52</f>
        <v>8</v>
      </c>
      <c r="I52" s="252">
        <f>'Master Player List'!H52</f>
        <v>9.1</v>
      </c>
      <c r="S52">
        <v>6</v>
      </c>
      <c r="T52" t="s">
        <v>21</v>
      </c>
      <c r="U52">
        <v>2</v>
      </c>
      <c r="V52" s="251">
        <f>Calcutta!$N$70</f>
        <v>370</v>
      </c>
      <c r="W52" t="str">
        <f>Calcutta!Q70</f>
        <v xml:space="preserve">Shulman, Brandon </v>
      </c>
      <c r="X52" t="str">
        <f>Calcutta!R70</f>
        <v xml:space="preserve">Grantham, Mark </v>
      </c>
    </row>
    <row r="53" spans="1:24" x14ac:dyDescent="0.35">
      <c r="A53">
        <f>'Master Player List'!L53</f>
        <v>7</v>
      </c>
      <c r="B53">
        <f>'Master Player List'!M53</f>
        <v>3</v>
      </c>
      <c r="C53" t="str">
        <f>'Master Player List'!C53</f>
        <v xml:space="preserve">Ryan, Mike </v>
      </c>
      <c r="D53" t="str">
        <f>'Master Player List'!F53</f>
        <v xml:space="preserve">Enberg, Erik </v>
      </c>
      <c r="E53" t="str">
        <f>'Master Player List'!N53</f>
        <v xml:space="preserve">Grantham, Mark </v>
      </c>
      <c r="F53" s="251">
        <f>Calcutta!E79</f>
        <v>1200</v>
      </c>
      <c r="G53" s="252">
        <f>'Master Player List'!J53</f>
        <v>17.399999999999999</v>
      </c>
      <c r="H53" s="252">
        <f>'Master Player List'!E53</f>
        <v>10.1</v>
      </c>
      <c r="I53" s="252">
        <f>'Master Player List'!H53</f>
        <v>7.3</v>
      </c>
      <c r="S53">
        <v>6</v>
      </c>
      <c r="T53" t="s">
        <v>21</v>
      </c>
      <c r="U53">
        <v>3</v>
      </c>
      <c r="V53" s="251">
        <f>Calcutta!$N$71</f>
        <v>245</v>
      </c>
      <c r="W53">
        <f>Calcutta!Q71</f>
        <v>0</v>
      </c>
      <c r="X53" t="e">
        <f>Calcutta!R71</f>
        <v>#N/A</v>
      </c>
    </row>
    <row r="54" spans="1:24" x14ac:dyDescent="0.35">
      <c r="A54">
        <f>'Master Player List'!L54</f>
        <v>7</v>
      </c>
      <c r="B54">
        <f>'Master Player List'!M54</f>
        <v>4</v>
      </c>
      <c r="C54" t="str">
        <f>'Master Player List'!C54</f>
        <v xml:space="preserve">Toombs, Chris </v>
      </c>
      <c r="D54" t="str">
        <f>'Master Player List'!F54</f>
        <v xml:space="preserve">March, James </v>
      </c>
      <c r="E54" t="str">
        <f>'Master Player List'!N54</f>
        <v xml:space="preserve">Parent, Brian </v>
      </c>
      <c r="F54" s="251">
        <f>Calcutta!E80</f>
        <v>900</v>
      </c>
      <c r="G54" s="252">
        <f>'Master Player List'!J54</f>
        <v>17.399999999999999</v>
      </c>
      <c r="H54" s="252">
        <f>'Master Player List'!E54</f>
        <v>8.4</v>
      </c>
      <c r="I54" s="252">
        <f>'Master Player List'!H54</f>
        <v>9</v>
      </c>
      <c r="S54">
        <v>6</v>
      </c>
      <c r="T54" t="s">
        <v>22</v>
      </c>
      <c r="U54">
        <v>1</v>
      </c>
      <c r="V54" s="251">
        <f>Calcutta!$N$69</f>
        <v>615</v>
      </c>
      <c r="W54" t="str">
        <f>Calcutta!S69</f>
        <v xml:space="preserve">French, Arthur </v>
      </c>
      <c r="X54" t="str">
        <f>Calcutta!T69</f>
        <v xml:space="preserve">French, Arthur </v>
      </c>
    </row>
    <row r="55" spans="1:24" x14ac:dyDescent="0.35">
      <c r="A55">
        <f>'Master Player List'!L55</f>
        <v>7</v>
      </c>
      <c r="B55">
        <f>'Master Player List'!M55</f>
        <v>5</v>
      </c>
      <c r="C55" t="str">
        <f>'Master Player List'!C55</f>
        <v xml:space="preserve">Conwell, Jerry </v>
      </c>
      <c r="D55" t="str">
        <f>'Master Player List'!F55</f>
        <v xml:space="preserve">Kendrick, Collin </v>
      </c>
      <c r="E55" t="str">
        <f>'Master Player List'!N55</f>
        <v xml:space="preserve">Schnautz, David </v>
      </c>
      <c r="F55" s="251">
        <f>Calcutta!E81</f>
        <v>2200</v>
      </c>
      <c r="G55" s="252">
        <f>'Master Player List'!J55</f>
        <v>17.5</v>
      </c>
      <c r="H55" s="252">
        <f>'Master Player List'!E55</f>
        <v>3.4</v>
      </c>
      <c r="I55" s="252">
        <f>'Master Player List'!H55</f>
        <v>14.1</v>
      </c>
      <c r="S55">
        <v>6</v>
      </c>
      <c r="T55" t="s">
        <v>22</v>
      </c>
      <c r="U55">
        <v>2</v>
      </c>
      <c r="V55" s="251">
        <f>Calcutta!$N$70</f>
        <v>370</v>
      </c>
      <c r="W55">
        <f>Calcutta!S70</f>
        <v>0</v>
      </c>
      <c r="X55" t="e">
        <f>Calcutta!T70</f>
        <v>#N/A</v>
      </c>
    </row>
    <row r="56" spans="1:24" x14ac:dyDescent="0.35">
      <c r="A56">
        <f>'Master Player List'!L56</f>
        <v>7</v>
      </c>
      <c r="B56">
        <f>'Master Player List'!M56</f>
        <v>6</v>
      </c>
      <c r="C56" t="str">
        <f>'Master Player List'!C56</f>
        <v xml:space="preserve">Oster, Neil </v>
      </c>
      <c r="D56" t="str">
        <f>'Master Player List'!F56</f>
        <v xml:space="preserve">Clark, Andrew </v>
      </c>
      <c r="E56" t="str">
        <f>'Master Player List'!N56</f>
        <v xml:space="preserve">Aghazadeh, Abdol </v>
      </c>
      <c r="F56" s="251">
        <f>Calcutta!E82</f>
        <v>1200</v>
      </c>
      <c r="G56" s="252">
        <f>'Master Player List'!J56</f>
        <v>18.100000000000001</v>
      </c>
      <c r="H56" s="252">
        <f>'Master Player List'!E56</f>
        <v>6.9</v>
      </c>
      <c r="I56" s="252">
        <f>'Master Player List'!H56</f>
        <v>11.2</v>
      </c>
      <c r="S56">
        <v>6</v>
      </c>
      <c r="T56" t="s">
        <v>22</v>
      </c>
      <c r="U56">
        <v>3</v>
      </c>
      <c r="V56" s="251">
        <f>Calcutta!$N$71</f>
        <v>245</v>
      </c>
      <c r="W56">
        <f>Calcutta!S71</f>
        <v>0</v>
      </c>
      <c r="X56" t="e">
        <f>Calcutta!T71</f>
        <v>#N/A</v>
      </c>
    </row>
    <row r="57" spans="1:24" x14ac:dyDescent="0.35">
      <c r="A57">
        <f>'Master Player List'!L57</f>
        <v>7</v>
      </c>
      <c r="B57">
        <f>'Master Player List'!M57</f>
        <v>7</v>
      </c>
      <c r="C57" t="str">
        <f>'Master Player List'!C57</f>
        <v xml:space="preserve">Godhania, Vikas </v>
      </c>
      <c r="D57" t="str">
        <f>'Master Player List'!F57</f>
        <v xml:space="preserve">Mosqueda, Scott </v>
      </c>
      <c r="E57" t="str">
        <f>'Master Player List'!N57</f>
        <v xml:space="preserve">Edwards, Patric </v>
      </c>
      <c r="F57" s="251">
        <f>Calcutta!E83</f>
        <v>1000</v>
      </c>
      <c r="G57" s="252">
        <f>'Master Player List'!J57</f>
        <v>18.100000000000001</v>
      </c>
      <c r="H57" s="252">
        <f>'Master Player List'!E57</f>
        <v>9.4</v>
      </c>
      <c r="I57" s="252">
        <f>'Master Player List'!H57</f>
        <v>8.6999999999999993</v>
      </c>
      <c r="S57">
        <v>7</v>
      </c>
      <c r="T57" t="s">
        <v>20</v>
      </c>
      <c r="U57">
        <v>1</v>
      </c>
      <c r="V57" s="251">
        <f>Calcutta!$N$80</f>
        <v>555</v>
      </c>
      <c r="W57" t="str">
        <f>Calcutta!O80</f>
        <v xml:space="preserve">Patel, Bhav </v>
      </c>
      <c r="X57" t="str">
        <f>Calcutta!P80</f>
        <v xml:space="preserve">Wedgeworth, Cliff </v>
      </c>
    </row>
    <row r="58" spans="1:24" x14ac:dyDescent="0.35">
      <c r="A58">
        <f>'Master Player List'!L58</f>
        <v>7</v>
      </c>
      <c r="B58">
        <f>'Master Player List'!M58</f>
        <v>8</v>
      </c>
      <c r="C58" t="str">
        <f>'Master Player List'!C58</f>
        <v xml:space="preserve">Edwards, Patric </v>
      </c>
      <c r="D58" t="str">
        <f>'Master Player List'!F58</f>
        <v xml:space="preserve">Lorts, Anthony </v>
      </c>
      <c r="E58" t="str">
        <f>'Master Player List'!N58</f>
        <v xml:space="preserve">Edwards, Patric </v>
      </c>
      <c r="F58" s="251">
        <f>Calcutta!E84</f>
        <v>800</v>
      </c>
      <c r="G58" s="252">
        <f>'Master Player List'!J58</f>
        <v>18.399999999999999</v>
      </c>
      <c r="H58" s="252">
        <f>'Master Player List'!E58</f>
        <v>8.8000000000000007</v>
      </c>
      <c r="I58" s="252">
        <f>'Master Player List'!H58</f>
        <v>9.6</v>
      </c>
      <c r="S58">
        <v>7</v>
      </c>
      <c r="T58" t="s">
        <v>20</v>
      </c>
      <c r="U58">
        <v>2</v>
      </c>
      <c r="V58" s="251">
        <f>Calcutta!$N$81</f>
        <v>335</v>
      </c>
      <c r="W58" t="str">
        <f>Calcutta!O81</f>
        <v xml:space="preserve">Ryan, Mike </v>
      </c>
      <c r="X58" t="str">
        <f>Calcutta!P81</f>
        <v xml:space="preserve">Grantham, Mark </v>
      </c>
    </row>
    <row r="59" spans="1:24" x14ac:dyDescent="0.35">
      <c r="A59">
        <f>'Master Player List'!L59</f>
        <v>8</v>
      </c>
      <c r="B59">
        <f>'Master Player List'!M59</f>
        <v>1</v>
      </c>
      <c r="C59" t="str">
        <f>'Master Player List'!C59</f>
        <v xml:space="preserve">Jackson, Eric </v>
      </c>
      <c r="D59" t="str">
        <f>'Master Player List'!F59</f>
        <v xml:space="preserve">Jackson, Paul </v>
      </c>
      <c r="E59" t="str">
        <f>'Master Player List'!N59</f>
        <v xml:space="preserve">Aghazadeh, Abdol </v>
      </c>
      <c r="F59" s="251">
        <f>Calcutta!E88</f>
        <v>600</v>
      </c>
      <c r="G59" s="252">
        <f>'Master Player List'!J59</f>
        <v>18.8</v>
      </c>
      <c r="H59" s="252">
        <f>'Master Player List'!E59</f>
        <v>9.8000000000000007</v>
      </c>
      <c r="I59" s="252">
        <f>'Master Player List'!H59</f>
        <v>9</v>
      </c>
      <c r="S59">
        <v>7</v>
      </c>
      <c r="T59" t="s">
        <v>20</v>
      </c>
      <c r="U59">
        <v>3</v>
      </c>
      <c r="V59" s="251">
        <f>Calcutta!$N$82</f>
        <v>220</v>
      </c>
      <c r="W59">
        <f>Calcutta!O82</f>
        <v>0</v>
      </c>
      <c r="X59" t="e">
        <f>Calcutta!P82</f>
        <v>#N/A</v>
      </c>
    </row>
    <row r="60" spans="1:24" x14ac:dyDescent="0.35">
      <c r="A60">
        <f>'Master Player List'!L60</f>
        <v>8</v>
      </c>
      <c r="B60">
        <f>'Master Player List'!M60</f>
        <v>2</v>
      </c>
      <c r="C60" t="str">
        <f>'Master Player List'!C60</f>
        <v xml:space="preserve">Kandala, Ravi </v>
      </c>
      <c r="D60" t="str">
        <f>'Master Player List'!F60</f>
        <v xml:space="preserve">Reddy, Shireesh </v>
      </c>
      <c r="E60" t="str">
        <f>'Master Player List'!N60</f>
        <v xml:space="preserve">Kandala, Ravi </v>
      </c>
      <c r="F60" s="251">
        <f>Calcutta!E89</f>
        <v>1100</v>
      </c>
      <c r="G60" s="252">
        <f>'Master Player List'!J60</f>
        <v>19.2</v>
      </c>
      <c r="H60" s="252">
        <f>'Master Player List'!E60</f>
        <v>6.2</v>
      </c>
      <c r="I60" s="252">
        <f>'Master Player List'!H60</f>
        <v>13</v>
      </c>
      <c r="S60">
        <v>7</v>
      </c>
      <c r="T60" t="s">
        <v>21</v>
      </c>
      <c r="U60">
        <v>1</v>
      </c>
      <c r="V60" s="251">
        <f>Calcutta!$N$80</f>
        <v>555</v>
      </c>
      <c r="W60" t="str">
        <f>Calcutta!Q80</f>
        <v xml:space="preserve">Patel, Bhav </v>
      </c>
      <c r="X60" t="str">
        <f>Calcutta!R80</f>
        <v xml:space="preserve">Wedgeworth, Cliff </v>
      </c>
    </row>
    <row r="61" spans="1:24" x14ac:dyDescent="0.35">
      <c r="A61">
        <f>'Master Player List'!L61</f>
        <v>8</v>
      </c>
      <c r="B61">
        <f>'Master Player List'!M61</f>
        <v>3</v>
      </c>
      <c r="C61" t="str">
        <f>'Master Player List'!C61</f>
        <v xml:space="preserve">Korndorffer, Blake </v>
      </c>
      <c r="D61" t="str">
        <f>'Master Player List'!F61</f>
        <v xml:space="preserve">Korndorffer, Brad </v>
      </c>
      <c r="E61" t="str">
        <f>'Master Player List'!N61</f>
        <v xml:space="preserve">Aghazadeh, Abdol </v>
      </c>
      <c r="F61" s="251">
        <f>Calcutta!E90</f>
        <v>1500</v>
      </c>
      <c r="G61" s="252">
        <f>'Master Player List'!J61</f>
        <v>19.600000000000001</v>
      </c>
      <c r="H61" s="252">
        <f>'Master Player List'!E61</f>
        <v>2.6</v>
      </c>
      <c r="I61" s="252">
        <f>'Master Player List'!H61</f>
        <v>17</v>
      </c>
      <c r="S61">
        <v>7</v>
      </c>
      <c r="T61" t="s">
        <v>21</v>
      </c>
      <c r="U61">
        <v>2</v>
      </c>
      <c r="V61" s="251">
        <f>Calcutta!$N$81</f>
        <v>335</v>
      </c>
      <c r="W61">
        <f>Calcutta!Q81</f>
        <v>0</v>
      </c>
      <c r="X61" t="e">
        <f>Calcutta!R81</f>
        <v>#N/A</v>
      </c>
    </row>
    <row r="62" spans="1:24" x14ac:dyDescent="0.35">
      <c r="A62">
        <f>'Master Player List'!L62</f>
        <v>8</v>
      </c>
      <c r="B62">
        <f>'Master Player List'!M62</f>
        <v>4</v>
      </c>
      <c r="C62" t="str">
        <f>'Master Player List'!C62</f>
        <v xml:space="preserve">McDonald, David </v>
      </c>
      <c r="D62" t="str">
        <f>'Master Player List'!F62</f>
        <v xml:space="preserve">Williams, Drew </v>
      </c>
      <c r="E62" t="str">
        <f>'Master Player List'!N62</f>
        <v xml:space="preserve">Schnautz, David </v>
      </c>
      <c r="F62" s="251">
        <f>Calcutta!E91</f>
        <v>1000</v>
      </c>
      <c r="G62" s="252">
        <f>'Master Player List'!J62</f>
        <v>20</v>
      </c>
      <c r="H62" s="252">
        <f>'Master Player List'!E62</f>
        <v>6.2</v>
      </c>
      <c r="I62" s="252">
        <f>'Master Player List'!H62</f>
        <v>13.8</v>
      </c>
      <c r="S62">
        <v>7</v>
      </c>
      <c r="T62" t="s">
        <v>21</v>
      </c>
      <c r="U62">
        <v>3</v>
      </c>
      <c r="V62" s="251">
        <f>Calcutta!$N$82</f>
        <v>220</v>
      </c>
      <c r="W62">
        <f>Calcutta!Q82</f>
        <v>0</v>
      </c>
      <c r="X62" t="e">
        <f>Calcutta!R82</f>
        <v>#N/A</v>
      </c>
    </row>
    <row r="63" spans="1:24" x14ac:dyDescent="0.35">
      <c r="A63">
        <f>'Master Player List'!L63</f>
        <v>8</v>
      </c>
      <c r="B63">
        <f>'Master Player List'!M63</f>
        <v>5</v>
      </c>
      <c r="C63" t="str">
        <f>'Master Player List'!C63</f>
        <v xml:space="preserve">Schedler, Chris </v>
      </c>
      <c r="D63" t="str">
        <f>'Master Player List'!F63</f>
        <v xml:space="preserve">Barrs, Eric </v>
      </c>
      <c r="E63" t="str">
        <f>'Master Player List'!N63</f>
        <v xml:space="preserve">Maples, Brent </v>
      </c>
      <c r="F63" s="251">
        <f>Calcutta!E92</f>
        <v>1300</v>
      </c>
      <c r="G63" s="252">
        <f>'Master Player List'!J63</f>
        <v>20.2</v>
      </c>
      <c r="H63" s="252">
        <f>'Master Player List'!E63</f>
        <v>12.1</v>
      </c>
      <c r="I63" s="252">
        <f>'Master Player List'!H63</f>
        <v>8.1</v>
      </c>
      <c r="S63">
        <v>7</v>
      </c>
      <c r="T63" t="s">
        <v>22</v>
      </c>
      <c r="U63">
        <v>1</v>
      </c>
      <c r="V63" s="251">
        <f>Calcutta!$N$80</f>
        <v>555</v>
      </c>
      <c r="W63">
        <f>Calcutta!S80</f>
        <v>0</v>
      </c>
      <c r="X63" t="e">
        <f>Calcutta!T80</f>
        <v>#N/A</v>
      </c>
    </row>
    <row r="64" spans="1:24" x14ac:dyDescent="0.35">
      <c r="A64">
        <f>'Master Player List'!L64</f>
        <v>8</v>
      </c>
      <c r="B64">
        <f>'Master Player List'!M64</f>
        <v>6</v>
      </c>
      <c r="C64" t="str">
        <f>'Master Player List'!C64</f>
        <v xml:space="preserve">Weaver, Brian </v>
      </c>
      <c r="D64" t="str">
        <f>'Master Player List'!F64</f>
        <v xml:space="preserve">Kenney, Michael </v>
      </c>
      <c r="E64" t="str">
        <f>'Master Player List'!N64</f>
        <v xml:space="preserve">Weaver, Brian </v>
      </c>
      <c r="F64" s="251">
        <f>Calcutta!E93</f>
        <v>1000</v>
      </c>
      <c r="G64" s="252">
        <f>'Master Player List'!J64</f>
        <v>20.5</v>
      </c>
      <c r="H64" s="252">
        <f>'Master Player List'!E64</f>
        <v>15.9</v>
      </c>
      <c r="I64" s="252">
        <f>'Master Player List'!H64</f>
        <v>4.5999999999999996</v>
      </c>
      <c r="S64">
        <v>7</v>
      </c>
      <c r="T64" t="s">
        <v>22</v>
      </c>
      <c r="U64">
        <v>2</v>
      </c>
      <c r="V64" s="251">
        <f>Calcutta!$N$81</f>
        <v>335</v>
      </c>
      <c r="W64" t="str">
        <f>Calcutta!S81</f>
        <v xml:space="preserve">Oster, Neil </v>
      </c>
      <c r="X64" t="str">
        <f>Calcutta!T81</f>
        <v xml:space="preserve">Aghazadeh, Abdol </v>
      </c>
    </row>
    <row r="65" spans="1:24" x14ac:dyDescent="0.35">
      <c r="A65">
        <f>'Master Player List'!L65</f>
        <v>8</v>
      </c>
      <c r="B65">
        <f>'Master Player List'!M65</f>
        <v>7</v>
      </c>
      <c r="C65" t="str">
        <f>'Master Player List'!C65</f>
        <v xml:space="preserve">Capone, Michael </v>
      </c>
      <c r="D65" t="str">
        <f>'Master Player List'!F65</f>
        <v xml:space="preserve">Simpson, Corey </v>
      </c>
      <c r="E65" t="str">
        <f>'Master Player List'!N65</f>
        <v xml:space="preserve">Capone, Michael </v>
      </c>
      <c r="F65" s="251">
        <f>Calcutta!E94</f>
        <v>1100</v>
      </c>
      <c r="G65" s="252">
        <f>'Master Player List'!J65</f>
        <v>21.4</v>
      </c>
      <c r="H65" s="252">
        <f>'Master Player List'!E65</f>
        <v>16.3</v>
      </c>
      <c r="I65" s="252">
        <f>'Master Player List'!H65</f>
        <v>5.0999999999999996</v>
      </c>
      <c r="S65">
        <v>7</v>
      </c>
      <c r="T65" t="s">
        <v>22</v>
      </c>
      <c r="U65">
        <v>3</v>
      </c>
      <c r="V65" s="251">
        <f>Calcutta!$N$82</f>
        <v>220</v>
      </c>
      <c r="W65">
        <f>Calcutta!S82</f>
        <v>0</v>
      </c>
      <c r="X65" t="e">
        <f>Calcutta!T82</f>
        <v>#N/A</v>
      </c>
    </row>
    <row r="66" spans="1:24" x14ac:dyDescent="0.35">
      <c r="A66">
        <f>'Master Player List'!L66</f>
        <v>8</v>
      </c>
      <c r="B66">
        <f>'Master Player List'!M66</f>
        <v>8</v>
      </c>
      <c r="C66" t="str">
        <f>'Master Player List'!C66</f>
        <v xml:space="preserve">Manganaro, Tony </v>
      </c>
      <c r="D66" t="str">
        <f>'Master Player List'!F66</f>
        <v xml:space="preserve">Richgels, Kevin </v>
      </c>
      <c r="E66" t="str">
        <f>'Master Player List'!N66</f>
        <v xml:space="preserve">Brymer, Cory </v>
      </c>
      <c r="F66" s="251">
        <f>Calcutta!E95</f>
        <v>1700</v>
      </c>
      <c r="G66" s="252">
        <f>'Master Player List'!J66</f>
        <v>22.3</v>
      </c>
      <c r="H66" s="252">
        <f>'Master Player List'!E66</f>
        <v>8.8000000000000007</v>
      </c>
      <c r="I66" s="252">
        <f>'Master Player List'!H66</f>
        <v>13.5</v>
      </c>
      <c r="S66">
        <v>8</v>
      </c>
      <c r="T66" t="s">
        <v>20</v>
      </c>
      <c r="U66">
        <v>1</v>
      </c>
      <c r="V66" s="251">
        <f>Calcutta!$N$91</f>
        <v>500</v>
      </c>
      <c r="W66">
        <f>Calcutta!O91</f>
        <v>0</v>
      </c>
      <c r="X66" t="e">
        <f>Calcutta!P91</f>
        <v>#N/A</v>
      </c>
    </row>
    <row r="67" spans="1:24" x14ac:dyDescent="0.35">
      <c r="A67">
        <f>'Master Player List'!L67</f>
        <v>9</v>
      </c>
      <c r="B67">
        <f>'Master Player List'!M67</f>
        <v>1</v>
      </c>
      <c r="C67" t="str">
        <f>'Master Player List'!C67</f>
        <v xml:space="preserve">Cress, Pj </v>
      </c>
      <c r="D67" t="str">
        <f>'Master Player List'!F67</f>
        <v xml:space="preserve">Rojas, Juan </v>
      </c>
      <c r="E67" t="str">
        <f>'Master Player List'!N67</f>
        <v xml:space="preserve">Capone, Michael </v>
      </c>
      <c r="F67" s="251">
        <f>Calcutta!E99</f>
        <v>1000</v>
      </c>
      <c r="G67" s="252">
        <f>'Master Player List'!J67</f>
        <v>22.7</v>
      </c>
      <c r="H67" s="252">
        <f>'Master Player List'!E67</f>
        <v>8.6</v>
      </c>
      <c r="I67" s="252">
        <f>'Master Player List'!H67</f>
        <v>14.1</v>
      </c>
      <c r="S67">
        <v>8</v>
      </c>
      <c r="T67" t="s">
        <v>20</v>
      </c>
      <c r="U67">
        <v>2</v>
      </c>
      <c r="V67" s="251">
        <f>Calcutta!$N$92</f>
        <v>300</v>
      </c>
      <c r="W67" t="str">
        <f>Calcutta!O92</f>
        <v xml:space="preserve">Weaver, Brian </v>
      </c>
      <c r="X67" t="str">
        <f>Calcutta!P92</f>
        <v xml:space="preserve">Weaver, Brian </v>
      </c>
    </row>
    <row r="68" spans="1:24" x14ac:dyDescent="0.35">
      <c r="A68">
        <f>'Master Player List'!L68</f>
        <v>9</v>
      </c>
      <c r="B68">
        <f>'Master Player List'!M68</f>
        <v>2</v>
      </c>
      <c r="C68" t="str">
        <f>'Master Player List'!C68</f>
        <v xml:space="preserve">Bohnen, John </v>
      </c>
      <c r="D68" t="str">
        <f>'Master Player List'!F68</f>
        <v xml:space="preserve">Cobb, Tony </v>
      </c>
      <c r="E68" t="str">
        <f>'Master Player List'!N68</f>
        <v xml:space="preserve">Bohnen, John </v>
      </c>
      <c r="F68" s="251">
        <f>Calcutta!E100</f>
        <v>1300</v>
      </c>
      <c r="G68" s="252">
        <f>'Master Player List'!J68</f>
        <v>23</v>
      </c>
      <c r="H68" s="252">
        <f>'Master Player List'!E68</f>
        <v>5.0999999999999996</v>
      </c>
      <c r="I68" s="252">
        <f>'Master Player List'!H68</f>
        <v>17.899999999999999</v>
      </c>
      <c r="S68">
        <v>8</v>
      </c>
      <c r="T68" t="s">
        <v>20</v>
      </c>
      <c r="U68">
        <v>3</v>
      </c>
      <c r="V68" s="251">
        <f>Calcutta!$N$93</f>
        <v>200</v>
      </c>
      <c r="W68">
        <f>Calcutta!O93</f>
        <v>0</v>
      </c>
      <c r="X68" t="e">
        <f>Calcutta!P93</f>
        <v>#N/A</v>
      </c>
    </row>
    <row r="69" spans="1:24" x14ac:dyDescent="0.35">
      <c r="A69">
        <f>'Master Player List'!L69</f>
        <v>9</v>
      </c>
      <c r="B69">
        <f>'Master Player List'!M69</f>
        <v>3</v>
      </c>
      <c r="C69" t="str">
        <f>'Master Player List'!C69</f>
        <v xml:space="preserve">Clements, Jake </v>
      </c>
      <c r="D69" t="str">
        <f>'Master Player List'!F69</f>
        <v xml:space="preserve">Clements, Roy </v>
      </c>
      <c r="E69" t="str">
        <f>'Master Player List'!N69</f>
        <v xml:space="preserve">Vaughn, Earl </v>
      </c>
      <c r="F69" s="251">
        <f>Calcutta!E101</f>
        <v>800</v>
      </c>
      <c r="G69" s="252">
        <f>'Master Player List'!J69</f>
        <v>23.700000000000003</v>
      </c>
      <c r="H69" s="252">
        <f>'Master Player List'!E69</f>
        <v>13.4</v>
      </c>
      <c r="I69" s="252">
        <f>'Master Player List'!H69</f>
        <v>10.3</v>
      </c>
      <c r="S69">
        <v>8</v>
      </c>
      <c r="T69" t="s">
        <v>21</v>
      </c>
      <c r="U69">
        <v>1</v>
      </c>
      <c r="V69" s="251">
        <f>Calcutta!$N$91</f>
        <v>500</v>
      </c>
      <c r="W69" t="str">
        <f>Calcutta!Q91</f>
        <v xml:space="preserve">Capone, Michael </v>
      </c>
      <c r="X69" t="str">
        <f>Calcutta!R91</f>
        <v xml:space="preserve">Capone, Michael </v>
      </c>
    </row>
    <row r="70" spans="1:24" x14ac:dyDescent="0.35">
      <c r="A70">
        <f>'Master Player List'!L70</f>
        <v>9</v>
      </c>
      <c r="B70">
        <f>'Master Player List'!M70</f>
        <v>4</v>
      </c>
      <c r="C70" t="str">
        <f>'Master Player List'!C70</f>
        <v xml:space="preserve">Altamirano, Joe </v>
      </c>
      <c r="D70" t="str">
        <f>'Master Player List'!F70</f>
        <v xml:space="preserve">Khanna, Ashish </v>
      </c>
      <c r="E70" t="str">
        <f>'Master Player List'!N70</f>
        <v xml:space="preserve">Altamirano, Joe </v>
      </c>
      <c r="F70" s="251">
        <f>Calcutta!E102</f>
        <v>900</v>
      </c>
      <c r="G70" s="252">
        <f>'Master Player List'!J70</f>
        <v>23.9</v>
      </c>
      <c r="H70" s="252">
        <f>'Master Player List'!E70</f>
        <v>15.6</v>
      </c>
      <c r="I70" s="252">
        <f>'Master Player List'!H70</f>
        <v>8.3000000000000007</v>
      </c>
      <c r="S70">
        <v>8</v>
      </c>
      <c r="T70" t="s">
        <v>21</v>
      </c>
      <c r="U70">
        <v>2</v>
      </c>
      <c r="V70" s="251">
        <f>Calcutta!$N$92</f>
        <v>300</v>
      </c>
      <c r="W70">
        <f>Calcutta!Q92</f>
        <v>0</v>
      </c>
      <c r="X70" t="e">
        <f>Calcutta!R92</f>
        <v>#N/A</v>
      </c>
    </row>
    <row r="71" spans="1:24" x14ac:dyDescent="0.35">
      <c r="A71">
        <f>'Master Player List'!L71</f>
        <v>9</v>
      </c>
      <c r="B71">
        <f>'Master Player List'!M71</f>
        <v>5</v>
      </c>
      <c r="C71" t="str">
        <f>'Master Player List'!C71</f>
        <v xml:space="preserve">Barney, Jorge </v>
      </c>
      <c r="D71" t="str">
        <f>'Master Player List'!F71</f>
        <v xml:space="preserve">Barney, Robert </v>
      </c>
      <c r="E71" t="str">
        <f>'Master Player List'!N71</f>
        <v xml:space="preserve">Edwards, Patric </v>
      </c>
      <c r="F71" s="251">
        <f>Calcutta!E103</f>
        <v>1400</v>
      </c>
      <c r="G71" s="252">
        <f>'Master Player List'!J71</f>
        <v>24.1</v>
      </c>
      <c r="H71" s="252">
        <f>'Master Player List'!E71</f>
        <v>6.4</v>
      </c>
      <c r="I71" s="252">
        <f>'Master Player List'!H71</f>
        <v>17.7</v>
      </c>
      <c r="S71">
        <v>8</v>
      </c>
      <c r="T71" t="s">
        <v>21</v>
      </c>
      <c r="U71">
        <v>3</v>
      </c>
      <c r="V71" s="251">
        <f>Calcutta!$N$93</f>
        <v>200</v>
      </c>
      <c r="W71">
        <f>Calcutta!Q93</f>
        <v>0</v>
      </c>
      <c r="X71" t="e">
        <f>Calcutta!R93</f>
        <v>#N/A</v>
      </c>
    </row>
    <row r="72" spans="1:24" x14ac:dyDescent="0.35">
      <c r="A72">
        <f>'Master Player List'!L72</f>
        <v>9</v>
      </c>
      <c r="B72">
        <f>'Master Player List'!M72</f>
        <v>6</v>
      </c>
      <c r="C72" t="str">
        <f>'Master Player List'!C72</f>
        <v xml:space="preserve">Schnautz, David </v>
      </c>
      <c r="D72" t="str">
        <f>'Master Player List'!F72</f>
        <v xml:space="preserve">Pierson, Kevin </v>
      </c>
      <c r="E72" t="str">
        <f>'Master Player List'!N72</f>
        <v xml:space="preserve">Schnautz, David </v>
      </c>
      <c r="F72" s="251">
        <f>Calcutta!E104</f>
        <v>1100</v>
      </c>
      <c r="G72" s="252">
        <f>'Master Player List'!J72</f>
        <v>24.1</v>
      </c>
      <c r="H72" s="252">
        <f>'Master Player List'!E72</f>
        <v>17.7</v>
      </c>
      <c r="I72" s="252">
        <f>'Master Player List'!H72</f>
        <v>6.4</v>
      </c>
      <c r="S72">
        <v>8</v>
      </c>
      <c r="T72" t="s">
        <v>22</v>
      </c>
      <c r="U72">
        <v>1</v>
      </c>
      <c r="V72" s="251">
        <f>Calcutta!$N$91</f>
        <v>500</v>
      </c>
      <c r="W72">
        <f>Calcutta!S91</f>
        <v>0</v>
      </c>
      <c r="X72" t="e">
        <f>Calcutta!T91</f>
        <v>#N/A</v>
      </c>
    </row>
    <row r="73" spans="1:24" x14ac:dyDescent="0.35">
      <c r="A73">
        <f>'Master Player List'!L73</f>
        <v>9</v>
      </c>
      <c r="B73">
        <f>'Master Player List'!M73</f>
        <v>7</v>
      </c>
      <c r="C73" t="str">
        <f>'Master Player List'!C73</f>
        <v xml:space="preserve">Grantham, Mark </v>
      </c>
      <c r="D73" t="str">
        <f>'Master Player List'!F73</f>
        <v xml:space="preserve">Shaw, Stuart </v>
      </c>
      <c r="E73" t="str">
        <f>'Master Player List'!N73</f>
        <v xml:space="preserve">Grantham, Mark </v>
      </c>
      <c r="F73" s="251">
        <f>Calcutta!E105</f>
        <v>1100</v>
      </c>
      <c r="G73" s="252">
        <f>'Master Player List'!J73</f>
        <v>25.5</v>
      </c>
      <c r="H73" s="252">
        <f>'Master Player List'!E73</f>
        <v>13</v>
      </c>
      <c r="I73" s="252">
        <f>'Master Player List'!H73</f>
        <v>12.5</v>
      </c>
      <c r="S73">
        <v>8</v>
      </c>
      <c r="T73" t="s">
        <v>22</v>
      </c>
      <c r="U73">
        <v>2</v>
      </c>
      <c r="V73" s="251">
        <f>Calcutta!$N$92</f>
        <v>300</v>
      </c>
      <c r="W73">
        <f>Calcutta!S92</f>
        <v>0</v>
      </c>
      <c r="X73" t="e">
        <f>Calcutta!T92</f>
        <v>#N/A</v>
      </c>
    </row>
    <row r="74" spans="1:24" x14ac:dyDescent="0.35">
      <c r="A74">
        <f>'Master Player List'!L74</f>
        <v>9</v>
      </c>
      <c r="B74">
        <f>'Master Player List'!M74</f>
        <v>8</v>
      </c>
      <c r="C74" t="str">
        <f>'Master Player List'!C74</f>
        <v xml:space="preserve">Kruchowsky, Tim </v>
      </c>
      <c r="D74" t="str">
        <f>'Master Player List'!F74</f>
        <v xml:space="preserve">Mathers, Jb </v>
      </c>
      <c r="E74" t="str">
        <f>'Master Player List'!N74</f>
        <v xml:space="preserve">Fulmer, Austen </v>
      </c>
      <c r="F74" s="251">
        <f>Calcutta!E106</f>
        <v>1700</v>
      </c>
      <c r="G74" s="252">
        <f>'Master Player List'!J74</f>
        <v>27.200000000000003</v>
      </c>
      <c r="H74" s="252">
        <f>'Master Player List'!E74</f>
        <v>12.4</v>
      </c>
      <c r="I74" s="252">
        <f>'Master Player List'!H74</f>
        <v>14.8</v>
      </c>
      <c r="S74">
        <v>8</v>
      </c>
      <c r="T74" t="s">
        <v>22</v>
      </c>
      <c r="U74">
        <v>3</v>
      </c>
      <c r="V74" s="251">
        <f>Calcutta!$N$93</f>
        <v>200</v>
      </c>
      <c r="W74" t="str">
        <f>Calcutta!S93</f>
        <v xml:space="preserve">Kandala, Ravi </v>
      </c>
      <c r="X74" t="str">
        <f>Calcutta!T93</f>
        <v xml:space="preserve">Kandala, Ravi </v>
      </c>
    </row>
    <row r="75" spans="1:24" x14ac:dyDescent="0.35">
      <c r="A75">
        <f>'Master Player List'!L75</f>
        <v>10</v>
      </c>
      <c r="B75">
        <f>'Master Player List'!M75</f>
        <v>1</v>
      </c>
      <c r="C75" t="str">
        <f>'Master Player List'!C75</f>
        <v xml:space="preserve">Deangelis, Adam </v>
      </c>
      <c r="D75" t="str">
        <f>'Master Player List'!F75</f>
        <v xml:space="preserve">Carter, William </v>
      </c>
      <c r="E75" t="str">
        <f>'Master Player List'!N75</f>
        <v xml:space="preserve">Vaughn, Earl </v>
      </c>
      <c r="F75" s="251">
        <f>Calcutta!E110</f>
        <v>1400</v>
      </c>
      <c r="G75" s="252">
        <f>'Master Player List'!J75</f>
        <v>27.7</v>
      </c>
      <c r="H75" s="252">
        <f>'Master Player List'!E75</f>
        <v>10</v>
      </c>
      <c r="I75" s="252">
        <f>'Master Player List'!H75</f>
        <v>17.7</v>
      </c>
      <c r="S75">
        <v>9</v>
      </c>
      <c r="T75" t="s">
        <v>20</v>
      </c>
      <c r="U75">
        <v>1</v>
      </c>
      <c r="V75" s="251">
        <f>Calcutta!$N$102</f>
        <v>500</v>
      </c>
      <c r="W75" t="str">
        <f>Calcutta!O102</f>
        <v xml:space="preserve">Bohnen, John </v>
      </c>
      <c r="X75" t="str">
        <f>Calcutta!P102</f>
        <v xml:space="preserve">Bohnen, John </v>
      </c>
    </row>
    <row r="76" spans="1:24" x14ac:dyDescent="0.35">
      <c r="A76">
        <f>'Master Player List'!L76</f>
        <v>10</v>
      </c>
      <c r="B76">
        <f>'Master Player List'!M76</f>
        <v>2</v>
      </c>
      <c r="C76" t="str">
        <f>'Master Player List'!C76</f>
        <v xml:space="preserve">Walters, Neil </v>
      </c>
      <c r="D76" t="str">
        <f>'Master Player List'!F76</f>
        <v xml:space="preserve">Ballard, Tom </v>
      </c>
      <c r="E76" t="str">
        <f>'Master Player List'!N76</f>
        <v xml:space="preserve">Grantham, Mark </v>
      </c>
      <c r="F76" s="251">
        <f>Calcutta!E111</f>
        <v>800</v>
      </c>
      <c r="G76" s="252">
        <f>'Master Player List'!J76</f>
        <v>29.3</v>
      </c>
      <c r="H76" s="252">
        <f>'Master Player List'!E76</f>
        <v>12</v>
      </c>
      <c r="I76" s="252">
        <f>'Master Player List'!H76</f>
        <v>17.3</v>
      </c>
      <c r="S76">
        <v>9</v>
      </c>
      <c r="T76" t="s">
        <v>20</v>
      </c>
      <c r="U76">
        <v>2</v>
      </c>
      <c r="V76" s="251">
        <f>Calcutta!$N$103</f>
        <v>300</v>
      </c>
      <c r="W76">
        <f>Calcutta!O103</f>
        <v>0</v>
      </c>
      <c r="X76" t="e">
        <f>Calcutta!P103</f>
        <v>#N/A</v>
      </c>
    </row>
    <row r="77" spans="1:24" x14ac:dyDescent="0.35">
      <c r="A77">
        <f>'Master Player List'!L77</f>
        <v>10</v>
      </c>
      <c r="B77">
        <f>'Master Player List'!M77</f>
        <v>3</v>
      </c>
      <c r="C77" t="str">
        <f>'Master Player List'!C77</f>
        <v xml:space="preserve">Wedgeworth, Cliff </v>
      </c>
      <c r="D77" t="str">
        <f>'Master Player List'!F77</f>
        <v xml:space="preserve">Halbert, Trey </v>
      </c>
      <c r="E77" t="str">
        <f>'Master Player List'!N77</f>
        <v xml:space="preserve">Wedgeworth, Cliff </v>
      </c>
      <c r="F77" s="251">
        <f>Calcutta!E112</f>
        <v>1000</v>
      </c>
      <c r="G77" s="252">
        <f>'Master Player List'!J77</f>
        <v>30.1</v>
      </c>
      <c r="H77" s="252">
        <f>'Master Player List'!E77</f>
        <v>15.9</v>
      </c>
      <c r="I77" s="252">
        <f>'Master Player List'!H77</f>
        <v>14.2</v>
      </c>
      <c r="S77">
        <v>9</v>
      </c>
      <c r="T77" t="s">
        <v>20</v>
      </c>
      <c r="U77">
        <v>3</v>
      </c>
      <c r="V77" s="251">
        <f>Calcutta!$N$104</f>
        <v>200</v>
      </c>
      <c r="W77">
        <f>Calcutta!O104</f>
        <v>0</v>
      </c>
      <c r="X77" t="e">
        <f>Calcutta!P104</f>
        <v>#N/A</v>
      </c>
    </row>
    <row r="78" spans="1:24" x14ac:dyDescent="0.35">
      <c r="A78">
        <f>'Master Player List'!L78</f>
        <v>10</v>
      </c>
      <c r="B78">
        <f>'Master Player List'!M78</f>
        <v>4</v>
      </c>
      <c r="C78" t="str">
        <f>'Master Player List'!C78</f>
        <v xml:space="preserve">Donohue, Robert </v>
      </c>
      <c r="D78" t="str">
        <f>'Master Player List'!F78</f>
        <v xml:space="preserve">Edwards, Mark </v>
      </c>
      <c r="E78" t="str">
        <f>'Master Player List'!N78</f>
        <v xml:space="preserve">Aghazadeh, Abdol </v>
      </c>
      <c r="F78" s="251">
        <f>Calcutta!E113</f>
        <v>800</v>
      </c>
      <c r="G78" s="252">
        <f>'Master Player List'!J78</f>
        <v>30.6</v>
      </c>
      <c r="H78" s="252">
        <f>'Master Player List'!E78</f>
        <v>17.100000000000001</v>
      </c>
      <c r="I78" s="252">
        <f>'Master Player List'!H78</f>
        <v>13.5</v>
      </c>
      <c r="S78">
        <v>9</v>
      </c>
      <c r="T78" t="s">
        <v>21</v>
      </c>
      <c r="U78">
        <v>1</v>
      </c>
      <c r="V78" s="251">
        <f>Calcutta!$N$102</f>
        <v>500</v>
      </c>
      <c r="W78" t="str">
        <f>Calcutta!Q102</f>
        <v xml:space="preserve">Schnautz, David </v>
      </c>
      <c r="X78" t="str">
        <f>Calcutta!R102</f>
        <v xml:space="preserve">Schnautz, David </v>
      </c>
    </row>
    <row r="79" spans="1:24" x14ac:dyDescent="0.35">
      <c r="A79">
        <f>'Master Player List'!L79</f>
        <v>10</v>
      </c>
      <c r="B79">
        <f>'Master Player List'!M79</f>
        <v>5</v>
      </c>
      <c r="C79" t="str">
        <f>'Master Player List'!C79</f>
        <v xml:space="preserve">Patterson, Taylor </v>
      </c>
      <c r="D79" t="str">
        <f>'Master Player List'!F79</f>
        <v xml:space="preserve">Perkinson, Sebastian </v>
      </c>
      <c r="E79" t="str">
        <f>'Master Player List'!N79</f>
        <v xml:space="preserve">Edwards, Patric </v>
      </c>
      <c r="F79" s="251">
        <f>Calcutta!E114</f>
        <v>1000</v>
      </c>
      <c r="G79" s="252">
        <f>'Master Player List'!J79</f>
        <v>30.8</v>
      </c>
      <c r="H79" s="252">
        <f>'Master Player List'!E79</f>
        <v>14.8</v>
      </c>
      <c r="I79" s="252">
        <f>'Master Player List'!H79</f>
        <v>16</v>
      </c>
      <c r="S79">
        <v>9</v>
      </c>
      <c r="T79" t="s">
        <v>21</v>
      </c>
      <c r="U79">
        <v>2</v>
      </c>
      <c r="V79" s="251">
        <f>Calcutta!$N$103</f>
        <v>300</v>
      </c>
      <c r="W79" t="str">
        <f>Calcutta!Q103</f>
        <v xml:space="preserve">Altamirano, Joe </v>
      </c>
      <c r="X79" t="str">
        <f>Calcutta!R103</f>
        <v xml:space="preserve">Altamirano, Joe </v>
      </c>
    </row>
    <row r="80" spans="1:24" x14ac:dyDescent="0.35">
      <c r="A80">
        <f>'Master Player List'!L80</f>
        <v>10</v>
      </c>
      <c r="B80">
        <f>'Master Player List'!M80</f>
        <v>6</v>
      </c>
      <c r="C80" t="str">
        <f>'Master Player List'!C80</f>
        <v xml:space="preserve">Nesbitt, David </v>
      </c>
      <c r="D80" t="str">
        <f>'Master Player List'!F80</f>
        <v xml:space="preserve">Parnell, Chris </v>
      </c>
      <c r="E80" t="str">
        <f>'Master Player List'!N80</f>
        <v xml:space="preserve">Cress, Pj </v>
      </c>
      <c r="F80" s="251">
        <f>Calcutta!E115</f>
        <v>800</v>
      </c>
      <c r="G80" s="252">
        <f>'Master Player List'!J80</f>
        <v>32</v>
      </c>
      <c r="H80" s="252">
        <f>'Master Player List'!E80</f>
        <v>13.5</v>
      </c>
      <c r="I80" s="252">
        <f>'Master Player List'!H80</f>
        <v>18.5</v>
      </c>
      <c r="S80">
        <v>9</v>
      </c>
      <c r="T80" t="s">
        <v>21</v>
      </c>
      <c r="U80">
        <v>3</v>
      </c>
      <c r="V80" s="251">
        <f>Calcutta!$N$104</f>
        <v>200</v>
      </c>
      <c r="W80">
        <f>Calcutta!Q104</f>
        <v>0</v>
      </c>
      <c r="X80" t="e">
        <f>Calcutta!R104</f>
        <v>#N/A</v>
      </c>
    </row>
    <row r="81" spans="1:24" x14ac:dyDescent="0.35">
      <c r="A81">
        <f>'Master Player List'!L81</f>
        <v>10</v>
      </c>
      <c r="B81">
        <f>'Master Player List'!M81</f>
        <v>7</v>
      </c>
      <c r="C81" t="str">
        <f>'Master Player List'!C81</f>
        <v xml:space="preserve">Pfaffe, Kyle </v>
      </c>
      <c r="D81" t="str">
        <f>'Master Player List'!F81</f>
        <v xml:space="preserve">Wallace, Richard </v>
      </c>
      <c r="E81" t="str">
        <f>'Master Player List'!N81</f>
        <v xml:space="preserve">Pfaffe, Kyle </v>
      </c>
      <c r="F81" s="251">
        <f>Calcutta!E116</f>
        <v>1400</v>
      </c>
      <c r="G81" s="252">
        <f>'Master Player List'!J81</f>
        <v>33</v>
      </c>
      <c r="H81" s="252">
        <f>'Master Player List'!E81</f>
        <v>16</v>
      </c>
      <c r="I81" s="252">
        <f>'Master Player List'!H81</f>
        <v>17</v>
      </c>
      <c r="S81">
        <v>9</v>
      </c>
      <c r="T81" t="s">
        <v>22</v>
      </c>
      <c r="U81">
        <v>1</v>
      </c>
      <c r="V81" s="251">
        <f>Calcutta!$N$102</f>
        <v>500</v>
      </c>
      <c r="W81" t="str">
        <f>Calcutta!S102</f>
        <v xml:space="preserve">Altamirano, Joe </v>
      </c>
      <c r="X81" t="str">
        <f>Calcutta!T102</f>
        <v xml:space="preserve">Altamirano, Joe </v>
      </c>
    </row>
    <row r="82" spans="1:24" x14ac:dyDescent="0.35">
      <c r="A82">
        <f>'Master Player List'!L82</f>
        <v>10</v>
      </c>
      <c r="B82">
        <f>'Master Player List'!M82</f>
        <v>8</v>
      </c>
      <c r="C82" t="str">
        <f>'Master Player List'!C82</f>
        <v xml:space="preserve">Parent, Brian </v>
      </c>
      <c r="D82" t="str">
        <f>'Master Player List'!F82</f>
        <v xml:space="preserve">Holmes, Justin </v>
      </c>
      <c r="E82" t="str">
        <f>'Master Player List'!N82</f>
        <v xml:space="preserve">Parent, Brian </v>
      </c>
      <c r="F82" s="251">
        <f>Calcutta!E117</f>
        <v>1100</v>
      </c>
      <c r="G82" s="252">
        <f>'Master Player List'!J82</f>
        <v>41.3</v>
      </c>
      <c r="H82" s="252">
        <f>'Master Player List'!E82</f>
        <v>21.6</v>
      </c>
      <c r="I82" s="252">
        <f>'Master Player List'!H82</f>
        <v>19.7</v>
      </c>
      <c r="S82">
        <v>9</v>
      </c>
      <c r="T82" t="s">
        <v>22</v>
      </c>
      <c r="U82">
        <v>2</v>
      </c>
      <c r="V82" s="251">
        <f>Calcutta!$N$103</f>
        <v>300</v>
      </c>
      <c r="W82">
        <f>Calcutta!S103</f>
        <v>0</v>
      </c>
      <c r="X82" t="e">
        <f>Calcutta!T103</f>
        <v>#N/A</v>
      </c>
    </row>
    <row r="83" spans="1:24" x14ac:dyDescent="0.35">
      <c r="S83">
        <v>9</v>
      </c>
      <c r="T83" t="s">
        <v>22</v>
      </c>
      <c r="U83">
        <v>3</v>
      </c>
      <c r="V83" s="251">
        <f>Calcutta!$N$104</f>
        <v>200</v>
      </c>
      <c r="W83" t="str">
        <f>Calcutta!S104</f>
        <v xml:space="preserve">Barney, Jorge </v>
      </c>
      <c r="X83" t="str">
        <f>Calcutta!T104</f>
        <v xml:space="preserve">Edwards, Patric </v>
      </c>
    </row>
    <row r="84" spans="1:24" x14ac:dyDescent="0.35">
      <c r="S84">
        <v>10</v>
      </c>
      <c r="T84" t="s">
        <v>20</v>
      </c>
      <c r="U84">
        <v>1</v>
      </c>
      <c r="V84" s="251">
        <f>Calcutta!$N$113</f>
        <v>445</v>
      </c>
      <c r="W84" t="str">
        <f>Calcutta!O113</f>
        <v xml:space="preserve">Walters, Neil </v>
      </c>
      <c r="X84" t="str">
        <f>Calcutta!P113</f>
        <v xml:space="preserve">Grantham, Mark </v>
      </c>
    </row>
    <row r="85" spans="1:24" x14ac:dyDescent="0.35">
      <c r="S85">
        <v>10</v>
      </c>
      <c r="T85" t="s">
        <v>20</v>
      </c>
      <c r="U85">
        <v>2</v>
      </c>
      <c r="V85" s="251">
        <f>Calcutta!$N$114</f>
        <v>265</v>
      </c>
      <c r="W85">
        <f>Calcutta!O114</f>
        <v>0</v>
      </c>
      <c r="X85" t="e">
        <f>Calcutta!P114</f>
        <v>#N/A</v>
      </c>
    </row>
    <row r="86" spans="1:24" x14ac:dyDescent="0.35">
      <c r="S86">
        <v>10</v>
      </c>
      <c r="T86" t="s">
        <v>20</v>
      </c>
      <c r="U86">
        <v>3</v>
      </c>
      <c r="V86" s="251">
        <f>Calcutta!$N$115</f>
        <v>175</v>
      </c>
      <c r="W86">
        <f>Calcutta!O115</f>
        <v>0</v>
      </c>
      <c r="X86" t="e">
        <f>Calcutta!P115</f>
        <v>#N/A</v>
      </c>
    </row>
    <row r="87" spans="1:24" x14ac:dyDescent="0.35">
      <c r="S87">
        <v>10</v>
      </c>
      <c r="T87" t="s">
        <v>21</v>
      </c>
      <c r="U87">
        <v>1</v>
      </c>
      <c r="V87" s="251">
        <f>Calcutta!$N$113</f>
        <v>445</v>
      </c>
      <c r="W87">
        <f>Calcutta!Q113</f>
        <v>0</v>
      </c>
      <c r="X87" t="e">
        <f>Calcutta!R113</f>
        <v>#N/A</v>
      </c>
    </row>
    <row r="88" spans="1:24" x14ac:dyDescent="0.35">
      <c r="S88">
        <v>10</v>
      </c>
      <c r="T88" t="s">
        <v>21</v>
      </c>
      <c r="U88">
        <v>2</v>
      </c>
      <c r="V88" s="251">
        <f>Calcutta!$N$114</f>
        <v>265</v>
      </c>
      <c r="W88" t="str">
        <f>Calcutta!Q114</f>
        <v xml:space="preserve">Patterson, Taylor </v>
      </c>
      <c r="X88" t="str">
        <f>Calcutta!R114</f>
        <v xml:space="preserve">Edwards, Patric </v>
      </c>
    </row>
    <row r="89" spans="1:24" ht="16.5" x14ac:dyDescent="0.35">
      <c r="A89" s="250" t="s">
        <v>479</v>
      </c>
      <c r="B89" t="s">
        <v>480</v>
      </c>
      <c r="C89" t="s">
        <v>481</v>
      </c>
      <c r="D89" t="s">
        <v>482</v>
      </c>
      <c r="S89">
        <v>10</v>
      </c>
      <c r="T89" t="s">
        <v>21</v>
      </c>
      <c r="U89">
        <v>3</v>
      </c>
      <c r="V89" s="251">
        <f>Calcutta!$N$115</f>
        <v>175</v>
      </c>
      <c r="W89">
        <f>Calcutta!Q115</f>
        <v>0</v>
      </c>
      <c r="X89" t="e">
        <f>Calcutta!R115</f>
        <v>#N/A</v>
      </c>
    </row>
    <row r="90" spans="1:24" x14ac:dyDescent="0.35">
      <c r="A90">
        <f>Calcutta!J3</f>
        <v>4015</v>
      </c>
      <c r="B90" s="251">
        <f>Calcutta!J4</f>
        <v>2010</v>
      </c>
      <c r="C90" s="251">
        <f>Calcutta!J5</f>
        <v>1205</v>
      </c>
      <c r="D90" s="251">
        <f>Calcutta!J6</f>
        <v>800</v>
      </c>
      <c r="S90">
        <v>10</v>
      </c>
      <c r="T90" t="s">
        <v>22</v>
      </c>
      <c r="U90">
        <v>1</v>
      </c>
      <c r="V90" s="251">
        <f>Calcutta!$N$113</f>
        <v>445</v>
      </c>
      <c r="W90">
        <f>Calcutta!S113</f>
        <v>0</v>
      </c>
      <c r="X90" t="e">
        <f>Calcutta!T113</f>
        <v>#N/A</v>
      </c>
    </row>
    <row r="91" spans="1:24" x14ac:dyDescent="0.35">
      <c r="B91" s="251"/>
      <c r="S91">
        <v>10</v>
      </c>
      <c r="T91" t="s">
        <v>22</v>
      </c>
      <c r="U91">
        <v>2</v>
      </c>
      <c r="V91" s="251">
        <f>Calcutta!$N$114</f>
        <v>265</v>
      </c>
      <c r="W91">
        <f>Calcutta!S114</f>
        <v>0</v>
      </c>
      <c r="X91" t="e">
        <f>Calcutta!T114</f>
        <v>#N/A</v>
      </c>
    </row>
    <row r="92" spans="1:24" x14ac:dyDescent="0.35">
      <c r="B92" s="251"/>
      <c r="S92">
        <v>10</v>
      </c>
      <c r="T92" t="s">
        <v>22</v>
      </c>
      <c r="U92">
        <v>3</v>
      </c>
      <c r="V92" s="251">
        <f>Calcutta!$N$115</f>
        <v>175</v>
      </c>
      <c r="W92" t="str">
        <f>Calcutta!S115</f>
        <v xml:space="preserve">Parent, Brian </v>
      </c>
      <c r="X92" t="str">
        <f>Calcutta!T115</f>
        <v xml:space="preserve">Parent, Brian 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C3DC-D1BF-4CF2-8C6F-021FF318A848}">
  <dimension ref="A1:C1889"/>
  <sheetViews>
    <sheetView tabSelected="1" workbookViewId="0">
      <selection sqref="A1:A1048576"/>
    </sheetView>
  </sheetViews>
  <sheetFormatPr defaultRowHeight="14.5" x14ac:dyDescent="0.35"/>
  <sheetData>
    <row r="1" spans="1:3" x14ac:dyDescent="0.35">
      <c r="A1" t="s">
        <v>483</v>
      </c>
      <c r="C1" t="s">
        <v>484</v>
      </c>
    </row>
    <row r="2" spans="1:3" x14ac:dyDescent="0.35">
      <c r="A2" t="s">
        <v>485</v>
      </c>
      <c r="C2" t="s">
        <v>1103</v>
      </c>
    </row>
    <row r="3" spans="1:3" x14ac:dyDescent="0.35">
      <c r="A3" t="s">
        <v>486</v>
      </c>
      <c r="C3" t="s">
        <v>487</v>
      </c>
    </row>
    <row r="4" spans="1:3" x14ac:dyDescent="0.35">
      <c r="A4" t="s">
        <v>488</v>
      </c>
    </row>
    <row r="5" spans="1:3" x14ac:dyDescent="0.35">
      <c r="A5" t="s">
        <v>489</v>
      </c>
    </row>
    <row r="6" spans="1:3" x14ac:dyDescent="0.35">
      <c r="A6" t="s">
        <v>1075</v>
      </c>
    </row>
    <row r="7" spans="1:3" x14ac:dyDescent="0.35">
      <c r="A7" t="s">
        <v>490</v>
      </c>
    </row>
    <row r="8" spans="1:3" x14ac:dyDescent="0.35">
      <c r="A8" t="s">
        <v>1076</v>
      </c>
    </row>
    <row r="9" spans="1:3" x14ac:dyDescent="0.35">
      <c r="A9" t="s">
        <v>491</v>
      </c>
    </row>
    <row r="10" spans="1:3" x14ac:dyDescent="0.35">
      <c r="A10" t="s">
        <v>492</v>
      </c>
    </row>
    <row r="11" spans="1:3" x14ac:dyDescent="0.35">
      <c r="A11" t="s">
        <v>1077</v>
      </c>
    </row>
    <row r="12" spans="1:3" x14ac:dyDescent="0.35">
      <c r="A12" t="s">
        <v>1078</v>
      </c>
    </row>
    <row r="13" spans="1:3" x14ac:dyDescent="0.35">
      <c r="A13" t="s">
        <v>493</v>
      </c>
    </row>
    <row r="14" spans="1:3" x14ac:dyDescent="0.35">
      <c r="A14" t="s">
        <v>494</v>
      </c>
    </row>
    <row r="15" spans="1:3" x14ac:dyDescent="0.35">
      <c r="A15" t="s">
        <v>491</v>
      </c>
    </row>
    <row r="16" spans="1:3" x14ac:dyDescent="0.35">
      <c r="A16" t="s">
        <v>1100</v>
      </c>
    </row>
    <row r="17" spans="1:1" x14ac:dyDescent="0.35">
      <c r="A17" t="s">
        <v>495</v>
      </c>
    </row>
    <row r="18" spans="1:1" x14ac:dyDescent="0.35">
      <c r="A18" t="s">
        <v>496</v>
      </c>
    </row>
    <row r="19" spans="1:1" x14ac:dyDescent="0.35">
      <c r="A19" t="s">
        <v>497</v>
      </c>
    </row>
    <row r="20" spans="1:1" x14ac:dyDescent="0.35">
      <c r="A20" t="s">
        <v>1079</v>
      </c>
    </row>
    <row r="21" spans="1:1" x14ac:dyDescent="0.35">
      <c r="A21" t="s">
        <v>498</v>
      </c>
    </row>
    <row r="22" spans="1:1" x14ac:dyDescent="0.35">
      <c r="A22" t="s">
        <v>499</v>
      </c>
    </row>
    <row r="23" spans="1:1" x14ac:dyDescent="0.35">
      <c r="A23" t="s">
        <v>500</v>
      </c>
    </row>
    <row r="24" spans="1:1" x14ac:dyDescent="0.35">
      <c r="A24" t="s">
        <v>501</v>
      </c>
    </row>
    <row r="25" spans="1:1" x14ac:dyDescent="0.35">
      <c r="A25" t="s">
        <v>502</v>
      </c>
    </row>
    <row r="26" spans="1:1" x14ac:dyDescent="0.35">
      <c r="A26" t="s">
        <v>503</v>
      </c>
    </row>
    <row r="27" spans="1:1" x14ac:dyDescent="0.35">
      <c r="A27" t="s">
        <v>504</v>
      </c>
    </row>
    <row r="28" spans="1:1" x14ac:dyDescent="0.35">
      <c r="A28" t="s">
        <v>505</v>
      </c>
    </row>
    <row r="29" spans="1:1" x14ac:dyDescent="0.35">
      <c r="A29" t="s">
        <v>506</v>
      </c>
    </row>
    <row r="30" spans="1:1" x14ac:dyDescent="0.35">
      <c r="A30" t="s">
        <v>507</v>
      </c>
    </row>
    <row r="31" spans="1:1" x14ac:dyDescent="0.35">
      <c r="A31" t="s">
        <v>508</v>
      </c>
    </row>
    <row r="32" spans="1:1" x14ac:dyDescent="0.35">
      <c r="A32" t="s">
        <v>499</v>
      </c>
    </row>
    <row r="33" spans="1:1" x14ac:dyDescent="0.35">
      <c r="A33" t="s">
        <v>509</v>
      </c>
    </row>
    <row r="34" spans="1:1" x14ac:dyDescent="0.35">
      <c r="A34" t="s">
        <v>510</v>
      </c>
    </row>
    <row r="35" spans="1:1" x14ac:dyDescent="0.35">
      <c r="A35" t="s">
        <v>511</v>
      </c>
    </row>
    <row r="36" spans="1:1" x14ac:dyDescent="0.35">
      <c r="A36" t="s">
        <v>512</v>
      </c>
    </row>
    <row r="37" spans="1:1" x14ac:dyDescent="0.35">
      <c r="A37" t="s">
        <v>513</v>
      </c>
    </row>
    <row r="38" spans="1:1" x14ac:dyDescent="0.35">
      <c r="A38" t="s">
        <v>514</v>
      </c>
    </row>
    <row r="39" spans="1:1" x14ac:dyDescent="0.35">
      <c r="A39" t="s">
        <v>515</v>
      </c>
    </row>
    <row r="40" spans="1:1" x14ac:dyDescent="0.35">
      <c r="A40" t="s">
        <v>516</v>
      </c>
    </row>
    <row r="41" spans="1:1" x14ac:dyDescent="0.35">
      <c r="A41" t="s">
        <v>508</v>
      </c>
    </row>
    <row r="42" spans="1:1" x14ac:dyDescent="0.35">
      <c r="A42" t="s">
        <v>499</v>
      </c>
    </row>
    <row r="43" spans="1:1" x14ac:dyDescent="0.35">
      <c r="A43" t="s">
        <v>517</v>
      </c>
    </row>
    <row r="44" spans="1:1" x14ac:dyDescent="0.35">
      <c r="A44" t="s">
        <v>518</v>
      </c>
    </row>
    <row r="45" spans="1:1" x14ac:dyDescent="0.35">
      <c r="A45" t="s">
        <v>519</v>
      </c>
    </row>
    <row r="46" spans="1:1" x14ac:dyDescent="0.35">
      <c r="A46" t="s">
        <v>520</v>
      </c>
    </row>
    <row r="47" spans="1:1" x14ac:dyDescent="0.35">
      <c r="A47" t="s">
        <v>521</v>
      </c>
    </row>
    <row r="48" spans="1:1" x14ac:dyDescent="0.35">
      <c r="A48" t="s">
        <v>522</v>
      </c>
    </row>
    <row r="49" spans="1:1" x14ac:dyDescent="0.35">
      <c r="A49" t="s">
        <v>523</v>
      </c>
    </row>
    <row r="50" spans="1:1" x14ac:dyDescent="0.35">
      <c r="A50" t="s">
        <v>524</v>
      </c>
    </row>
    <row r="51" spans="1:1" x14ac:dyDescent="0.35">
      <c r="A51" t="s">
        <v>508</v>
      </c>
    </row>
    <row r="52" spans="1:1" x14ac:dyDescent="0.35">
      <c r="A52" t="s">
        <v>499</v>
      </c>
    </row>
    <row r="53" spans="1:1" x14ac:dyDescent="0.35">
      <c r="A53" t="s">
        <v>525</v>
      </c>
    </row>
    <row r="54" spans="1:1" x14ac:dyDescent="0.35">
      <c r="A54" t="s">
        <v>526</v>
      </c>
    </row>
    <row r="55" spans="1:1" x14ac:dyDescent="0.35">
      <c r="A55" t="s">
        <v>527</v>
      </c>
    </row>
    <row r="56" spans="1:1" x14ac:dyDescent="0.35">
      <c r="A56" t="s">
        <v>528</v>
      </c>
    </row>
    <row r="57" spans="1:1" x14ac:dyDescent="0.35">
      <c r="A57" t="s">
        <v>529</v>
      </c>
    </row>
    <row r="58" spans="1:1" x14ac:dyDescent="0.35">
      <c r="A58" t="s">
        <v>530</v>
      </c>
    </row>
    <row r="59" spans="1:1" x14ac:dyDescent="0.35">
      <c r="A59" t="s">
        <v>531</v>
      </c>
    </row>
    <row r="60" spans="1:1" x14ac:dyDescent="0.35">
      <c r="A60" t="s">
        <v>532</v>
      </c>
    </row>
    <row r="61" spans="1:1" x14ac:dyDescent="0.35">
      <c r="A61" t="s">
        <v>508</v>
      </c>
    </row>
    <row r="62" spans="1:1" x14ac:dyDescent="0.35">
      <c r="A62" t="s">
        <v>499</v>
      </c>
    </row>
    <row r="63" spans="1:1" x14ac:dyDescent="0.35">
      <c r="A63" t="s">
        <v>533</v>
      </c>
    </row>
    <row r="64" spans="1:1" x14ac:dyDescent="0.35">
      <c r="A64" t="s">
        <v>534</v>
      </c>
    </row>
    <row r="65" spans="1:1" x14ac:dyDescent="0.35">
      <c r="A65" t="s">
        <v>535</v>
      </c>
    </row>
    <row r="66" spans="1:1" x14ac:dyDescent="0.35">
      <c r="A66" t="s">
        <v>536</v>
      </c>
    </row>
    <row r="67" spans="1:1" x14ac:dyDescent="0.35">
      <c r="A67" t="s">
        <v>537</v>
      </c>
    </row>
    <row r="68" spans="1:1" x14ac:dyDescent="0.35">
      <c r="A68" t="s">
        <v>538</v>
      </c>
    </row>
    <row r="69" spans="1:1" x14ac:dyDescent="0.35">
      <c r="A69" t="s">
        <v>539</v>
      </c>
    </row>
    <row r="70" spans="1:1" x14ac:dyDescent="0.35">
      <c r="A70" t="s">
        <v>540</v>
      </c>
    </row>
    <row r="71" spans="1:1" x14ac:dyDescent="0.35">
      <c r="A71" t="s">
        <v>508</v>
      </c>
    </row>
    <row r="72" spans="1:1" x14ac:dyDescent="0.35">
      <c r="A72" t="s">
        <v>499</v>
      </c>
    </row>
    <row r="73" spans="1:1" x14ac:dyDescent="0.35">
      <c r="A73" t="s">
        <v>541</v>
      </c>
    </row>
    <row r="74" spans="1:1" x14ac:dyDescent="0.35">
      <c r="A74" t="s">
        <v>542</v>
      </c>
    </row>
    <row r="75" spans="1:1" x14ac:dyDescent="0.35">
      <c r="A75" t="s">
        <v>543</v>
      </c>
    </row>
    <row r="76" spans="1:1" x14ac:dyDescent="0.35">
      <c r="A76" t="s">
        <v>544</v>
      </c>
    </row>
    <row r="77" spans="1:1" x14ac:dyDescent="0.35">
      <c r="A77" t="s">
        <v>545</v>
      </c>
    </row>
    <row r="78" spans="1:1" x14ac:dyDescent="0.35">
      <c r="A78" t="s">
        <v>546</v>
      </c>
    </row>
    <row r="79" spans="1:1" x14ac:dyDescent="0.35">
      <c r="A79" t="s">
        <v>547</v>
      </c>
    </row>
    <row r="80" spans="1:1" x14ac:dyDescent="0.35">
      <c r="A80" t="s">
        <v>548</v>
      </c>
    </row>
    <row r="81" spans="1:1" x14ac:dyDescent="0.35">
      <c r="A81" t="s">
        <v>508</v>
      </c>
    </row>
    <row r="82" spans="1:1" x14ac:dyDescent="0.35">
      <c r="A82" t="s">
        <v>499</v>
      </c>
    </row>
    <row r="83" spans="1:1" x14ac:dyDescent="0.35">
      <c r="A83" t="s">
        <v>549</v>
      </c>
    </row>
    <row r="84" spans="1:1" x14ac:dyDescent="0.35">
      <c r="A84" t="s">
        <v>518</v>
      </c>
    </row>
    <row r="85" spans="1:1" x14ac:dyDescent="0.35">
      <c r="A85" t="s">
        <v>550</v>
      </c>
    </row>
    <row r="86" spans="1:1" x14ac:dyDescent="0.35">
      <c r="A86" t="s">
        <v>551</v>
      </c>
    </row>
    <row r="87" spans="1:1" x14ac:dyDescent="0.35">
      <c r="A87" t="s">
        <v>552</v>
      </c>
    </row>
    <row r="88" spans="1:1" x14ac:dyDescent="0.35">
      <c r="A88" t="s">
        <v>553</v>
      </c>
    </row>
    <row r="89" spans="1:1" x14ac:dyDescent="0.35">
      <c r="A89" t="s">
        <v>554</v>
      </c>
    </row>
    <row r="90" spans="1:1" x14ac:dyDescent="0.35">
      <c r="A90" t="s">
        <v>555</v>
      </c>
    </row>
    <row r="91" spans="1:1" x14ac:dyDescent="0.35">
      <c r="A91" t="s">
        <v>508</v>
      </c>
    </row>
    <row r="92" spans="1:1" x14ac:dyDescent="0.35">
      <c r="A92" t="s">
        <v>499</v>
      </c>
    </row>
    <row r="93" spans="1:1" x14ac:dyDescent="0.35">
      <c r="A93" t="s">
        <v>556</v>
      </c>
    </row>
    <row r="94" spans="1:1" x14ac:dyDescent="0.35">
      <c r="A94" t="s">
        <v>605</v>
      </c>
    </row>
    <row r="95" spans="1:1" x14ac:dyDescent="0.35">
      <c r="A95" t="s">
        <v>558</v>
      </c>
    </row>
    <row r="96" spans="1:1" x14ac:dyDescent="0.35">
      <c r="A96" t="s">
        <v>559</v>
      </c>
    </row>
    <row r="97" spans="1:1" x14ac:dyDescent="0.35">
      <c r="A97" t="s">
        <v>560</v>
      </c>
    </row>
    <row r="98" spans="1:1" x14ac:dyDescent="0.35">
      <c r="A98" t="s">
        <v>561</v>
      </c>
    </row>
    <row r="99" spans="1:1" x14ac:dyDescent="0.35">
      <c r="A99" t="s">
        <v>562</v>
      </c>
    </row>
    <row r="100" spans="1:1" x14ac:dyDescent="0.35">
      <c r="A100" t="s">
        <v>563</v>
      </c>
    </row>
    <row r="101" spans="1:1" x14ac:dyDescent="0.35">
      <c r="A101" t="s">
        <v>564</v>
      </c>
    </row>
    <row r="102" spans="1:1" x14ac:dyDescent="0.35">
      <c r="A102" t="s">
        <v>565</v>
      </c>
    </row>
    <row r="103" spans="1:1" x14ac:dyDescent="0.35">
      <c r="A103" t="s">
        <v>566</v>
      </c>
    </row>
    <row r="104" spans="1:1" x14ac:dyDescent="0.35">
      <c r="A104" t="s">
        <v>499</v>
      </c>
    </row>
    <row r="105" spans="1:1" x14ac:dyDescent="0.35">
      <c r="A105" t="s">
        <v>567</v>
      </c>
    </row>
    <row r="106" spans="1:1" x14ac:dyDescent="0.35">
      <c r="A106" t="s">
        <v>568</v>
      </c>
    </row>
    <row r="107" spans="1:1" x14ac:dyDescent="0.35">
      <c r="A107" t="s">
        <v>569</v>
      </c>
    </row>
    <row r="108" spans="1:1" x14ac:dyDescent="0.35">
      <c r="A108" t="s">
        <v>1080</v>
      </c>
    </row>
    <row r="109" spans="1:1" x14ac:dyDescent="0.35">
      <c r="A109" t="s">
        <v>1081</v>
      </c>
    </row>
    <row r="110" spans="1:1" x14ac:dyDescent="0.35">
      <c r="A110" t="s">
        <v>633</v>
      </c>
    </row>
    <row r="111" spans="1:1" x14ac:dyDescent="0.35">
      <c r="A111" t="s">
        <v>508</v>
      </c>
    </row>
    <row r="112" spans="1:1" x14ac:dyDescent="0.35">
      <c r="A112" t="s">
        <v>499</v>
      </c>
    </row>
    <row r="113" spans="1:1" x14ac:dyDescent="0.35">
      <c r="A113" t="s">
        <v>567</v>
      </c>
    </row>
    <row r="114" spans="1:1" x14ac:dyDescent="0.35">
      <c r="A114" t="s">
        <v>568</v>
      </c>
    </row>
    <row r="115" spans="1:1" x14ac:dyDescent="0.35">
      <c r="A115" t="s">
        <v>572</v>
      </c>
    </row>
    <row r="116" spans="1:1" x14ac:dyDescent="0.35">
      <c r="A116" t="s">
        <v>1082</v>
      </c>
    </row>
    <row r="117" spans="1:1" x14ac:dyDescent="0.35">
      <c r="A117" t="s">
        <v>1083</v>
      </c>
    </row>
    <row r="118" spans="1:1" x14ac:dyDescent="0.35">
      <c r="A118" t="s">
        <v>1084</v>
      </c>
    </row>
    <row r="119" spans="1:1" x14ac:dyDescent="0.35">
      <c r="A119" t="s">
        <v>508</v>
      </c>
    </row>
    <row r="120" spans="1:1" x14ac:dyDescent="0.35">
      <c r="A120" t="s">
        <v>499</v>
      </c>
    </row>
    <row r="121" spans="1:1" x14ac:dyDescent="0.35">
      <c r="A121" t="s">
        <v>567</v>
      </c>
    </row>
    <row r="122" spans="1:1" x14ac:dyDescent="0.35">
      <c r="A122" t="s">
        <v>568</v>
      </c>
    </row>
    <row r="123" spans="1:1" x14ac:dyDescent="0.35">
      <c r="A123" t="s">
        <v>573</v>
      </c>
    </row>
    <row r="124" spans="1:1" x14ac:dyDescent="0.35">
      <c r="A124" t="s">
        <v>1057</v>
      </c>
    </row>
    <row r="125" spans="1:1" x14ac:dyDescent="0.35">
      <c r="A125" t="s">
        <v>570</v>
      </c>
    </row>
    <row r="126" spans="1:1" x14ac:dyDescent="0.35">
      <c r="A126" t="s">
        <v>571</v>
      </c>
    </row>
    <row r="127" spans="1:1" x14ac:dyDescent="0.35">
      <c r="A127" t="s">
        <v>564</v>
      </c>
    </row>
    <row r="128" spans="1:1" x14ac:dyDescent="0.35">
      <c r="A128" t="s">
        <v>565</v>
      </c>
    </row>
    <row r="129" spans="1:1" x14ac:dyDescent="0.35">
      <c r="A129" t="s">
        <v>574</v>
      </c>
    </row>
    <row r="130" spans="1:1" x14ac:dyDescent="0.35">
      <c r="A130" t="s">
        <v>499</v>
      </c>
    </row>
    <row r="131" spans="1:1" x14ac:dyDescent="0.35">
      <c r="A131" t="s">
        <v>575</v>
      </c>
    </row>
    <row r="132" spans="1:1" x14ac:dyDescent="0.35">
      <c r="A132" t="s">
        <v>576</v>
      </c>
    </row>
    <row r="133" spans="1:1" x14ac:dyDescent="0.35">
      <c r="A133" t="s">
        <v>569</v>
      </c>
    </row>
    <row r="134" spans="1:1" x14ac:dyDescent="0.35">
      <c r="A134" t="s">
        <v>963</v>
      </c>
    </row>
    <row r="135" spans="1:1" x14ac:dyDescent="0.35">
      <c r="A135" t="s">
        <v>1085</v>
      </c>
    </row>
    <row r="136" spans="1:1" x14ac:dyDescent="0.35">
      <c r="A136" t="s">
        <v>1086</v>
      </c>
    </row>
    <row r="137" spans="1:1" x14ac:dyDescent="0.35">
      <c r="A137" t="s">
        <v>508</v>
      </c>
    </row>
    <row r="138" spans="1:1" x14ac:dyDescent="0.35">
      <c r="A138" t="s">
        <v>499</v>
      </c>
    </row>
    <row r="139" spans="1:1" x14ac:dyDescent="0.35">
      <c r="A139" t="s">
        <v>575</v>
      </c>
    </row>
    <row r="140" spans="1:1" x14ac:dyDescent="0.35">
      <c r="A140" t="s">
        <v>576</v>
      </c>
    </row>
    <row r="141" spans="1:1" x14ac:dyDescent="0.35">
      <c r="A141" t="s">
        <v>572</v>
      </c>
    </row>
    <row r="142" spans="1:1" x14ac:dyDescent="0.35">
      <c r="A142" t="s">
        <v>1087</v>
      </c>
    </row>
    <row r="143" spans="1:1" x14ac:dyDescent="0.35">
      <c r="A143" t="s">
        <v>1088</v>
      </c>
    </row>
    <row r="144" spans="1:1" x14ac:dyDescent="0.35">
      <c r="A144" t="s">
        <v>1089</v>
      </c>
    </row>
    <row r="145" spans="1:1" x14ac:dyDescent="0.35">
      <c r="A145" t="s">
        <v>508</v>
      </c>
    </row>
    <row r="146" spans="1:1" x14ac:dyDescent="0.35">
      <c r="A146" t="s">
        <v>499</v>
      </c>
    </row>
    <row r="147" spans="1:1" x14ac:dyDescent="0.35">
      <c r="A147" t="s">
        <v>575</v>
      </c>
    </row>
    <row r="148" spans="1:1" x14ac:dyDescent="0.35">
      <c r="A148" t="s">
        <v>576</v>
      </c>
    </row>
    <row r="149" spans="1:1" x14ac:dyDescent="0.35">
      <c r="A149" t="s">
        <v>573</v>
      </c>
    </row>
    <row r="150" spans="1:1" x14ac:dyDescent="0.35">
      <c r="A150" t="s">
        <v>1063</v>
      </c>
    </row>
    <row r="151" spans="1:1" x14ac:dyDescent="0.35">
      <c r="A151" t="s">
        <v>570</v>
      </c>
    </row>
    <row r="152" spans="1:1" x14ac:dyDescent="0.35">
      <c r="A152" t="s">
        <v>571</v>
      </c>
    </row>
    <row r="153" spans="1:1" x14ac:dyDescent="0.35">
      <c r="A153" t="s">
        <v>508</v>
      </c>
    </row>
    <row r="154" spans="1:1" x14ac:dyDescent="0.35">
      <c r="A154" t="s">
        <v>499</v>
      </c>
    </row>
    <row r="155" spans="1:1" x14ac:dyDescent="0.35">
      <c r="A155" t="s">
        <v>575</v>
      </c>
    </row>
    <row r="156" spans="1:1" x14ac:dyDescent="0.35">
      <c r="A156" t="s">
        <v>577</v>
      </c>
    </row>
    <row r="157" spans="1:1" x14ac:dyDescent="0.35">
      <c r="A157" t="s">
        <v>569</v>
      </c>
    </row>
    <row r="158" spans="1:1" x14ac:dyDescent="0.35">
      <c r="A158" t="s">
        <v>963</v>
      </c>
    </row>
    <row r="159" spans="1:1" x14ac:dyDescent="0.35">
      <c r="A159" t="s">
        <v>570</v>
      </c>
    </row>
    <row r="160" spans="1:1" x14ac:dyDescent="0.35">
      <c r="A160" t="s">
        <v>571</v>
      </c>
    </row>
    <row r="161" spans="1:1" x14ac:dyDescent="0.35">
      <c r="A161" t="s">
        <v>508</v>
      </c>
    </row>
    <row r="162" spans="1:1" x14ac:dyDescent="0.35">
      <c r="A162" t="s">
        <v>499</v>
      </c>
    </row>
    <row r="163" spans="1:1" x14ac:dyDescent="0.35">
      <c r="A163" t="s">
        <v>575</v>
      </c>
    </row>
    <row r="164" spans="1:1" x14ac:dyDescent="0.35">
      <c r="A164" t="s">
        <v>577</v>
      </c>
    </row>
    <row r="165" spans="1:1" x14ac:dyDescent="0.35">
      <c r="A165" t="s">
        <v>572</v>
      </c>
    </row>
    <row r="166" spans="1:1" x14ac:dyDescent="0.35">
      <c r="A166" t="s">
        <v>1087</v>
      </c>
    </row>
    <row r="167" spans="1:1" x14ac:dyDescent="0.35">
      <c r="A167" t="s">
        <v>570</v>
      </c>
    </row>
    <row r="168" spans="1:1" x14ac:dyDescent="0.35">
      <c r="A168" t="s">
        <v>571</v>
      </c>
    </row>
    <row r="169" spans="1:1" x14ac:dyDescent="0.35">
      <c r="A169" t="s">
        <v>508</v>
      </c>
    </row>
    <row r="170" spans="1:1" x14ac:dyDescent="0.35">
      <c r="A170" t="s">
        <v>499</v>
      </c>
    </row>
    <row r="171" spans="1:1" x14ac:dyDescent="0.35">
      <c r="A171" t="s">
        <v>575</v>
      </c>
    </row>
    <row r="172" spans="1:1" x14ac:dyDescent="0.35">
      <c r="A172" t="s">
        <v>577</v>
      </c>
    </row>
    <row r="173" spans="1:1" x14ac:dyDescent="0.35">
      <c r="A173" t="s">
        <v>573</v>
      </c>
    </row>
    <row r="174" spans="1:1" x14ac:dyDescent="0.35">
      <c r="A174" t="s">
        <v>1063</v>
      </c>
    </row>
    <row r="175" spans="1:1" x14ac:dyDescent="0.35">
      <c r="A175" t="s">
        <v>570</v>
      </c>
    </row>
    <row r="176" spans="1:1" x14ac:dyDescent="0.35">
      <c r="A176" t="s">
        <v>571</v>
      </c>
    </row>
    <row r="177" spans="1:1" x14ac:dyDescent="0.35">
      <c r="A177" t="s">
        <v>508</v>
      </c>
    </row>
    <row r="178" spans="1:1" x14ac:dyDescent="0.35">
      <c r="A178" t="s">
        <v>499</v>
      </c>
    </row>
    <row r="179" spans="1:1" x14ac:dyDescent="0.35">
      <c r="A179" t="s">
        <v>575</v>
      </c>
    </row>
    <row r="180" spans="1:1" x14ac:dyDescent="0.35">
      <c r="A180" t="s">
        <v>578</v>
      </c>
    </row>
    <row r="181" spans="1:1" x14ac:dyDescent="0.35">
      <c r="A181" t="s">
        <v>569</v>
      </c>
    </row>
    <row r="182" spans="1:1" x14ac:dyDescent="0.35">
      <c r="A182" t="s">
        <v>963</v>
      </c>
    </row>
    <row r="183" spans="1:1" x14ac:dyDescent="0.35">
      <c r="A183" t="s">
        <v>570</v>
      </c>
    </row>
    <row r="184" spans="1:1" x14ac:dyDescent="0.35">
      <c r="A184" t="s">
        <v>571</v>
      </c>
    </row>
    <row r="185" spans="1:1" x14ac:dyDescent="0.35">
      <c r="A185" t="s">
        <v>508</v>
      </c>
    </row>
    <row r="186" spans="1:1" x14ac:dyDescent="0.35">
      <c r="A186" t="s">
        <v>499</v>
      </c>
    </row>
    <row r="187" spans="1:1" x14ac:dyDescent="0.35">
      <c r="A187" t="s">
        <v>575</v>
      </c>
    </row>
    <row r="188" spans="1:1" x14ac:dyDescent="0.35">
      <c r="A188" t="s">
        <v>578</v>
      </c>
    </row>
    <row r="189" spans="1:1" x14ac:dyDescent="0.35">
      <c r="A189" t="s">
        <v>572</v>
      </c>
    </row>
    <row r="190" spans="1:1" x14ac:dyDescent="0.35">
      <c r="A190" t="s">
        <v>1087</v>
      </c>
    </row>
    <row r="191" spans="1:1" x14ac:dyDescent="0.35">
      <c r="A191" t="s">
        <v>1088</v>
      </c>
    </row>
    <row r="192" spans="1:1" x14ac:dyDescent="0.35">
      <c r="A192" t="s">
        <v>1089</v>
      </c>
    </row>
    <row r="193" spans="1:1" x14ac:dyDescent="0.35">
      <c r="A193" t="s">
        <v>508</v>
      </c>
    </row>
    <row r="194" spans="1:1" x14ac:dyDescent="0.35">
      <c r="A194" t="s">
        <v>499</v>
      </c>
    </row>
    <row r="195" spans="1:1" x14ac:dyDescent="0.35">
      <c r="A195" t="s">
        <v>575</v>
      </c>
    </row>
    <row r="196" spans="1:1" x14ac:dyDescent="0.35">
      <c r="A196" t="s">
        <v>578</v>
      </c>
    </row>
    <row r="197" spans="1:1" x14ac:dyDescent="0.35">
      <c r="A197" t="s">
        <v>573</v>
      </c>
    </row>
    <row r="198" spans="1:1" x14ac:dyDescent="0.35">
      <c r="A198" t="s">
        <v>1063</v>
      </c>
    </row>
    <row r="199" spans="1:1" x14ac:dyDescent="0.35">
      <c r="A199" t="s">
        <v>570</v>
      </c>
    </row>
    <row r="200" spans="1:1" x14ac:dyDescent="0.35">
      <c r="A200" t="s">
        <v>571</v>
      </c>
    </row>
    <row r="201" spans="1:1" x14ac:dyDescent="0.35">
      <c r="A201" t="s">
        <v>564</v>
      </c>
    </row>
    <row r="202" spans="1:1" x14ac:dyDescent="0.35">
      <c r="A202" t="s">
        <v>579</v>
      </c>
    </row>
    <row r="203" spans="1:1" x14ac:dyDescent="0.35">
      <c r="A203" t="s">
        <v>580</v>
      </c>
    </row>
    <row r="204" spans="1:1" x14ac:dyDescent="0.35">
      <c r="A204" t="s">
        <v>496</v>
      </c>
    </row>
    <row r="205" spans="1:1" x14ac:dyDescent="0.35">
      <c r="A205" t="s">
        <v>581</v>
      </c>
    </row>
    <row r="206" spans="1:1" x14ac:dyDescent="0.35">
      <c r="A206" t="s">
        <v>1090</v>
      </c>
    </row>
    <row r="207" spans="1:1" x14ac:dyDescent="0.35">
      <c r="A207" t="s">
        <v>498</v>
      </c>
    </row>
    <row r="208" spans="1:1" x14ac:dyDescent="0.35">
      <c r="A208" t="s">
        <v>499</v>
      </c>
    </row>
    <row r="209" spans="1:1" x14ac:dyDescent="0.35">
      <c r="A209" t="s">
        <v>500</v>
      </c>
    </row>
    <row r="210" spans="1:1" x14ac:dyDescent="0.35">
      <c r="A210" t="s">
        <v>582</v>
      </c>
    </row>
    <row r="211" spans="1:1" x14ac:dyDescent="0.35">
      <c r="A211" t="s">
        <v>583</v>
      </c>
    </row>
    <row r="212" spans="1:1" x14ac:dyDescent="0.35">
      <c r="A212" t="s">
        <v>584</v>
      </c>
    </row>
    <row r="213" spans="1:1" x14ac:dyDescent="0.35">
      <c r="A213" t="s">
        <v>585</v>
      </c>
    </row>
    <row r="214" spans="1:1" x14ac:dyDescent="0.35">
      <c r="A214" t="s">
        <v>586</v>
      </c>
    </row>
    <row r="215" spans="1:1" x14ac:dyDescent="0.35">
      <c r="A215" t="s">
        <v>587</v>
      </c>
    </row>
    <row r="216" spans="1:1" x14ac:dyDescent="0.35">
      <c r="A216" t="s">
        <v>588</v>
      </c>
    </row>
    <row r="217" spans="1:1" x14ac:dyDescent="0.35">
      <c r="A217" t="s">
        <v>508</v>
      </c>
    </row>
    <row r="218" spans="1:1" x14ac:dyDescent="0.35">
      <c r="A218" t="s">
        <v>499</v>
      </c>
    </row>
    <row r="219" spans="1:1" x14ac:dyDescent="0.35">
      <c r="A219" t="s">
        <v>509</v>
      </c>
    </row>
    <row r="220" spans="1:1" x14ac:dyDescent="0.35">
      <c r="A220" t="s">
        <v>518</v>
      </c>
    </row>
    <row r="221" spans="1:1" x14ac:dyDescent="0.35">
      <c r="A221" t="s">
        <v>527</v>
      </c>
    </row>
    <row r="222" spans="1:1" x14ac:dyDescent="0.35">
      <c r="A222" t="s">
        <v>589</v>
      </c>
    </row>
    <row r="223" spans="1:1" x14ac:dyDescent="0.35">
      <c r="A223" t="s">
        <v>590</v>
      </c>
    </row>
    <row r="224" spans="1:1" x14ac:dyDescent="0.35">
      <c r="A224" t="s">
        <v>591</v>
      </c>
    </row>
    <row r="225" spans="1:1" x14ac:dyDescent="0.35">
      <c r="A225" t="s">
        <v>592</v>
      </c>
    </row>
    <row r="226" spans="1:1" x14ac:dyDescent="0.35">
      <c r="A226" t="s">
        <v>593</v>
      </c>
    </row>
    <row r="227" spans="1:1" x14ac:dyDescent="0.35">
      <c r="A227" t="s">
        <v>508</v>
      </c>
    </row>
    <row r="228" spans="1:1" x14ac:dyDescent="0.35">
      <c r="A228" t="s">
        <v>499</v>
      </c>
    </row>
    <row r="229" spans="1:1" x14ac:dyDescent="0.35">
      <c r="A229" t="s">
        <v>517</v>
      </c>
    </row>
    <row r="230" spans="1:1" x14ac:dyDescent="0.35">
      <c r="A230" t="s">
        <v>594</v>
      </c>
    </row>
    <row r="231" spans="1:1" x14ac:dyDescent="0.35">
      <c r="A231" t="s">
        <v>527</v>
      </c>
    </row>
    <row r="232" spans="1:1" x14ac:dyDescent="0.35">
      <c r="A232" t="s">
        <v>595</v>
      </c>
    </row>
    <row r="233" spans="1:1" x14ac:dyDescent="0.35">
      <c r="A233" t="s">
        <v>596</v>
      </c>
    </row>
    <row r="234" spans="1:1" x14ac:dyDescent="0.35">
      <c r="A234" t="s">
        <v>597</v>
      </c>
    </row>
    <row r="235" spans="1:1" x14ac:dyDescent="0.35">
      <c r="A235" t="s">
        <v>598</v>
      </c>
    </row>
    <row r="236" spans="1:1" x14ac:dyDescent="0.35">
      <c r="A236" t="s">
        <v>599</v>
      </c>
    </row>
    <row r="237" spans="1:1" x14ac:dyDescent="0.35">
      <c r="A237" t="s">
        <v>508</v>
      </c>
    </row>
    <row r="238" spans="1:1" x14ac:dyDescent="0.35">
      <c r="A238" t="s">
        <v>499</v>
      </c>
    </row>
    <row r="239" spans="1:1" x14ac:dyDescent="0.35">
      <c r="A239" t="s">
        <v>525</v>
      </c>
    </row>
    <row r="240" spans="1:1" x14ac:dyDescent="0.35">
      <c r="A240" t="s">
        <v>557</v>
      </c>
    </row>
    <row r="241" spans="1:1" x14ac:dyDescent="0.35">
      <c r="A241" t="s">
        <v>600</v>
      </c>
    </row>
    <row r="242" spans="1:1" x14ac:dyDescent="0.35">
      <c r="A242" t="s">
        <v>601</v>
      </c>
    </row>
    <row r="243" spans="1:1" x14ac:dyDescent="0.35">
      <c r="A243" t="s">
        <v>602</v>
      </c>
    </row>
    <row r="244" spans="1:1" x14ac:dyDescent="0.35">
      <c r="A244" t="s">
        <v>603</v>
      </c>
    </row>
    <row r="245" spans="1:1" x14ac:dyDescent="0.35">
      <c r="A245" t="s">
        <v>604</v>
      </c>
    </row>
    <row r="246" spans="1:1" x14ac:dyDescent="0.35">
      <c r="A246" t="s">
        <v>548</v>
      </c>
    </row>
    <row r="247" spans="1:1" x14ac:dyDescent="0.35">
      <c r="A247" t="s">
        <v>508</v>
      </c>
    </row>
    <row r="248" spans="1:1" x14ac:dyDescent="0.35">
      <c r="A248" t="s">
        <v>499</v>
      </c>
    </row>
    <row r="249" spans="1:1" x14ac:dyDescent="0.35">
      <c r="A249" t="s">
        <v>533</v>
      </c>
    </row>
    <row r="250" spans="1:1" x14ac:dyDescent="0.35">
      <c r="A250" t="s">
        <v>605</v>
      </c>
    </row>
    <row r="251" spans="1:1" x14ac:dyDescent="0.35">
      <c r="A251" t="s">
        <v>606</v>
      </c>
    </row>
    <row r="252" spans="1:1" x14ac:dyDescent="0.35">
      <c r="A252" t="s">
        <v>607</v>
      </c>
    </row>
    <row r="253" spans="1:1" x14ac:dyDescent="0.35">
      <c r="A253" t="s">
        <v>608</v>
      </c>
    </row>
    <row r="254" spans="1:1" x14ac:dyDescent="0.35">
      <c r="A254" t="s">
        <v>609</v>
      </c>
    </row>
    <row r="255" spans="1:1" x14ac:dyDescent="0.35">
      <c r="A255" t="s">
        <v>610</v>
      </c>
    </row>
    <row r="256" spans="1:1" x14ac:dyDescent="0.35">
      <c r="A256" t="s">
        <v>611</v>
      </c>
    </row>
    <row r="257" spans="1:1" x14ac:dyDescent="0.35">
      <c r="A257" t="s">
        <v>508</v>
      </c>
    </row>
    <row r="258" spans="1:1" x14ac:dyDescent="0.35">
      <c r="A258" t="s">
        <v>499</v>
      </c>
    </row>
    <row r="259" spans="1:1" x14ac:dyDescent="0.35">
      <c r="A259" t="s">
        <v>541</v>
      </c>
    </row>
    <row r="260" spans="1:1" x14ac:dyDescent="0.35">
      <c r="A260" t="s">
        <v>1091</v>
      </c>
    </row>
    <row r="261" spans="1:1" x14ac:dyDescent="0.35">
      <c r="A261" t="s">
        <v>535</v>
      </c>
    </row>
    <row r="262" spans="1:1" x14ac:dyDescent="0.35">
      <c r="A262" t="s">
        <v>612</v>
      </c>
    </row>
    <row r="263" spans="1:1" x14ac:dyDescent="0.35">
      <c r="A263" t="s">
        <v>613</v>
      </c>
    </row>
    <row r="264" spans="1:1" x14ac:dyDescent="0.35">
      <c r="A264" t="s">
        <v>614</v>
      </c>
    </row>
    <row r="265" spans="1:1" x14ac:dyDescent="0.35">
      <c r="A265" t="s">
        <v>615</v>
      </c>
    </row>
    <row r="266" spans="1:1" x14ac:dyDescent="0.35">
      <c r="A266" t="s">
        <v>616</v>
      </c>
    </row>
    <row r="267" spans="1:1" x14ac:dyDescent="0.35">
      <c r="A267" t="s">
        <v>508</v>
      </c>
    </row>
    <row r="268" spans="1:1" x14ac:dyDescent="0.35">
      <c r="A268" t="s">
        <v>499</v>
      </c>
    </row>
    <row r="269" spans="1:1" x14ac:dyDescent="0.35">
      <c r="A269" t="s">
        <v>549</v>
      </c>
    </row>
    <row r="270" spans="1:1" x14ac:dyDescent="0.35">
      <c r="A270" t="s">
        <v>617</v>
      </c>
    </row>
    <row r="271" spans="1:1" x14ac:dyDescent="0.35">
      <c r="A271" t="s">
        <v>618</v>
      </c>
    </row>
    <row r="272" spans="1:1" x14ac:dyDescent="0.35">
      <c r="A272" t="s">
        <v>619</v>
      </c>
    </row>
    <row r="273" spans="1:1" x14ac:dyDescent="0.35">
      <c r="A273" t="s">
        <v>620</v>
      </c>
    </row>
    <row r="274" spans="1:1" x14ac:dyDescent="0.35">
      <c r="A274" t="s">
        <v>621</v>
      </c>
    </row>
    <row r="275" spans="1:1" x14ac:dyDescent="0.35">
      <c r="A275" t="s">
        <v>622</v>
      </c>
    </row>
    <row r="276" spans="1:1" x14ac:dyDescent="0.35">
      <c r="A276" t="s">
        <v>623</v>
      </c>
    </row>
    <row r="277" spans="1:1" x14ac:dyDescent="0.35">
      <c r="A277" t="s">
        <v>508</v>
      </c>
    </row>
    <row r="278" spans="1:1" x14ac:dyDescent="0.35">
      <c r="A278" t="s">
        <v>499</v>
      </c>
    </row>
    <row r="279" spans="1:1" x14ac:dyDescent="0.35">
      <c r="A279" t="s">
        <v>556</v>
      </c>
    </row>
    <row r="280" spans="1:1" x14ac:dyDescent="0.35">
      <c r="A280" t="s">
        <v>624</v>
      </c>
    </row>
    <row r="281" spans="1:1" x14ac:dyDescent="0.35">
      <c r="A281" t="s">
        <v>625</v>
      </c>
    </row>
    <row r="282" spans="1:1" x14ac:dyDescent="0.35">
      <c r="A282" t="s">
        <v>626</v>
      </c>
    </row>
    <row r="283" spans="1:1" x14ac:dyDescent="0.35">
      <c r="A283" t="s">
        <v>627</v>
      </c>
    </row>
    <row r="284" spans="1:1" x14ac:dyDescent="0.35">
      <c r="A284" t="s">
        <v>628</v>
      </c>
    </row>
    <row r="285" spans="1:1" x14ac:dyDescent="0.35">
      <c r="A285" t="s">
        <v>592</v>
      </c>
    </row>
    <row r="286" spans="1:1" x14ac:dyDescent="0.35">
      <c r="A286" t="s">
        <v>629</v>
      </c>
    </row>
    <row r="287" spans="1:1" x14ac:dyDescent="0.35">
      <c r="A287" t="s">
        <v>564</v>
      </c>
    </row>
    <row r="288" spans="1:1" x14ac:dyDescent="0.35">
      <c r="A288" t="s">
        <v>565</v>
      </c>
    </row>
    <row r="289" spans="1:1" x14ac:dyDescent="0.35">
      <c r="A289" t="s">
        <v>566</v>
      </c>
    </row>
    <row r="290" spans="1:1" x14ac:dyDescent="0.35">
      <c r="A290" t="s">
        <v>499</v>
      </c>
    </row>
    <row r="291" spans="1:1" x14ac:dyDescent="0.35">
      <c r="A291" t="s">
        <v>567</v>
      </c>
    </row>
    <row r="292" spans="1:1" x14ac:dyDescent="0.35">
      <c r="A292" t="s">
        <v>568</v>
      </c>
    </row>
    <row r="293" spans="1:1" x14ac:dyDescent="0.35">
      <c r="A293" t="s">
        <v>569</v>
      </c>
    </row>
    <row r="294" spans="1:1" x14ac:dyDescent="0.35">
      <c r="A294" t="s">
        <v>1092</v>
      </c>
    </row>
    <row r="295" spans="1:1" x14ac:dyDescent="0.35">
      <c r="A295" t="s">
        <v>630</v>
      </c>
    </row>
    <row r="296" spans="1:1" x14ac:dyDescent="0.35">
      <c r="A296" t="s">
        <v>631</v>
      </c>
    </row>
    <row r="297" spans="1:1" x14ac:dyDescent="0.35">
      <c r="A297" t="s">
        <v>508</v>
      </c>
    </row>
    <row r="298" spans="1:1" x14ac:dyDescent="0.35">
      <c r="A298" t="s">
        <v>499</v>
      </c>
    </row>
    <row r="299" spans="1:1" x14ac:dyDescent="0.35">
      <c r="A299" t="s">
        <v>567</v>
      </c>
    </row>
    <row r="300" spans="1:1" x14ac:dyDescent="0.35">
      <c r="A300" t="s">
        <v>568</v>
      </c>
    </row>
    <row r="301" spans="1:1" x14ac:dyDescent="0.35">
      <c r="A301" t="s">
        <v>572</v>
      </c>
    </row>
    <row r="302" spans="1:1" x14ac:dyDescent="0.35">
      <c r="A302" t="s">
        <v>1093</v>
      </c>
    </row>
    <row r="303" spans="1:1" x14ac:dyDescent="0.35">
      <c r="A303" t="s">
        <v>632</v>
      </c>
    </row>
    <row r="304" spans="1:1" x14ac:dyDescent="0.35">
      <c r="A304" t="s">
        <v>633</v>
      </c>
    </row>
    <row r="305" spans="1:1" x14ac:dyDescent="0.35">
      <c r="A305" t="s">
        <v>508</v>
      </c>
    </row>
    <row r="306" spans="1:1" x14ac:dyDescent="0.35">
      <c r="A306" t="s">
        <v>499</v>
      </c>
    </row>
    <row r="307" spans="1:1" x14ac:dyDescent="0.35">
      <c r="A307" t="s">
        <v>567</v>
      </c>
    </row>
    <row r="308" spans="1:1" x14ac:dyDescent="0.35">
      <c r="A308" t="s">
        <v>568</v>
      </c>
    </row>
    <row r="309" spans="1:1" x14ac:dyDescent="0.35">
      <c r="A309" t="s">
        <v>573</v>
      </c>
    </row>
    <row r="310" spans="1:1" x14ac:dyDescent="0.35">
      <c r="A310" t="s">
        <v>1094</v>
      </c>
    </row>
    <row r="311" spans="1:1" x14ac:dyDescent="0.35">
      <c r="A311" t="s">
        <v>1101</v>
      </c>
    </row>
    <row r="312" spans="1:1" x14ac:dyDescent="0.35">
      <c r="A312" t="s">
        <v>631</v>
      </c>
    </row>
    <row r="313" spans="1:1" x14ac:dyDescent="0.35">
      <c r="A313" t="s">
        <v>564</v>
      </c>
    </row>
    <row r="314" spans="1:1" x14ac:dyDescent="0.35">
      <c r="A314" t="s">
        <v>565</v>
      </c>
    </row>
    <row r="315" spans="1:1" x14ac:dyDescent="0.35">
      <c r="A315" t="s">
        <v>574</v>
      </c>
    </row>
    <row r="316" spans="1:1" x14ac:dyDescent="0.35">
      <c r="A316" t="s">
        <v>499</v>
      </c>
    </row>
    <row r="317" spans="1:1" x14ac:dyDescent="0.35">
      <c r="A317" t="s">
        <v>575</v>
      </c>
    </row>
    <row r="318" spans="1:1" x14ac:dyDescent="0.35">
      <c r="A318" t="s">
        <v>576</v>
      </c>
    </row>
    <row r="319" spans="1:1" x14ac:dyDescent="0.35">
      <c r="A319" t="s">
        <v>569</v>
      </c>
    </row>
    <row r="320" spans="1:1" x14ac:dyDescent="0.35">
      <c r="A320" t="s">
        <v>1095</v>
      </c>
    </row>
    <row r="321" spans="1:1" x14ac:dyDescent="0.35">
      <c r="A321" t="s">
        <v>636</v>
      </c>
    </row>
    <row r="322" spans="1:1" x14ac:dyDescent="0.35">
      <c r="A322" t="s">
        <v>637</v>
      </c>
    </row>
    <row r="323" spans="1:1" x14ac:dyDescent="0.35">
      <c r="A323" t="s">
        <v>508</v>
      </c>
    </row>
    <row r="324" spans="1:1" x14ac:dyDescent="0.35">
      <c r="A324" t="s">
        <v>499</v>
      </c>
    </row>
    <row r="325" spans="1:1" x14ac:dyDescent="0.35">
      <c r="A325" t="s">
        <v>575</v>
      </c>
    </row>
    <row r="326" spans="1:1" x14ac:dyDescent="0.35">
      <c r="A326" t="s">
        <v>576</v>
      </c>
    </row>
    <row r="327" spans="1:1" x14ac:dyDescent="0.35">
      <c r="A327" t="s">
        <v>572</v>
      </c>
    </row>
    <row r="328" spans="1:1" x14ac:dyDescent="0.35">
      <c r="A328" t="s">
        <v>1096</v>
      </c>
    </row>
    <row r="329" spans="1:1" x14ac:dyDescent="0.35">
      <c r="A329" t="s">
        <v>630</v>
      </c>
    </row>
    <row r="330" spans="1:1" x14ac:dyDescent="0.35">
      <c r="A330" t="s">
        <v>631</v>
      </c>
    </row>
    <row r="331" spans="1:1" x14ac:dyDescent="0.35">
      <c r="A331" t="s">
        <v>508</v>
      </c>
    </row>
    <row r="332" spans="1:1" x14ac:dyDescent="0.35">
      <c r="A332" t="s">
        <v>499</v>
      </c>
    </row>
    <row r="333" spans="1:1" x14ac:dyDescent="0.35">
      <c r="A333" t="s">
        <v>575</v>
      </c>
    </row>
    <row r="334" spans="1:1" x14ac:dyDescent="0.35">
      <c r="A334" t="s">
        <v>576</v>
      </c>
    </row>
    <row r="335" spans="1:1" x14ac:dyDescent="0.35">
      <c r="A335" t="s">
        <v>573</v>
      </c>
    </row>
    <row r="336" spans="1:1" x14ac:dyDescent="0.35">
      <c r="A336" t="s">
        <v>1097</v>
      </c>
    </row>
    <row r="337" spans="1:1" x14ac:dyDescent="0.35">
      <c r="A337" t="s">
        <v>638</v>
      </c>
    </row>
    <row r="338" spans="1:1" x14ac:dyDescent="0.35">
      <c r="A338" t="s">
        <v>633</v>
      </c>
    </row>
    <row r="339" spans="1:1" x14ac:dyDescent="0.35">
      <c r="A339" t="s">
        <v>508</v>
      </c>
    </row>
    <row r="340" spans="1:1" x14ac:dyDescent="0.35">
      <c r="A340" t="s">
        <v>499</v>
      </c>
    </row>
    <row r="341" spans="1:1" x14ac:dyDescent="0.35">
      <c r="A341" t="s">
        <v>575</v>
      </c>
    </row>
    <row r="342" spans="1:1" x14ac:dyDescent="0.35">
      <c r="A342" t="s">
        <v>577</v>
      </c>
    </row>
    <row r="343" spans="1:1" x14ac:dyDescent="0.35">
      <c r="A343" t="s">
        <v>569</v>
      </c>
    </row>
    <row r="344" spans="1:1" x14ac:dyDescent="0.35">
      <c r="A344" t="s">
        <v>1095</v>
      </c>
    </row>
    <row r="345" spans="1:1" x14ac:dyDescent="0.35">
      <c r="A345" t="s">
        <v>639</v>
      </c>
    </row>
    <row r="346" spans="1:1" x14ac:dyDescent="0.35">
      <c r="A346" t="s">
        <v>640</v>
      </c>
    </row>
    <row r="347" spans="1:1" x14ac:dyDescent="0.35">
      <c r="A347" t="s">
        <v>508</v>
      </c>
    </row>
    <row r="348" spans="1:1" x14ac:dyDescent="0.35">
      <c r="A348" t="s">
        <v>499</v>
      </c>
    </row>
    <row r="349" spans="1:1" x14ac:dyDescent="0.35">
      <c r="A349" t="s">
        <v>575</v>
      </c>
    </row>
    <row r="350" spans="1:1" x14ac:dyDescent="0.35">
      <c r="A350" t="s">
        <v>577</v>
      </c>
    </row>
    <row r="351" spans="1:1" x14ac:dyDescent="0.35">
      <c r="A351" t="s">
        <v>572</v>
      </c>
    </row>
    <row r="352" spans="1:1" x14ac:dyDescent="0.35">
      <c r="A352" t="s">
        <v>1096</v>
      </c>
    </row>
    <row r="353" spans="1:1" x14ac:dyDescent="0.35">
      <c r="A353" t="s">
        <v>634</v>
      </c>
    </row>
    <row r="354" spans="1:1" x14ac:dyDescent="0.35">
      <c r="A354" t="s">
        <v>635</v>
      </c>
    </row>
    <row r="355" spans="1:1" x14ac:dyDescent="0.35">
      <c r="A355" t="s">
        <v>508</v>
      </c>
    </row>
    <row r="356" spans="1:1" x14ac:dyDescent="0.35">
      <c r="A356" t="s">
        <v>499</v>
      </c>
    </row>
    <row r="357" spans="1:1" x14ac:dyDescent="0.35">
      <c r="A357" t="s">
        <v>575</v>
      </c>
    </row>
    <row r="358" spans="1:1" x14ac:dyDescent="0.35">
      <c r="A358" t="s">
        <v>577</v>
      </c>
    </row>
    <row r="359" spans="1:1" x14ac:dyDescent="0.35">
      <c r="A359" t="s">
        <v>573</v>
      </c>
    </row>
    <row r="360" spans="1:1" x14ac:dyDescent="0.35">
      <c r="A360" t="s">
        <v>1097</v>
      </c>
    </row>
    <row r="361" spans="1:1" x14ac:dyDescent="0.35">
      <c r="A361" t="s">
        <v>630</v>
      </c>
    </row>
    <row r="362" spans="1:1" x14ac:dyDescent="0.35">
      <c r="A362" t="s">
        <v>631</v>
      </c>
    </row>
    <row r="363" spans="1:1" x14ac:dyDescent="0.35">
      <c r="A363" t="s">
        <v>508</v>
      </c>
    </row>
    <row r="364" spans="1:1" x14ac:dyDescent="0.35">
      <c r="A364" t="s">
        <v>499</v>
      </c>
    </row>
    <row r="365" spans="1:1" x14ac:dyDescent="0.35">
      <c r="A365" t="s">
        <v>575</v>
      </c>
    </row>
    <row r="366" spans="1:1" x14ac:dyDescent="0.35">
      <c r="A366" t="s">
        <v>578</v>
      </c>
    </row>
    <row r="367" spans="1:1" x14ac:dyDescent="0.35">
      <c r="A367" t="s">
        <v>569</v>
      </c>
    </row>
    <row r="368" spans="1:1" x14ac:dyDescent="0.35">
      <c r="A368" t="s">
        <v>1095</v>
      </c>
    </row>
    <row r="369" spans="1:1" x14ac:dyDescent="0.35">
      <c r="A369" t="s">
        <v>630</v>
      </c>
    </row>
    <row r="370" spans="1:1" x14ac:dyDescent="0.35">
      <c r="A370" t="s">
        <v>631</v>
      </c>
    </row>
    <row r="371" spans="1:1" x14ac:dyDescent="0.35">
      <c r="A371" t="s">
        <v>508</v>
      </c>
    </row>
    <row r="372" spans="1:1" x14ac:dyDescent="0.35">
      <c r="A372" t="s">
        <v>499</v>
      </c>
    </row>
    <row r="373" spans="1:1" x14ac:dyDescent="0.35">
      <c r="A373" t="s">
        <v>575</v>
      </c>
    </row>
    <row r="374" spans="1:1" x14ac:dyDescent="0.35">
      <c r="A374" t="s">
        <v>578</v>
      </c>
    </row>
    <row r="375" spans="1:1" x14ac:dyDescent="0.35">
      <c r="A375" t="s">
        <v>572</v>
      </c>
    </row>
    <row r="376" spans="1:1" x14ac:dyDescent="0.35">
      <c r="A376" t="s">
        <v>1096</v>
      </c>
    </row>
    <row r="377" spans="1:1" x14ac:dyDescent="0.35">
      <c r="A377" t="s">
        <v>641</v>
      </c>
    </row>
    <row r="378" spans="1:1" x14ac:dyDescent="0.35">
      <c r="A378" t="s">
        <v>642</v>
      </c>
    </row>
    <row r="379" spans="1:1" x14ac:dyDescent="0.35">
      <c r="A379" t="s">
        <v>508</v>
      </c>
    </row>
    <row r="380" spans="1:1" x14ac:dyDescent="0.35">
      <c r="A380" t="s">
        <v>499</v>
      </c>
    </row>
    <row r="381" spans="1:1" x14ac:dyDescent="0.35">
      <c r="A381" t="s">
        <v>575</v>
      </c>
    </row>
    <row r="382" spans="1:1" x14ac:dyDescent="0.35">
      <c r="A382" t="s">
        <v>578</v>
      </c>
    </row>
    <row r="383" spans="1:1" x14ac:dyDescent="0.35">
      <c r="A383" t="s">
        <v>573</v>
      </c>
    </row>
    <row r="384" spans="1:1" x14ac:dyDescent="0.35">
      <c r="A384" t="s">
        <v>1097</v>
      </c>
    </row>
    <row r="385" spans="1:1" x14ac:dyDescent="0.35">
      <c r="A385" t="s">
        <v>639</v>
      </c>
    </row>
    <row r="386" spans="1:1" x14ac:dyDescent="0.35">
      <c r="A386" t="s">
        <v>640</v>
      </c>
    </row>
    <row r="387" spans="1:1" x14ac:dyDescent="0.35">
      <c r="A387" t="s">
        <v>564</v>
      </c>
    </row>
    <row r="388" spans="1:1" x14ac:dyDescent="0.35">
      <c r="A388" t="s">
        <v>579</v>
      </c>
    </row>
    <row r="389" spans="1:1" x14ac:dyDescent="0.35">
      <c r="A389" t="s">
        <v>580</v>
      </c>
    </row>
    <row r="390" spans="1:1" x14ac:dyDescent="0.35">
      <c r="A390" t="s">
        <v>496</v>
      </c>
    </row>
    <row r="391" spans="1:1" x14ac:dyDescent="0.35">
      <c r="A391" t="s">
        <v>643</v>
      </c>
    </row>
    <row r="392" spans="1:1" x14ac:dyDescent="0.35">
      <c r="A392" t="s">
        <v>644</v>
      </c>
    </row>
    <row r="393" spans="1:1" x14ac:dyDescent="0.35">
      <c r="A393" t="s">
        <v>498</v>
      </c>
    </row>
    <row r="394" spans="1:1" x14ac:dyDescent="0.35">
      <c r="A394" t="s">
        <v>499</v>
      </c>
    </row>
    <row r="395" spans="1:1" x14ac:dyDescent="0.35">
      <c r="A395" t="s">
        <v>500</v>
      </c>
    </row>
    <row r="396" spans="1:1" x14ac:dyDescent="0.35">
      <c r="A396" t="s">
        <v>645</v>
      </c>
    </row>
    <row r="397" spans="1:1" x14ac:dyDescent="0.35">
      <c r="A397" t="s">
        <v>600</v>
      </c>
    </row>
    <row r="398" spans="1:1" x14ac:dyDescent="0.35">
      <c r="A398" t="s">
        <v>646</v>
      </c>
    </row>
    <row r="399" spans="1:1" x14ac:dyDescent="0.35">
      <c r="A399" t="s">
        <v>647</v>
      </c>
    </row>
    <row r="400" spans="1:1" x14ac:dyDescent="0.35">
      <c r="A400" t="s">
        <v>648</v>
      </c>
    </row>
    <row r="401" spans="1:1" x14ac:dyDescent="0.35">
      <c r="A401" t="s">
        <v>649</v>
      </c>
    </row>
    <row r="402" spans="1:1" x14ac:dyDescent="0.35">
      <c r="A402" t="s">
        <v>650</v>
      </c>
    </row>
    <row r="403" spans="1:1" x14ac:dyDescent="0.35">
      <c r="A403" t="s">
        <v>508</v>
      </c>
    </row>
    <row r="404" spans="1:1" x14ac:dyDescent="0.35">
      <c r="A404" t="s">
        <v>499</v>
      </c>
    </row>
    <row r="405" spans="1:1" x14ac:dyDescent="0.35">
      <c r="A405" t="s">
        <v>509</v>
      </c>
    </row>
    <row r="406" spans="1:1" x14ac:dyDescent="0.35">
      <c r="A406" t="s">
        <v>645</v>
      </c>
    </row>
    <row r="407" spans="1:1" x14ac:dyDescent="0.35">
      <c r="A407" t="s">
        <v>651</v>
      </c>
    </row>
    <row r="408" spans="1:1" x14ac:dyDescent="0.35">
      <c r="A408" t="s">
        <v>652</v>
      </c>
    </row>
    <row r="409" spans="1:1" x14ac:dyDescent="0.35">
      <c r="A409" t="s">
        <v>653</v>
      </c>
    </row>
    <row r="410" spans="1:1" x14ac:dyDescent="0.35">
      <c r="A410" t="s">
        <v>654</v>
      </c>
    </row>
    <row r="411" spans="1:1" x14ac:dyDescent="0.35">
      <c r="A411" t="s">
        <v>655</v>
      </c>
    </row>
    <row r="412" spans="1:1" x14ac:dyDescent="0.35">
      <c r="A412" t="s">
        <v>656</v>
      </c>
    </row>
    <row r="413" spans="1:1" x14ac:dyDescent="0.35">
      <c r="A413" t="s">
        <v>508</v>
      </c>
    </row>
    <row r="414" spans="1:1" x14ac:dyDescent="0.35">
      <c r="A414" t="s">
        <v>499</v>
      </c>
    </row>
    <row r="415" spans="1:1" x14ac:dyDescent="0.35">
      <c r="A415" t="s">
        <v>517</v>
      </c>
    </row>
    <row r="416" spans="1:1" x14ac:dyDescent="0.35">
      <c r="A416" t="s">
        <v>526</v>
      </c>
    </row>
    <row r="417" spans="1:1" x14ac:dyDescent="0.35">
      <c r="A417" t="s">
        <v>558</v>
      </c>
    </row>
    <row r="418" spans="1:1" x14ac:dyDescent="0.35">
      <c r="A418" t="s">
        <v>657</v>
      </c>
    </row>
    <row r="419" spans="1:1" x14ac:dyDescent="0.35">
      <c r="A419" t="s">
        <v>658</v>
      </c>
    </row>
    <row r="420" spans="1:1" x14ac:dyDescent="0.35">
      <c r="A420" t="s">
        <v>659</v>
      </c>
    </row>
    <row r="421" spans="1:1" x14ac:dyDescent="0.35">
      <c r="A421" t="s">
        <v>660</v>
      </c>
    </row>
    <row r="422" spans="1:1" x14ac:dyDescent="0.35">
      <c r="A422" t="s">
        <v>588</v>
      </c>
    </row>
    <row r="423" spans="1:1" x14ac:dyDescent="0.35">
      <c r="A423" t="s">
        <v>508</v>
      </c>
    </row>
    <row r="424" spans="1:1" x14ac:dyDescent="0.35">
      <c r="A424" t="s">
        <v>499</v>
      </c>
    </row>
    <row r="425" spans="1:1" x14ac:dyDescent="0.35">
      <c r="A425" t="s">
        <v>525</v>
      </c>
    </row>
    <row r="426" spans="1:1" x14ac:dyDescent="0.35">
      <c r="A426" t="s">
        <v>661</v>
      </c>
    </row>
    <row r="427" spans="1:1" x14ac:dyDescent="0.35">
      <c r="A427" t="s">
        <v>527</v>
      </c>
    </row>
    <row r="428" spans="1:1" x14ac:dyDescent="0.35">
      <c r="A428" t="s">
        <v>662</v>
      </c>
    </row>
    <row r="429" spans="1:1" x14ac:dyDescent="0.35">
      <c r="A429" t="s">
        <v>663</v>
      </c>
    </row>
    <row r="430" spans="1:1" x14ac:dyDescent="0.35">
      <c r="A430" t="s">
        <v>664</v>
      </c>
    </row>
    <row r="431" spans="1:1" x14ac:dyDescent="0.35">
      <c r="A431" t="s">
        <v>665</v>
      </c>
    </row>
    <row r="432" spans="1:1" x14ac:dyDescent="0.35">
      <c r="A432" t="s">
        <v>666</v>
      </c>
    </row>
    <row r="433" spans="1:1" x14ac:dyDescent="0.35">
      <c r="A433" t="s">
        <v>508</v>
      </c>
    </row>
    <row r="434" spans="1:1" x14ac:dyDescent="0.35">
      <c r="A434" t="s">
        <v>499</v>
      </c>
    </row>
    <row r="435" spans="1:1" x14ac:dyDescent="0.35">
      <c r="A435" t="s">
        <v>533</v>
      </c>
    </row>
    <row r="436" spans="1:1" x14ac:dyDescent="0.35">
      <c r="A436" t="s">
        <v>661</v>
      </c>
    </row>
    <row r="437" spans="1:1" x14ac:dyDescent="0.35">
      <c r="A437" t="s">
        <v>667</v>
      </c>
    </row>
    <row r="438" spans="1:1" x14ac:dyDescent="0.35">
      <c r="A438" t="s">
        <v>668</v>
      </c>
    </row>
    <row r="439" spans="1:1" x14ac:dyDescent="0.35">
      <c r="A439" t="s">
        <v>669</v>
      </c>
    </row>
    <row r="440" spans="1:1" x14ac:dyDescent="0.35">
      <c r="A440" t="s">
        <v>670</v>
      </c>
    </row>
    <row r="441" spans="1:1" x14ac:dyDescent="0.35">
      <c r="A441" t="s">
        <v>604</v>
      </c>
    </row>
    <row r="442" spans="1:1" x14ac:dyDescent="0.35">
      <c r="A442" t="s">
        <v>671</v>
      </c>
    </row>
    <row r="443" spans="1:1" x14ac:dyDescent="0.35">
      <c r="A443" t="s">
        <v>508</v>
      </c>
    </row>
    <row r="444" spans="1:1" x14ac:dyDescent="0.35">
      <c r="A444" t="s">
        <v>499</v>
      </c>
    </row>
    <row r="445" spans="1:1" x14ac:dyDescent="0.35">
      <c r="A445" t="s">
        <v>541</v>
      </c>
    </row>
    <row r="446" spans="1:1" x14ac:dyDescent="0.35">
      <c r="A446" t="s">
        <v>557</v>
      </c>
    </row>
    <row r="447" spans="1:1" x14ac:dyDescent="0.35">
      <c r="A447" t="s">
        <v>672</v>
      </c>
    </row>
    <row r="448" spans="1:1" x14ac:dyDescent="0.35">
      <c r="A448" t="s">
        <v>673</v>
      </c>
    </row>
    <row r="449" spans="1:1" x14ac:dyDescent="0.35">
      <c r="A449" t="s">
        <v>674</v>
      </c>
    </row>
    <row r="450" spans="1:1" x14ac:dyDescent="0.35">
      <c r="A450" t="s">
        <v>675</v>
      </c>
    </row>
    <row r="451" spans="1:1" x14ac:dyDescent="0.35">
      <c r="A451" t="s">
        <v>676</v>
      </c>
    </row>
    <row r="452" spans="1:1" x14ac:dyDescent="0.35">
      <c r="A452" t="s">
        <v>677</v>
      </c>
    </row>
    <row r="453" spans="1:1" x14ac:dyDescent="0.35">
      <c r="A453" t="s">
        <v>508</v>
      </c>
    </row>
    <row r="454" spans="1:1" x14ac:dyDescent="0.35">
      <c r="A454" t="s">
        <v>499</v>
      </c>
    </row>
    <row r="455" spans="1:1" x14ac:dyDescent="0.35">
      <c r="A455" t="s">
        <v>549</v>
      </c>
    </row>
    <row r="456" spans="1:1" x14ac:dyDescent="0.35">
      <c r="A456" t="s">
        <v>526</v>
      </c>
    </row>
    <row r="457" spans="1:1" x14ac:dyDescent="0.35">
      <c r="A457" t="s">
        <v>583</v>
      </c>
    </row>
    <row r="458" spans="1:1" x14ac:dyDescent="0.35">
      <c r="A458" t="s">
        <v>678</v>
      </c>
    </row>
    <row r="459" spans="1:1" x14ac:dyDescent="0.35">
      <c r="A459" t="s">
        <v>679</v>
      </c>
    </row>
    <row r="460" spans="1:1" x14ac:dyDescent="0.35">
      <c r="A460" t="s">
        <v>680</v>
      </c>
    </row>
    <row r="461" spans="1:1" x14ac:dyDescent="0.35">
      <c r="A461" t="s">
        <v>622</v>
      </c>
    </row>
    <row r="462" spans="1:1" x14ac:dyDescent="0.35">
      <c r="A462" t="s">
        <v>681</v>
      </c>
    </row>
    <row r="463" spans="1:1" x14ac:dyDescent="0.35">
      <c r="A463" t="s">
        <v>508</v>
      </c>
    </row>
    <row r="464" spans="1:1" x14ac:dyDescent="0.35">
      <c r="A464" t="s">
        <v>499</v>
      </c>
    </row>
    <row r="465" spans="1:1" x14ac:dyDescent="0.35">
      <c r="A465" t="s">
        <v>556</v>
      </c>
    </row>
    <row r="466" spans="1:1" x14ac:dyDescent="0.35">
      <c r="A466" t="s">
        <v>682</v>
      </c>
    </row>
    <row r="467" spans="1:1" x14ac:dyDescent="0.35">
      <c r="A467" t="s">
        <v>683</v>
      </c>
    </row>
    <row r="468" spans="1:1" x14ac:dyDescent="0.35">
      <c r="A468" t="s">
        <v>684</v>
      </c>
    </row>
    <row r="469" spans="1:1" x14ac:dyDescent="0.35">
      <c r="A469" t="s">
        <v>685</v>
      </c>
    </row>
    <row r="470" spans="1:1" x14ac:dyDescent="0.35">
      <c r="A470" t="s">
        <v>680</v>
      </c>
    </row>
    <row r="471" spans="1:1" x14ac:dyDescent="0.35">
      <c r="A471" t="s">
        <v>686</v>
      </c>
    </row>
    <row r="472" spans="1:1" x14ac:dyDescent="0.35">
      <c r="A472" t="s">
        <v>687</v>
      </c>
    </row>
    <row r="473" spans="1:1" x14ac:dyDescent="0.35">
      <c r="A473" t="s">
        <v>564</v>
      </c>
    </row>
    <row r="474" spans="1:1" x14ac:dyDescent="0.35">
      <c r="A474" t="s">
        <v>565</v>
      </c>
    </row>
    <row r="475" spans="1:1" x14ac:dyDescent="0.35">
      <c r="A475" t="s">
        <v>566</v>
      </c>
    </row>
    <row r="476" spans="1:1" x14ac:dyDescent="0.35">
      <c r="A476" t="s">
        <v>499</v>
      </c>
    </row>
    <row r="477" spans="1:1" x14ac:dyDescent="0.35">
      <c r="A477" t="s">
        <v>567</v>
      </c>
    </row>
    <row r="478" spans="1:1" x14ac:dyDescent="0.35">
      <c r="A478" t="s">
        <v>568</v>
      </c>
    </row>
    <row r="479" spans="1:1" x14ac:dyDescent="0.35">
      <c r="A479" t="s">
        <v>569</v>
      </c>
    </row>
    <row r="480" spans="1:1" x14ac:dyDescent="0.35">
      <c r="A480" t="s">
        <v>688</v>
      </c>
    </row>
    <row r="481" spans="1:1" x14ac:dyDescent="0.35">
      <c r="A481" t="s">
        <v>639</v>
      </c>
    </row>
    <row r="482" spans="1:1" x14ac:dyDescent="0.35">
      <c r="A482" t="s">
        <v>640</v>
      </c>
    </row>
    <row r="483" spans="1:1" x14ac:dyDescent="0.35">
      <c r="A483" t="s">
        <v>508</v>
      </c>
    </row>
    <row r="484" spans="1:1" x14ac:dyDescent="0.35">
      <c r="A484" t="s">
        <v>499</v>
      </c>
    </row>
    <row r="485" spans="1:1" x14ac:dyDescent="0.35">
      <c r="A485" t="s">
        <v>567</v>
      </c>
    </row>
    <row r="486" spans="1:1" x14ac:dyDescent="0.35">
      <c r="A486" t="s">
        <v>568</v>
      </c>
    </row>
    <row r="487" spans="1:1" x14ac:dyDescent="0.35">
      <c r="A487" t="s">
        <v>572</v>
      </c>
    </row>
    <row r="488" spans="1:1" x14ac:dyDescent="0.35">
      <c r="A488" t="s">
        <v>689</v>
      </c>
    </row>
    <row r="489" spans="1:1" x14ac:dyDescent="0.35">
      <c r="A489" t="s">
        <v>690</v>
      </c>
    </row>
    <row r="490" spans="1:1" x14ac:dyDescent="0.35">
      <c r="A490" t="s">
        <v>691</v>
      </c>
    </row>
    <row r="491" spans="1:1" x14ac:dyDescent="0.35">
      <c r="A491" t="s">
        <v>508</v>
      </c>
    </row>
    <row r="492" spans="1:1" x14ac:dyDescent="0.35">
      <c r="A492" t="s">
        <v>499</v>
      </c>
    </row>
    <row r="493" spans="1:1" x14ac:dyDescent="0.35">
      <c r="A493" t="s">
        <v>567</v>
      </c>
    </row>
    <row r="494" spans="1:1" x14ac:dyDescent="0.35">
      <c r="A494" t="s">
        <v>568</v>
      </c>
    </row>
    <row r="495" spans="1:1" x14ac:dyDescent="0.35">
      <c r="A495" t="s">
        <v>573</v>
      </c>
    </row>
    <row r="496" spans="1:1" x14ac:dyDescent="0.35">
      <c r="A496" t="s">
        <v>692</v>
      </c>
    </row>
    <row r="497" spans="1:1" x14ac:dyDescent="0.35">
      <c r="A497" t="s">
        <v>639</v>
      </c>
    </row>
    <row r="498" spans="1:1" x14ac:dyDescent="0.35">
      <c r="A498" t="s">
        <v>640</v>
      </c>
    </row>
    <row r="499" spans="1:1" x14ac:dyDescent="0.35">
      <c r="A499" t="s">
        <v>564</v>
      </c>
    </row>
    <row r="500" spans="1:1" x14ac:dyDescent="0.35">
      <c r="A500" t="s">
        <v>565</v>
      </c>
    </row>
    <row r="501" spans="1:1" x14ac:dyDescent="0.35">
      <c r="A501" t="s">
        <v>574</v>
      </c>
    </row>
    <row r="502" spans="1:1" x14ac:dyDescent="0.35">
      <c r="A502" t="s">
        <v>499</v>
      </c>
    </row>
    <row r="503" spans="1:1" x14ac:dyDescent="0.35">
      <c r="A503" t="s">
        <v>575</v>
      </c>
    </row>
    <row r="504" spans="1:1" x14ac:dyDescent="0.35">
      <c r="A504" t="s">
        <v>576</v>
      </c>
    </row>
    <row r="505" spans="1:1" x14ac:dyDescent="0.35">
      <c r="A505" t="s">
        <v>569</v>
      </c>
    </row>
    <row r="506" spans="1:1" x14ac:dyDescent="0.35">
      <c r="A506" t="s">
        <v>693</v>
      </c>
    </row>
    <row r="507" spans="1:1" x14ac:dyDescent="0.35">
      <c r="A507" t="s">
        <v>639</v>
      </c>
    </row>
    <row r="508" spans="1:1" x14ac:dyDescent="0.35">
      <c r="A508" t="s">
        <v>640</v>
      </c>
    </row>
    <row r="509" spans="1:1" x14ac:dyDescent="0.35">
      <c r="A509" t="s">
        <v>508</v>
      </c>
    </row>
    <row r="510" spans="1:1" x14ac:dyDescent="0.35">
      <c r="A510" t="s">
        <v>499</v>
      </c>
    </row>
    <row r="511" spans="1:1" x14ac:dyDescent="0.35">
      <c r="A511" t="s">
        <v>575</v>
      </c>
    </row>
    <row r="512" spans="1:1" x14ac:dyDescent="0.35">
      <c r="A512" t="s">
        <v>576</v>
      </c>
    </row>
    <row r="513" spans="1:1" x14ac:dyDescent="0.35">
      <c r="A513" t="s">
        <v>572</v>
      </c>
    </row>
    <row r="514" spans="1:1" x14ac:dyDescent="0.35">
      <c r="A514" t="s">
        <v>694</v>
      </c>
    </row>
    <row r="515" spans="1:1" x14ac:dyDescent="0.35">
      <c r="A515" t="s">
        <v>639</v>
      </c>
    </row>
    <row r="516" spans="1:1" x14ac:dyDescent="0.35">
      <c r="A516" t="s">
        <v>640</v>
      </c>
    </row>
    <row r="517" spans="1:1" x14ac:dyDescent="0.35">
      <c r="A517" t="s">
        <v>508</v>
      </c>
    </row>
    <row r="518" spans="1:1" x14ac:dyDescent="0.35">
      <c r="A518" t="s">
        <v>499</v>
      </c>
    </row>
    <row r="519" spans="1:1" x14ac:dyDescent="0.35">
      <c r="A519" t="s">
        <v>575</v>
      </c>
    </row>
    <row r="520" spans="1:1" x14ac:dyDescent="0.35">
      <c r="A520" t="s">
        <v>576</v>
      </c>
    </row>
    <row r="521" spans="1:1" x14ac:dyDescent="0.35">
      <c r="A521" t="s">
        <v>573</v>
      </c>
    </row>
    <row r="522" spans="1:1" x14ac:dyDescent="0.35">
      <c r="A522" t="s">
        <v>695</v>
      </c>
    </row>
    <row r="523" spans="1:1" x14ac:dyDescent="0.35">
      <c r="A523" t="s">
        <v>696</v>
      </c>
    </row>
    <row r="524" spans="1:1" x14ac:dyDescent="0.35">
      <c r="A524" t="s">
        <v>697</v>
      </c>
    </row>
    <row r="525" spans="1:1" x14ac:dyDescent="0.35">
      <c r="A525" t="s">
        <v>508</v>
      </c>
    </row>
    <row r="526" spans="1:1" x14ac:dyDescent="0.35">
      <c r="A526" t="s">
        <v>499</v>
      </c>
    </row>
    <row r="527" spans="1:1" x14ac:dyDescent="0.35">
      <c r="A527" t="s">
        <v>575</v>
      </c>
    </row>
    <row r="528" spans="1:1" x14ac:dyDescent="0.35">
      <c r="A528" t="s">
        <v>577</v>
      </c>
    </row>
    <row r="529" spans="1:1" x14ac:dyDescent="0.35">
      <c r="A529" t="s">
        <v>569</v>
      </c>
    </row>
    <row r="530" spans="1:1" x14ac:dyDescent="0.35">
      <c r="A530" t="s">
        <v>693</v>
      </c>
    </row>
    <row r="531" spans="1:1" x14ac:dyDescent="0.35">
      <c r="A531" t="s">
        <v>639</v>
      </c>
    </row>
    <row r="532" spans="1:1" x14ac:dyDescent="0.35">
      <c r="A532" t="s">
        <v>640</v>
      </c>
    </row>
    <row r="533" spans="1:1" x14ac:dyDescent="0.35">
      <c r="A533" t="s">
        <v>508</v>
      </c>
    </row>
    <row r="534" spans="1:1" x14ac:dyDescent="0.35">
      <c r="A534" t="s">
        <v>499</v>
      </c>
    </row>
    <row r="535" spans="1:1" x14ac:dyDescent="0.35">
      <c r="A535" t="s">
        <v>575</v>
      </c>
    </row>
    <row r="536" spans="1:1" x14ac:dyDescent="0.35">
      <c r="A536" t="s">
        <v>577</v>
      </c>
    </row>
    <row r="537" spans="1:1" x14ac:dyDescent="0.35">
      <c r="A537" t="s">
        <v>572</v>
      </c>
    </row>
    <row r="538" spans="1:1" x14ac:dyDescent="0.35">
      <c r="A538" t="s">
        <v>694</v>
      </c>
    </row>
    <row r="539" spans="1:1" x14ac:dyDescent="0.35">
      <c r="A539" t="s">
        <v>639</v>
      </c>
    </row>
    <row r="540" spans="1:1" x14ac:dyDescent="0.35">
      <c r="A540" t="s">
        <v>640</v>
      </c>
    </row>
    <row r="541" spans="1:1" x14ac:dyDescent="0.35">
      <c r="A541" t="s">
        <v>508</v>
      </c>
    </row>
    <row r="542" spans="1:1" x14ac:dyDescent="0.35">
      <c r="A542" t="s">
        <v>499</v>
      </c>
    </row>
    <row r="543" spans="1:1" x14ac:dyDescent="0.35">
      <c r="A543" t="s">
        <v>575</v>
      </c>
    </row>
    <row r="544" spans="1:1" x14ac:dyDescent="0.35">
      <c r="A544" t="s">
        <v>577</v>
      </c>
    </row>
    <row r="545" spans="1:1" x14ac:dyDescent="0.35">
      <c r="A545" t="s">
        <v>573</v>
      </c>
    </row>
    <row r="546" spans="1:1" x14ac:dyDescent="0.35">
      <c r="A546" t="s">
        <v>695</v>
      </c>
    </row>
    <row r="547" spans="1:1" x14ac:dyDescent="0.35">
      <c r="A547" t="s">
        <v>639</v>
      </c>
    </row>
    <row r="548" spans="1:1" x14ac:dyDescent="0.35">
      <c r="A548" t="s">
        <v>640</v>
      </c>
    </row>
    <row r="549" spans="1:1" x14ac:dyDescent="0.35">
      <c r="A549" t="s">
        <v>508</v>
      </c>
    </row>
    <row r="550" spans="1:1" x14ac:dyDescent="0.35">
      <c r="A550" t="s">
        <v>499</v>
      </c>
    </row>
    <row r="551" spans="1:1" x14ac:dyDescent="0.35">
      <c r="A551" t="s">
        <v>575</v>
      </c>
    </row>
    <row r="552" spans="1:1" x14ac:dyDescent="0.35">
      <c r="A552" t="s">
        <v>578</v>
      </c>
    </row>
    <row r="553" spans="1:1" x14ac:dyDescent="0.35">
      <c r="A553" t="s">
        <v>569</v>
      </c>
    </row>
    <row r="554" spans="1:1" x14ac:dyDescent="0.35">
      <c r="A554" t="s">
        <v>693</v>
      </c>
    </row>
    <row r="555" spans="1:1" x14ac:dyDescent="0.35">
      <c r="A555" t="s">
        <v>639</v>
      </c>
    </row>
    <row r="556" spans="1:1" x14ac:dyDescent="0.35">
      <c r="A556" t="s">
        <v>640</v>
      </c>
    </row>
    <row r="557" spans="1:1" x14ac:dyDescent="0.35">
      <c r="A557" t="s">
        <v>508</v>
      </c>
    </row>
    <row r="558" spans="1:1" x14ac:dyDescent="0.35">
      <c r="A558" t="s">
        <v>499</v>
      </c>
    </row>
    <row r="559" spans="1:1" x14ac:dyDescent="0.35">
      <c r="A559" t="s">
        <v>575</v>
      </c>
    </row>
    <row r="560" spans="1:1" x14ac:dyDescent="0.35">
      <c r="A560" t="s">
        <v>578</v>
      </c>
    </row>
    <row r="561" spans="1:1" x14ac:dyDescent="0.35">
      <c r="A561" t="s">
        <v>572</v>
      </c>
    </row>
    <row r="562" spans="1:1" x14ac:dyDescent="0.35">
      <c r="A562" t="s">
        <v>694</v>
      </c>
    </row>
    <row r="563" spans="1:1" x14ac:dyDescent="0.35">
      <c r="A563" t="s">
        <v>639</v>
      </c>
    </row>
    <row r="564" spans="1:1" x14ac:dyDescent="0.35">
      <c r="A564" t="s">
        <v>640</v>
      </c>
    </row>
    <row r="565" spans="1:1" x14ac:dyDescent="0.35">
      <c r="A565" t="s">
        <v>508</v>
      </c>
    </row>
    <row r="566" spans="1:1" x14ac:dyDescent="0.35">
      <c r="A566" t="s">
        <v>499</v>
      </c>
    </row>
    <row r="567" spans="1:1" x14ac:dyDescent="0.35">
      <c r="A567" t="s">
        <v>575</v>
      </c>
    </row>
    <row r="568" spans="1:1" x14ac:dyDescent="0.35">
      <c r="A568" t="s">
        <v>578</v>
      </c>
    </row>
    <row r="569" spans="1:1" x14ac:dyDescent="0.35">
      <c r="A569" t="s">
        <v>573</v>
      </c>
    </row>
    <row r="570" spans="1:1" x14ac:dyDescent="0.35">
      <c r="A570" t="s">
        <v>695</v>
      </c>
    </row>
    <row r="571" spans="1:1" x14ac:dyDescent="0.35">
      <c r="A571" t="s">
        <v>639</v>
      </c>
    </row>
    <row r="572" spans="1:1" x14ac:dyDescent="0.35">
      <c r="A572" t="s">
        <v>640</v>
      </c>
    </row>
    <row r="573" spans="1:1" x14ac:dyDescent="0.35">
      <c r="A573" t="s">
        <v>564</v>
      </c>
    </row>
    <row r="574" spans="1:1" x14ac:dyDescent="0.35">
      <c r="A574" t="s">
        <v>579</v>
      </c>
    </row>
    <row r="575" spans="1:1" x14ac:dyDescent="0.35">
      <c r="A575" t="s">
        <v>580</v>
      </c>
    </row>
    <row r="576" spans="1:1" x14ac:dyDescent="0.35">
      <c r="A576" t="s">
        <v>496</v>
      </c>
    </row>
    <row r="577" spans="1:1" x14ac:dyDescent="0.35">
      <c r="A577" t="s">
        <v>698</v>
      </c>
    </row>
    <row r="578" spans="1:1" x14ac:dyDescent="0.35">
      <c r="A578" t="s">
        <v>699</v>
      </c>
    </row>
    <row r="579" spans="1:1" x14ac:dyDescent="0.35">
      <c r="A579" t="s">
        <v>498</v>
      </c>
    </row>
    <row r="580" spans="1:1" x14ac:dyDescent="0.35">
      <c r="A580" t="s">
        <v>499</v>
      </c>
    </row>
    <row r="581" spans="1:1" x14ac:dyDescent="0.35">
      <c r="A581" t="s">
        <v>500</v>
      </c>
    </row>
    <row r="582" spans="1:1" x14ac:dyDescent="0.35">
      <c r="A582" t="s">
        <v>526</v>
      </c>
    </row>
    <row r="583" spans="1:1" x14ac:dyDescent="0.35">
      <c r="A583" t="s">
        <v>700</v>
      </c>
    </row>
    <row r="584" spans="1:1" x14ac:dyDescent="0.35">
      <c r="A584" t="s">
        <v>701</v>
      </c>
    </row>
    <row r="585" spans="1:1" x14ac:dyDescent="0.35">
      <c r="A585" t="s">
        <v>702</v>
      </c>
    </row>
    <row r="586" spans="1:1" x14ac:dyDescent="0.35">
      <c r="A586" t="s">
        <v>703</v>
      </c>
    </row>
    <row r="587" spans="1:1" x14ac:dyDescent="0.35">
      <c r="A587" t="s">
        <v>704</v>
      </c>
    </row>
    <row r="588" spans="1:1" x14ac:dyDescent="0.35">
      <c r="A588" t="s">
        <v>705</v>
      </c>
    </row>
    <row r="589" spans="1:1" x14ac:dyDescent="0.35">
      <c r="A589" t="s">
        <v>508</v>
      </c>
    </row>
    <row r="590" spans="1:1" x14ac:dyDescent="0.35">
      <c r="A590" t="s">
        <v>499</v>
      </c>
    </row>
    <row r="591" spans="1:1" x14ac:dyDescent="0.35">
      <c r="A591" t="s">
        <v>509</v>
      </c>
    </row>
    <row r="592" spans="1:1" x14ac:dyDescent="0.35">
      <c r="A592" t="s">
        <v>706</v>
      </c>
    </row>
    <row r="593" spans="1:1" x14ac:dyDescent="0.35">
      <c r="A593" t="s">
        <v>527</v>
      </c>
    </row>
    <row r="594" spans="1:1" x14ac:dyDescent="0.35">
      <c r="A594" t="s">
        <v>707</v>
      </c>
    </row>
    <row r="595" spans="1:1" x14ac:dyDescent="0.35">
      <c r="A595" t="s">
        <v>708</v>
      </c>
    </row>
    <row r="596" spans="1:1" x14ac:dyDescent="0.35">
      <c r="A596" t="s">
        <v>703</v>
      </c>
    </row>
    <row r="597" spans="1:1" x14ac:dyDescent="0.35">
      <c r="A597" t="s">
        <v>709</v>
      </c>
    </row>
    <row r="598" spans="1:1" x14ac:dyDescent="0.35">
      <c r="A598" t="s">
        <v>710</v>
      </c>
    </row>
    <row r="599" spans="1:1" x14ac:dyDescent="0.35">
      <c r="A599" t="s">
        <v>508</v>
      </c>
    </row>
    <row r="600" spans="1:1" x14ac:dyDescent="0.35">
      <c r="A600" t="s">
        <v>499</v>
      </c>
    </row>
    <row r="601" spans="1:1" x14ac:dyDescent="0.35">
      <c r="A601" t="s">
        <v>517</v>
      </c>
    </row>
    <row r="602" spans="1:1" x14ac:dyDescent="0.35">
      <c r="A602" t="s">
        <v>534</v>
      </c>
    </row>
    <row r="603" spans="1:1" x14ac:dyDescent="0.35">
      <c r="A603" t="s">
        <v>667</v>
      </c>
    </row>
    <row r="604" spans="1:1" x14ac:dyDescent="0.35">
      <c r="A604" t="s">
        <v>711</v>
      </c>
    </row>
    <row r="605" spans="1:1" x14ac:dyDescent="0.35">
      <c r="A605" t="s">
        <v>712</v>
      </c>
    </row>
    <row r="606" spans="1:1" x14ac:dyDescent="0.35">
      <c r="A606" t="s">
        <v>713</v>
      </c>
    </row>
    <row r="607" spans="1:1" x14ac:dyDescent="0.35">
      <c r="A607" t="s">
        <v>714</v>
      </c>
    </row>
    <row r="608" spans="1:1" x14ac:dyDescent="0.35">
      <c r="A608" t="s">
        <v>616</v>
      </c>
    </row>
    <row r="609" spans="1:1" x14ac:dyDescent="0.35">
      <c r="A609" t="s">
        <v>508</v>
      </c>
    </row>
    <row r="610" spans="1:1" x14ac:dyDescent="0.35">
      <c r="A610" t="s">
        <v>499</v>
      </c>
    </row>
    <row r="611" spans="1:1" x14ac:dyDescent="0.35">
      <c r="A611" t="s">
        <v>525</v>
      </c>
    </row>
    <row r="612" spans="1:1" x14ac:dyDescent="0.35">
      <c r="A612" t="s">
        <v>715</v>
      </c>
    </row>
    <row r="613" spans="1:1" x14ac:dyDescent="0.35">
      <c r="A613" t="s">
        <v>527</v>
      </c>
    </row>
    <row r="614" spans="1:1" x14ac:dyDescent="0.35">
      <c r="A614" t="s">
        <v>716</v>
      </c>
    </row>
    <row r="615" spans="1:1" x14ac:dyDescent="0.35">
      <c r="A615" t="s">
        <v>717</v>
      </c>
    </row>
    <row r="616" spans="1:1" x14ac:dyDescent="0.35">
      <c r="A616" t="s">
        <v>718</v>
      </c>
    </row>
    <row r="617" spans="1:1" x14ac:dyDescent="0.35">
      <c r="A617" t="s">
        <v>719</v>
      </c>
    </row>
    <row r="618" spans="1:1" x14ac:dyDescent="0.35">
      <c r="A618" t="s">
        <v>720</v>
      </c>
    </row>
    <row r="619" spans="1:1" x14ac:dyDescent="0.35">
      <c r="A619" t="s">
        <v>508</v>
      </c>
    </row>
    <row r="620" spans="1:1" x14ac:dyDescent="0.35">
      <c r="A620" t="s">
        <v>499</v>
      </c>
    </row>
    <row r="621" spans="1:1" x14ac:dyDescent="0.35">
      <c r="A621" t="s">
        <v>533</v>
      </c>
    </row>
    <row r="622" spans="1:1" x14ac:dyDescent="0.35">
      <c r="A622" t="s">
        <v>721</v>
      </c>
    </row>
    <row r="623" spans="1:1" x14ac:dyDescent="0.35">
      <c r="A623" t="s">
        <v>558</v>
      </c>
    </row>
    <row r="624" spans="1:1" x14ac:dyDescent="0.35">
      <c r="A624" t="s">
        <v>722</v>
      </c>
    </row>
    <row r="625" spans="1:1" x14ac:dyDescent="0.35">
      <c r="A625" t="s">
        <v>723</v>
      </c>
    </row>
    <row r="626" spans="1:1" x14ac:dyDescent="0.35">
      <c r="A626" t="s">
        <v>724</v>
      </c>
    </row>
    <row r="627" spans="1:1" x14ac:dyDescent="0.35">
      <c r="A627" t="s">
        <v>725</v>
      </c>
    </row>
    <row r="628" spans="1:1" x14ac:dyDescent="0.35">
      <c r="A628" t="s">
        <v>593</v>
      </c>
    </row>
    <row r="629" spans="1:1" x14ac:dyDescent="0.35">
      <c r="A629" t="s">
        <v>508</v>
      </c>
    </row>
    <row r="630" spans="1:1" x14ac:dyDescent="0.35">
      <c r="A630" t="s">
        <v>499</v>
      </c>
    </row>
    <row r="631" spans="1:1" x14ac:dyDescent="0.35">
      <c r="A631" t="s">
        <v>541</v>
      </c>
    </row>
    <row r="632" spans="1:1" x14ac:dyDescent="0.35">
      <c r="A632" t="s">
        <v>534</v>
      </c>
    </row>
    <row r="633" spans="1:1" x14ac:dyDescent="0.35">
      <c r="A633" t="s">
        <v>667</v>
      </c>
    </row>
    <row r="634" spans="1:1" x14ac:dyDescent="0.35">
      <c r="A634" t="s">
        <v>726</v>
      </c>
    </row>
    <row r="635" spans="1:1" x14ac:dyDescent="0.35">
      <c r="A635" t="s">
        <v>727</v>
      </c>
    </row>
    <row r="636" spans="1:1" x14ac:dyDescent="0.35">
      <c r="A636" t="s">
        <v>728</v>
      </c>
    </row>
    <row r="637" spans="1:1" x14ac:dyDescent="0.35">
      <c r="A637" t="s">
        <v>729</v>
      </c>
    </row>
    <row r="638" spans="1:1" x14ac:dyDescent="0.35">
      <c r="A638" t="s">
        <v>705</v>
      </c>
    </row>
    <row r="639" spans="1:1" x14ac:dyDescent="0.35">
      <c r="A639" t="s">
        <v>508</v>
      </c>
    </row>
    <row r="640" spans="1:1" x14ac:dyDescent="0.35">
      <c r="A640" t="s">
        <v>499</v>
      </c>
    </row>
    <row r="641" spans="1:1" x14ac:dyDescent="0.35">
      <c r="A641" t="s">
        <v>549</v>
      </c>
    </row>
    <row r="642" spans="1:1" x14ac:dyDescent="0.35">
      <c r="A642" t="s">
        <v>534</v>
      </c>
    </row>
    <row r="643" spans="1:1" x14ac:dyDescent="0.35">
      <c r="A643" t="s">
        <v>527</v>
      </c>
    </row>
    <row r="644" spans="1:1" x14ac:dyDescent="0.35">
      <c r="A644" t="s">
        <v>730</v>
      </c>
    </row>
    <row r="645" spans="1:1" x14ac:dyDescent="0.35">
      <c r="A645" t="s">
        <v>731</v>
      </c>
    </row>
    <row r="646" spans="1:1" x14ac:dyDescent="0.35">
      <c r="A646" t="s">
        <v>732</v>
      </c>
    </row>
    <row r="647" spans="1:1" x14ac:dyDescent="0.35">
      <c r="A647" t="s">
        <v>733</v>
      </c>
    </row>
    <row r="648" spans="1:1" x14ac:dyDescent="0.35">
      <c r="A648" t="s">
        <v>734</v>
      </c>
    </row>
    <row r="649" spans="1:1" x14ac:dyDescent="0.35">
      <c r="A649" t="s">
        <v>508</v>
      </c>
    </row>
    <row r="650" spans="1:1" x14ac:dyDescent="0.35">
      <c r="A650" t="s">
        <v>499</v>
      </c>
    </row>
    <row r="651" spans="1:1" x14ac:dyDescent="0.35">
      <c r="A651" t="s">
        <v>556</v>
      </c>
    </row>
    <row r="652" spans="1:1" x14ac:dyDescent="0.35">
      <c r="A652" t="s">
        <v>661</v>
      </c>
    </row>
    <row r="653" spans="1:1" x14ac:dyDescent="0.35">
      <c r="A653" t="s">
        <v>735</v>
      </c>
    </row>
    <row r="654" spans="1:1" x14ac:dyDescent="0.35">
      <c r="A654" t="s">
        <v>736</v>
      </c>
    </row>
    <row r="655" spans="1:1" x14ac:dyDescent="0.35">
      <c r="A655" t="s">
        <v>737</v>
      </c>
    </row>
    <row r="656" spans="1:1" x14ac:dyDescent="0.35">
      <c r="A656" t="s">
        <v>738</v>
      </c>
    </row>
    <row r="657" spans="1:1" x14ac:dyDescent="0.35">
      <c r="A657" t="s">
        <v>739</v>
      </c>
    </row>
    <row r="658" spans="1:1" x14ac:dyDescent="0.35">
      <c r="A658" t="s">
        <v>740</v>
      </c>
    </row>
    <row r="659" spans="1:1" x14ac:dyDescent="0.35">
      <c r="A659" t="s">
        <v>564</v>
      </c>
    </row>
    <row r="660" spans="1:1" x14ac:dyDescent="0.35">
      <c r="A660" t="s">
        <v>565</v>
      </c>
    </row>
    <row r="661" spans="1:1" x14ac:dyDescent="0.35">
      <c r="A661" t="s">
        <v>566</v>
      </c>
    </row>
    <row r="662" spans="1:1" x14ac:dyDescent="0.35">
      <c r="A662" t="s">
        <v>499</v>
      </c>
    </row>
    <row r="663" spans="1:1" x14ac:dyDescent="0.35">
      <c r="A663" t="s">
        <v>567</v>
      </c>
    </row>
    <row r="664" spans="1:1" x14ac:dyDescent="0.35">
      <c r="A664" t="s">
        <v>568</v>
      </c>
    </row>
    <row r="665" spans="1:1" x14ac:dyDescent="0.35">
      <c r="A665" t="s">
        <v>569</v>
      </c>
    </row>
    <row r="666" spans="1:1" x14ac:dyDescent="0.35">
      <c r="A666" t="s">
        <v>741</v>
      </c>
    </row>
    <row r="667" spans="1:1" x14ac:dyDescent="0.35">
      <c r="A667" t="s">
        <v>742</v>
      </c>
    </row>
    <row r="668" spans="1:1" x14ac:dyDescent="0.35">
      <c r="A668" t="s">
        <v>633</v>
      </c>
    </row>
    <row r="669" spans="1:1" x14ac:dyDescent="0.35">
      <c r="A669" t="s">
        <v>508</v>
      </c>
    </row>
    <row r="670" spans="1:1" x14ac:dyDescent="0.35">
      <c r="A670" t="s">
        <v>499</v>
      </c>
    </row>
    <row r="671" spans="1:1" x14ac:dyDescent="0.35">
      <c r="A671" t="s">
        <v>567</v>
      </c>
    </row>
    <row r="672" spans="1:1" x14ac:dyDescent="0.35">
      <c r="A672" t="s">
        <v>568</v>
      </c>
    </row>
    <row r="673" spans="1:1" x14ac:dyDescent="0.35">
      <c r="A673" t="s">
        <v>572</v>
      </c>
    </row>
    <row r="674" spans="1:1" x14ac:dyDescent="0.35">
      <c r="A674" t="s">
        <v>743</v>
      </c>
    </row>
    <row r="675" spans="1:1" x14ac:dyDescent="0.35">
      <c r="A675" t="s">
        <v>744</v>
      </c>
    </row>
    <row r="676" spans="1:1" x14ac:dyDescent="0.35">
      <c r="A676" t="s">
        <v>691</v>
      </c>
    </row>
    <row r="677" spans="1:1" x14ac:dyDescent="0.35">
      <c r="A677" t="s">
        <v>508</v>
      </c>
    </row>
    <row r="678" spans="1:1" x14ac:dyDescent="0.35">
      <c r="A678" t="s">
        <v>499</v>
      </c>
    </row>
    <row r="679" spans="1:1" x14ac:dyDescent="0.35">
      <c r="A679" t="s">
        <v>567</v>
      </c>
    </row>
    <row r="680" spans="1:1" x14ac:dyDescent="0.35">
      <c r="A680" t="s">
        <v>568</v>
      </c>
    </row>
    <row r="681" spans="1:1" x14ac:dyDescent="0.35">
      <c r="A681" t="s">
        <v>573</v>
      </c>
    </row>
    <row r="682" spans="1:1" x14ac:dyDescent="0.35">
      <c r="A682" t="s">
        <v>745</v>
      </c>
    </row>
    <row r="683" spans="1:1" x14ac:dyDescent="0.35">
      <c r="A683" t="s">
        <v>746</v>
      </c>
    </row>
    <row r="684" spans="1:1" x14ac:dyDescent="0.35">
      <c r="A684" t="s">
        <v>747</v>
      </c>
    </row>
    <row r="685" spans="1:1" x14ac:dyDescent="0.35">
      <c r="A685" t="s">
        <v>564</v>
      </c>
    </row>
    <row r="686" spans="1:1" x14ac:dyDescent="0.35">
      <c r="A686" t="s">
        <v>565</v>
      </c>
    </row>
    <row r="687" spans="1:1" x14ac:dyDescent="0.35">
      <c r="A687" t="s">
        <v>574</v>
      </c>
    </row>
    <row r="688" spans="1:1" x14ac:dyDescent="0.35">
      <c r="A688" t="s">
        <v>499</v>
      </c>
    </row>
    <row r="689" spans="1:1" x14ac:dyDescent="0.35">
      <c r="A689" t="s">
        <v>575</v>
      </c>
    </row>
    <row r="690" spans="1:1" x14ac:dyDescent="0.35">
      <c r="A690" t="s">
        <v>576</v>
      </c>
    </row>
    <row r="691" spans="1:1" x14ac:dyDescent="0.35">
      <c r="A691" t="s">
        <v>569</v>
      </c>
    </row>
    <row r="692" spans="1:1" x14ac:dyDescent="0.35">
      <c r="A692" t="s">
        <v>748</v>
      </c>
    </row>
    <row r="693" spans="1:1" x14ac:dyDescent="0.35">
      <c r="A693" t="s">
        <v>639</v>
      </c>
    </row>
    <row r="694" spans="1:1" x14ac:dyDescent="0.35">
      <c r="A694" t="s">
        <v>640</v>
      </c>
    </row>
    <row r="695" spans="1:1" x14ac:dyDescent="0.35">
      <c r="A695" t="s">
        <v>508</v>
      </c>
    </row>
    <row r="696" spans="1:1" x14ac:dyDescent="0.35">
      <c r="A696" t="s">
        <v>499</v>
      </c>
    </row>
    <row r="697" spans="1:1" x14ac:dyDescent="0.35">
      <c r="A697" t="s">
        <v>575</v>
      </c>
    </row>
    <row r="698" spans="1:1" x14ac:dyDescent="0.35">
      <c r="A698" t="s">
        <v>576</v>
      </c>
    </row>
    <row r="699" spans="1:1" x14ac:dyDescent="0.35">
      <c r="A699" t="s">
        <v>572</v>
      </c>
    </row>
    <row r="700" spans="1:1" x14ac:dyDescent="0.35">
      <c r="A700" t="s">
        <v>749</v>
      </c>
    </row>
    <row r="701" spans="1:1" x14ac:dyDescent="0.35">
      <c r="A701" t="s">
        <v>639</v>
      </c>
    </row>
    <row r="702" spans="1:1" x14ac:dyDescent="0.35">
      <c r="A702" t="s">
        <v>640</v>
      </c>
    </row>
    <row r="703" spans="1:1" x14ac:dyDescent="0.35">
      <c r="A703" t="s">
        <v>508</v>
      </c>
    </row>
    <row r="704" spans="1:1" x14ac:dyDescent="0.35">
      <c r="A704" t="s">
        <v>499</v>
      </c>
    </row>
    <row r="705" spans="1:1" x14ac:dyDescent="0.35">
      <c r="A705" t="s">
        <v>575</v>
      </c>
    </row>
    <row r="706" spans="1:1" x14ac:dyDescent="0.35">
      <c r="A706" t="s">
        <v>576</v>
      </c>
    </row>
    <row r="707" spans="1:1" x14ac:dyDescent="0.35">
      <c r="A707" t="s">
        <v>573</v>
      </c>
    </row>
    <row r="708" spans="1:1" x14ac:dyDescent="0.35">
      <c r="A708" t="s">
        <v>750</v>
      </c>
    </row>
    <row r="709" spans="1:1" x14ac:dyDescent="0.35">
      <c r="A709" t="s">
        <v>639</v>
      </c>
    </row>
    <row r="710" spans="1:1" x14ac:dyDescent="0.35">
      <c r="A710" t="s">
        <v>640</v>
      </c>
    </row>
    <row r="711" spans="1:1" x14ac:dyDescent="0.35">
      <c r="A711" t="s">
        <v>508</v>
      </c>
    </row>
    <row r="712" spans="1:1" x14ac:dyDescent="0.35">
      <c r="A712" t="s">
        <v>499</v>
      </c>
    </row>
    <row r="713" spans="1:1" x14ac:dyDescent="0.35">
      <c r="A713" t="s">
        <v>575</v>
      </c>
    </row>
    <row r="714" spans="1:1" x14ac:dyDescent="0.35">
      <c r="A714" t="s">
        <v>577</v>
      </c>
    </row>
    <row r="715" spans="1:1" x14ac:dyDescent="0.35">
      <c r="A715" t="s">
        <v>569</v>
      </c>
    </row>
    <row r="716" spans="1:1" x14ac:dyDescent="0.35">
      <c r="A716" t="s">
        <v>748</v>
      </c>
    </row>
    <row r="717" spans="1:1" x14ac:dyDescent="0.35">
      <c r="A717" t="s">
        <v>639</v>
      </c>
    </row>
    <row r="718" spans="1:1" x14ac:dyDescent="0.35">
      <c r="A718" t="s">
        <v>640</v>
      </c>
    </row>
    <row r="719" spans="1:1" x14ac:dyDescent="0.35">
      <c r="A719" t="s">
        <v>508</v>
      </c>
    </row>
    <row r="720" spans="1:1" x14ac:dyDescent="0.35">
      <c r="A720" t="s">
        <v>499</v>
      </c>
    </row>
    <row r="721" spans="1:1" x14ac:dyDescent="0.35">
      <c r="A721" t="s">
        <v>575</v>
      </c>
    </row>
    <row r="722" spans="1:1" x14ac:dyDescent="0.35">
      <c r="A722" t="s">
        <v>577</v>
      </c>
    </row>
    <row r="723" spans="1:1" x14ac:dyDescent="0.35">
      <c r="A723" t="s">
        <v>572</v>
      </c>
    </row>
    <row r="724" spans="1:1" x14ac:dyDescent="0.35">
      <c r="A724" t="s">
        <v>749</v>
      </c>
    </row>
    <row r="725" spans="1:1" x14ac:dyDescent="0.35">
      <c r="A725" t="s">
        <v>639</v>
      </c>
    </row>
    <row r="726" spans="1:1" x14ac:dyDescent="0.35">
      <c r="A726" t="s">
        <v>640</v>
      </c>
    </row>
    <row r="727" spans="1:1" x14ac:dyDescent="0.35">
      <c r="A727" t="s">
        <v>508</v>
      </c>
    </row>
    <row r="728" spans="1:1" x14ac:dyDescent="0.35">
      <c r="A728" t="s">
        <v>499</v>
      </c>
    </row>
    <row r="729" spans="1:1" x14ac:dyDescent="0.35">
      <c r="A729" t="s">
        <v>575</v>
      </c>
    </row>
    <row r="730" spans="1:1" x14ac:dyDescent="0.35">
      <c r="A730" t="s">
        <v>577</v>
      </c>
    </row>
    <row r="731" spans="1:1" x14ac:dyDescent="0.35">
      <c r="A731" t="s">
        <v>573</v>
      </c>
    </row>
    <row r="732" spans="1:1" x14ac:dyDescent="0.35">
      <c r="A732" t="s">
        <v>750</v>
      </c>
    </row>
    <row r="733" spans="1:1" x14ac:dyDescent="0.35">
      <c r="A733" t="s">
        <v>639</v>
      </c>
    </row>
    <row r="734" spans="1:1" x14ac:dyDescent="0.35">
      <c r="A734" t="s">
        <v>640</v>
      </c>
    </row>
    <row r="735" spans="1:1" x14ac:dyDescent="0.35">
      <c r="A735" t="s">
        <v>508</v>
      </c>
    </row>
    <row r="736" spans="1:1" x14ac:dyDescent="0.35">
      <c r="A736" t="s">
        <v>499</v>
      </c>
    </row>
    <row r="737" spans="1:1" x14ac:dyDescent="0.35">
      <c r="A737" t="s">
        <v>575</v>
      </c>
    </row>
    <row r="738" spans="1:1" x14ac:dyDescent="0.35">
      <c r="A738" t="s">
        <v>578</v>
      </c>
    </row>
    <row r="739" spans="1:1" x14ac:dyDescent="0.35">
      <c r="A739" t="s">
        <v>569</v>
      </c>
    </row>
    <row r="740" spans="1:1" x14ac:dyDescent="0.35">
      <c r="A740" t="s">
        <v>748</v>
      </c>
    </row>
    <row r="741" spans="1:1" x14ac:dyDescent="0.35">
      <c r="A741" t="s">
        <v>639</v>
      </c>
    </row>
    <row r="742" spans="1:1" x14ac:dyDescent="0.35">
      <c r="A742" t="s">
        <v>640</v>
      </c>
    </row>
    <row r="743" spans="1:1" x14ac:dyDescent="0.35">
      <c r="A743" t="s">
        <v>508</v>
      </c>
    </row>
    <row r="744" spans="1:1" x14ac:dyDescent="0.35">
      <c r="A744" t="s">
        <v>499</v>
      </c>
    </row>
    <row r="745" spans="1:1" x14ac:dyDescent="0.35">
      <c r="A745" t="s">
        <v>575</v>
      </c>
    </row>
    <row r="746" spans="1:1" x14ac:dyDescent="0.35">
      <c r="A746" t="s">
        <v>578</v>
      </c>
    </row>
    <row r="747" spans="1:1" x14ac:dyDescent="0.35">
      <c r="A747" t="s">
        <v>572</v>
      </c>
    </row>
    <row r="748" spans="1:1" x14ac:dyDescent="0.35">
      <c r="A748" t="s">
        <v>749</v>
      </c>
    </row>
    <row r="749" spans="1:1" x14ac:dyDescent="0.35">
      <c r="A749" t="s">
        <v>639</v>
      </c>
    </row>
    <row r="750" spans="1:1" x14ac:dyDescent="0.35">
      <c r="A750" t="s">
        <v>640</v>
      </c>
    </row>
    <row r="751" spans="1:1" x14ac:dyDescent="0.35">
      <c r="A751" t="s">
        <v>508</v>
      </c>
    </row>
    <row r="752" spans="1:1" x14ac:dyDescent="0.35">
      <c r="A752" t="s">
        <v>499</v>
      </c>
    </row>
    <row r="753" spans="1:1" x14ac:dyDescent="0.35">
      <c r="A753" t="s">
        <v>575</v>
      </c>
    </row>
    <row r="754" spans="1:1" x14ac:dyDescent="0.35">
      <c r="A754" t="s">
        <v>578</v>
      </c>
    </row>
    <row r="755" spans="1:1" x14ac:dyDescent="0.35">
      <c r="A755" t="s">
        <v>573</v>
      </c>
    </row>
    <row r="756" spans="1:1" x14ac:dyDescent="0.35">
      <c r="A756" t="s">
        <v>750</v>
      </c>
    </row>
    <row r="757" spans="1:1" x14ac:dyDescent="0.35">
      <c r="A757" t="s">
        <v>639</v>
      </c>
    </row>
    <row r="758" spans="1:1" x14ac:dyDescent="0.35">
      <c r="A758" t="s">
        <v>640</v>
      </c>
    </row>
    <row r="759" spans="1:1" x14ac:dyDescent="0.35">
      <c r="A759" t="s">
        <v>564</v>
      </c>
    </row>
    <row r="760" spans="1:1" x14ac:dyDescent="0.35">
      <c r="A760" t="s">
        <v>579</v>
      </c>
    </row>
    <row r="761" spans="1:1" x14ac:dyDescent="0.35">
      <c r="A761" t="s">
        <v>580</v>
      </c>
    </row>
    <row r="762" spans="1:1" x14ac:dyDescent="0.35">
      <c r="A762" t="s">
        <v>496</v>
      </c>
    </row>
    <row r="763" spans="1:1" x14ac:dyDescent="0.35">
      <c r="A763" t="s">
        <v>751</v>
      </c>
    </row>
    <row r="764" spans="1:1" x14ac:dyDescent="0.35">
      <c r="A764" t="s">
        <v>752</v>
      </c>
    </row>
    <row r="765" spans="1:1" x14ac:dyDescent="0.35">
      <c r="A765" t="s">
        <v>498</v>
      </c>
    </row>
    <row r="766" spans="1:1" x14ac:dyDescent="0.35">
      <c r="A766" t="s">
        <v>499</v>
      </c>
    </row>
    <row r="767" spans="1:1" x14ac:dyDescent="0.35">
      <c r="A767" t="s">
        <v>500</v>
      </c>
    </row>
    <row r="768" spans="1:1" x14ac:dyDescent="0.35">
      <c r="A768" t="s">
        <v>721</v>
      </c>
    </row>
    <row r="769" spans="1:1" x14ac:dyDescent="0.35">
      <c r="A769" t="s">
        <v>753</v>
      </c>
    </row>
    <row r="770" spans="1:1" x14ac:dyDescent="0.35">
      <c r="A770" t="s">
        <v>754</v>
      </c>
    </row>
    <row r="771" spans="1:1" x14ac:dyDescent="0.35">
      <c r="A771" t="s">
        <v>755</v>
      </c>
    </row>
    <row r="772" spans="1:1" x14ac:dyDescent="0.35">
      <c r="A772" t="s">
        <v>756</v>
      </c>
    </row>
    <row r="773" spans="1:1" x14ac:dyDescent="0.35">
      <c r="A773" t="s">
        <v>757</v>
      </c>
    </row>
    <row r="774" spans="1:1" x14ac:dyDescent="0.35">
      <c r="A774" t="s">
        <v>758</v>
      </c>
    </row>
    <row r="775" spans="1:1" x14ac:dyDescent="0.35">
      <c r="A775" t="s">
        <v>508</v>
      </c>
    </row>
    <row r="776" spans="1:1" x14ac:dyDescent="0.35">
      <c r="A776" t="s">
        <v>499</v>
      </c>
    </row>
    <row r="777" spans="1:1" x14ac:dyDescent="0.35">
      <c r="A777" t="s">
        <v>509</v>
      </c>
    </row>
    <row r="778" spans="1:1" x14ac:dyDescent="0.35">
      <c r="A778" t="s">
        <v>526</v>
      </c>
    </row>
    <row r="779" spans="1:1" x14ac:dyDescent="0.35">
      <c r="A779" t="s">
        <v>759</v>
      </c>
    </row>
    <row r="780" spans="1:1" x14ac:dyDescent="0.35">
      <c r="A780" t="s">
        <v>760</v>
      </c>
    </row>
    <row r="781" spans="1:1" x14ac:dyDescent="0.35">
      <c r="A781" t="s">
        <v>761</v>
      </c>
    </row>
    <row r="782" spans="1:1" x14ac:dyDescent="0.35">
      <c r="A782" t="s">
        <v>762</v>
      </c>
    </row>
    <row r="783" spans="1:1" x14ac:dyDescent="0.35">
      <c r="A783" t="s">
        <v>763</v>
      </c>
    </row>
    <row r="784" spans="1:1" x14ac:dyDescent="0.35">
      <c r="A784" t="s">
        <v>616</v>
      </c>
    </row>
    <row r="785" spans="1:1" x14ac:dyDescent="0.35">
      <c r="A785" t="s">
        <v>508</v>
      </c>
    </row>
    <row r="786" spans="1:1" x14ac:dyDescent="0.35">
      <c r="A786" t="s">
        <v>499</v>
      </c>
    </row>
    <row r="787" spans="1:1" x14ac:dyDescent="0.35">
      <c r="A787" t="s">
        <v>517</v>
      </c>
    </row>
    <row r="788" spans="1:1" x14ac:dyDescent="0.35">
      <c r="A788" t="s">
        <v>645</v>
      </c>
    </row>
    <row r="789" spans="1:1" x14ac:dyDescent="0.35">
      <c r="A789" t="s">
        <v>764</v>
      </c>
    </row>
    <row r="790" spans="1:1" x14ac:dyDescent="0.35">
      <c r="A790" t="s">
        <v>765</v>
      </c>
    </row>
    <row r="791" spans="1:1" x14ac:dyDescent="0.35">
      <c r="A791" t="s">
        <v>766</v>
      </c>
    </row>
    <row r="792" spans="1:1" x14ac:dyDescent="0.35">
      <c r="A792" t="s">
        <v>767</v>
      </c>
    </row>
    <row r="793" spans="1:1" x14ac:dyDescent="0.35">
      <c r="A793" t="s">
        <v>768</v>
      </c>
    </row>
    <row r="794" spans="1:1" x14ac:dyDescent="0.35">
      <c r="A794" t="s">
        <v>710</v>
      </c>
    </row>
    <row r="795" spans="1:1" x14ac:dyDescent="0.35">
      <c r="A795" t="s">
        <v>508</v>
      </c>
    </row>
    <row r="796" spans="1:1" x14ac:dyDescent="0.35">
      <c r="A796" t="s">
        <v>499</v>
      </c>
    </row>
    <row r="797" spans="1:1" x14ac:dyDescent="0.35">
      <c r="A797" t="s">
        <v>525</v>
      </c>
    </row>
    <row r="798" spans="1:1" x14ac:dyDescent="0.35">
      <c r="A798" t="s">
        <v>682</v>
      </c>
    </row>
    <row r="799" spans="1:1" x14ac:dyDescent="0.35">
      <c r="A799" t="s">
        <v>769</v>
      </c>
    </row>
    <row r="800" spans="1:1" x14ac:dyDescent="0.35">
      <c r="A800" t="s">
        <v>770</v>
      </c>
    </row>
    <row r="801" spans="1:1" x14ac:dyDescent="0.35">
      <c r="A801" t="s">
        <v>771</v>
      </c>
    </row>
    <row r="802" spans="1:1" x14ac:dyDescent="0.35">
      <c r="A802" t="s">
        <v>772</v>
      </c>
    </row>
    <row r="803" spans="1:1" x14ac:dyDescent="0.35">
      <c r="A803" t="s">
        <v>773</v>
      </c>
    </row>
    <row r="804" spans="1:1" x14ac:dyDescent="0.35">
      <c r="A804" t="s">
        <v>677</v>
      </c>
    </row>
    <row r="805" spans="1:1" x14ac:dyDescent="0.35">
      <c r="A805" t="s">
        <v>508</v>
      </c>
    </row>
    <row r="806" spans="1:1" x14ac:dyDescent="0.35">
      <c r="A806" t="s">
        <v>499</v>
      </c>
    </row>
    <row r="807" spans="1:1" x14ac:dyDescent="0.35">
      <c r="A807" t="s">
        <v>533</v>
      </c>
    </row>
    <row r="808" spans="1:1" x14ac:dyDescent="0.35">
      <c r="A808" t="s">
        <v>682</v>
      </c>
    </row>
    <row r="809" spans="1:1" x14ac:dyDescent="0.35">
      <c r="A809" t="s">
        <v>683</v>
      </c>
    </row>
    <row r="810" spans="1:1" x14ac:dyDescent="0.35">
      <c r="A810" t="s">
        <v>774</v>
      </c>
    </row>
    <row r="811" spans="1:1" x14ac:dyDescent="0.35">
      <c r="A811" t="s">
        <v>775</v>
      </c>
    </row>
    <row r="812" spans="1:1" x14ac:dyDescent="0.35">
      <c r="A812" t="s">
        <v>776</v>
      </c>
    </row>
    <row r="813" spans="1:1" x14ac:dyDescent="0.35">
      <c r="A813" t="s">
        <v>777</v>
      </c>
    </row>
    <row r="814" spans="1:1" x14ac:dyDescent="0.35">
      <c r="A814" t="s">
        <v>778</v>
      </c>
    </row>
    <row r="815" spans="1:1" x14ac:dyDescent="0.35">
      <c r="A815" t="s">
        <v>508</v>
      </c>
    </row>
    <row r="816" spans="1:1" x14ac:dyDescent="0.35">
      <c r="A816" t="s">
        <v>499</v>
      </c>
    </row>
    <row r="817" spans="1:1" x14ac:dyDescent="0.35">
      <c r="A817" t="s">
        <v>541</v>
      </c>
    </row>
    <row r="818" spans="1:1" x14ac:dyDescent="0.35">
      <c r="A818" t="s">
        <v>779</v>
      </c>
    </row>
    <row r="819" spans="1:1" x14ac:dyDescent="0.35">
      <c r="A819" t="s">
        <v>780</v>
      </c>
    </row>
    <row r="820" spans="1:1" x14ac:dyDescent="0.35">
      <c r="A820" t="s">
        <v>781</v>
      </c>
    </row>
    <row r="821" spans="1:1" x14ac:dyDescent="0.35">
      <c r="A821" t="s">
        <v>782</v>
      </c>
    </row>
    <row r="822" spans="1:1" x14ac:dyDescent="0.35">
      <c r="A822" t="s">
        <v>783</v>
      </c>
    </row>
    <row r="823" spans="1:1" x14ac:dyDescent="0.35">
      <c r="A823" t="s">
        <v>714</v>
      </c>
    </row>
    <row r="824" spans="1:1" x14ac:dyDescent="0.35">
      <c r="A824" t="s">
        <v>656</v>
      </c>
    </row>
    <row r="825" spans="1:1" x14ac:dyDescent="0.35">
      <c r="A825" t="s">
        <v>508</v>
      </c>
    </row>
    <row r="826" spans="1:1" x14ac:dyDescent="0.35">
      <c r="A826" t="s">
        <v>499</v>
      </c>
    </row>
    <row r="827" spans="1:1" x14ac:dyDescent="0.35">
      <c r="A827" t="s">
        <v>549</v>
      </c>
    </row>
    <row r="828" spans="1:1" x14ac:dyDescent="0.35">
      <c r="A828" t="s">
        <v>784</v>
      </c>
    </row>
    <row r="829" spans="1:1" x14ac:dyDescent="0.35">
      <c r="A829" t="s">
        <v>527</v>
      </c>
    </row>
    <row r="830" spans="1:1" x14ac:dyDescent="0.35">
      <c r="A830" t="s">
        <v>785</v>
      </c>
    </row>
    <row r="831" spans="1:1" x14ac:dyDescent="0.35">
      <c r="A831" t="s">
        <v>786</v>
      </c>
    </row>
    <row r="832" spans="1:1" x14ac:dyDescent="0.35">
      <c r="A832" t="s">
        <v>787</v>
      </c>
    </row>
    <row r="833" spans="1:1" x14ac:dyDescent="0.35">
      <c r="A833" t="s">
        <v>788</v>
      </c>
    </row>
    <row r="834" spans="1:1" x14ac:dyDescent="0.35">
      <c r="A834" t="s">
        <v>789</v>
      </c>
    </row>
    <row r="835" spans="1:1" x14ac:dyDescent="0.35">
      <c r="A835" t="s">
        <v>508</v>
      </c>
    </row>
    <row r="836" spans="1:1" x14ac:dyDescent="0.35">
      <c r="A836" t="s">
        <v>499</v>
      </c>
    </row>
    <row r="837" spans="1:1" x14ac:dyDescent="0.35">
      <c r="A837" t="s">
        <v>556</v>
      </c>
    </row>
    <row r="838" spans="1:1" x14ac:dyDescent="0.35">
      <c r="A838" t="s">
        <v>617</v>
      </c>
    </row>
    <row r="839" spans="1:1" x14ac:dyDescent="0.35">
      <c r="A839" t="s">
        <v>790</v>
      </c>
    </row>
    <row r="840" spans="1:1" x14ac:dyDescent="0.35">
      <c r="A840" t="s">
        <v>791</v>
      </c>
    </row>
    <row r="841" spans="1:1" x14ac:dyDescent="0.35">
      <c r="A841" t="s">
        <v>792</v>
      </c>
    </row>
    <row r="842" spans="1:1" x14ac:dyDescent="0.35">
      <c r="A842" t="s">
        <v>793</v>
      </c>
    </row>
    <row r="843" spans="1:1" x14ac:dyDescent="0.35">
      <c r="A843" t="s">
        <v>794</v>
      </c>
    </row>
    <row r="844" spans="1:1" x14ac:dyDescent="0.35">
      <c r="A844" t="s">
        <v>795</v>
      </c>
    </row>
    <row r="845" spans="1:1" x14ac:dyDescent="0.35">
      <c r="A845" t="s">
        <v>564</v>
      </c>
    </row>
    <row r="846" spans="1:1" x14ac:dyDescent="0.35">
      <c r="A846" t="s">
        <v>565</v>
      </c>
    </row>
    <row r="847" spans="1:1" x14ac:dyDescent="0.35">
      <c r="A847" t="s">
        <v>566</v>
      </c>
    </row>
    <row r="848" spans="1:1" x14ac:dyDescent="0.35">
      <c r="A848" t="s">
        <v>499</v>
      </c>
    </row>
    <row r="849" spans="1:1" x14ac:dyDescent="0.35">
      <c r="A849" t="s">
        <v>567</v>
      </c>
    </row>
    <row r="850" spans="1:1" x14ac:dyDescent="0.35">
      <c r="A850" t="s">
        <v>568</v>
      </c>
    </row>
    <row r="851" spans="1:1" x14ac:dyDescent="0.35">
      <c r="A851" t="s">
        <v>569</v>
      </c>
    </row>
    <row r="852" spans="1:1" x14ac:dyDescent="0.35">
      <c r="A852" t="s">
        <v>796</v>
      </c>
    </row>
    <row r="853" spans="1:1" x14ac:dyDescent="0.35">
      <c r="A853" t="s">
        <v>797</v>
      </c>
    </row>
    <row r="854" spans="1:1" x14ac:dyDescent="0.35">
      <c r="A854" t="s">
        <v>798</v>
      </c>
    </row>
    <row r="855" spans="1:1" x14ac:dyDescent="0.35">
      <c r="A855" t="s">
        <v>508</v>
      </c>
    </row>
    <row r="856" spans="1:1" x14ac:dyDescent="0.35">
      <c r="A856" t="s">
        <v>499</v>
      </c>
    </row>
    <row r="857" spans="1:1" x14ac:dyDescent="0.35">
      <c r="A857" t="s">
        <v>567</v>
      </c>
    </row>
    <row r="858" spans="1:1" x14ac:dyDescent="0.35">
      <c r="A858" t="s">
        <v>568</v>
      </c>
    </row>
    <row r="859" spans="1:1" x14ac:dyDescent="0.35">
      <c r="A859" t="s">
        <v>572</v>
      </c>
    </row>
    <row r="860" spans="1:1" x14ac:dyDescent="0.35">
      <c r="A860" t="s">
        <v>799</v>
      </c>
    </row>
    <row r="861" spans="1:1" x14ac:dyDescent="0.35">
      <c r="A861" t="s">
        <v>800</v>
      </c>
    </row>
    <row r="862" spans="1:1" x14ac:dyDescent="0.35">
      <c r="A862" t="s">
        <v>801</v>
      </c>
    </row>
    <row r="863" spans="1:1" x14ac:dyDescent="0.35">
      <c r="A863" t="s">
        <v>508</v>
      </c>
    </row>
    <row r="864" spans="1:1" x14ac:dyDescent="0.35">
      <c r="A864" t="s">
        <v>499</v>
      </c>
    </row>
    <row r="865" spans="1:1" x14ac:dyDescent="0.35">
      <c r="A865" t="s">
        <v>567</v>
      </c>
    </row>
    <row r="866" spans="1:1" x14ac:dyDescent="0.35">
      <c r="A866" t="s">
        <v>568</v>
      </c>
    </row>
    <row r="867" spans="1:1" x14ac:dyDescent="0.35">
      <c r="A867" t="s">
        <v>573</v>
      </c>
    </row>
    <row r="868" spans="1:1" x14ac:dyDescent="0.35">
      <c r="A868" t="s">
        <v>802</v>
      </c>
    </row>
    <row r="869" spans="1:1" x14ac:dyDescent="0.35">
      <c r="A869" t="s">
        <v>803</v>
      </c>
    </row>
    <row r="870" spans="1:1" x14ac:dyDescent="0.35">
      <c r="A870" t="s">
        <v>804</v>
      </c>
    </row>
    <row r="871" spans="1:1" x14ac:dyDescent="0.35">
      <c r="A871" t="s">
        <v>564</v>
      </c>
    </row>
    <row r="872" spans="1:1" x14ac:dyDescent="0.35">
      <c r="A872" t="s">
        <v>565</v>
      </c>
    </row>
    <row r="873" spans="1:1" x14ac:dyDescent="0.35">
      <c r="A873" t="s">
        <v>574</v>
      </c>
    </row>
    <row r="874" spans="1:1" x14ac:dyDescent="0.35">
      <c r="A874" t="s">
        <v>499</v>
      </c>
    </row>
    <row r="875" spans="1:1" x14ac:dyDescent="0.35">
      <c r="A875" t="s">
        <v>575</v>
      </c>
    </row>
    <row r="876" spans="1:1" x14ac:dyDescent="0.35">
      <c r="A876" t="s">
        <v>576</v>
      </c>
    </row>
    <row r="877" spans="1:1" x14ac:dyDescent="0.35">
      <c r="A877" t="s">
        <v>569</v>
      </c>
    </row>
    <row r="878" spans="1:1" x14ac:dyDescent="0.35">
      <c r="A878" t="s">
        <v>805</v>
      </c>
    </row>
    <row r="879" spans="1:1" x14ac:dyDescent="0.35">
      <c r="A879" t="s">
        <v>797</v>
      </c>
    </row>
    <row r="880" spans="1:1" x14ac:dyDescent="0.35">
      <c r="A880" t="s">
        <v>798</v>
      </c>
    </row>
    <row r="881" spans="1:1" x14ac:dyDescent="0.35">
      <c r="A881" t="s">
        <v>508</v>
      </c>
    </row>
    <row r="882" spans="1:1" x14ac:dyDescent="0.35">
      <c r="A882" t="s">
        <v>499</v>
      </c>
    </row>
    <row r="883" spans="1:1" x14ac:dyDescent="0.35">
      <c r="A883" t="s">
        <v>575</v>
      </c>
    </row>
    <row r="884" spans="1:1" x14ac:dyDescent="0.35">
      <c r="A884" t="s">
        <v>576</v>
      </c>
    </row>
    <row r="885" spans="1:1" x14ac:dyDescent="0.35">
      <c r="A885" t="s">
        <v>572</v>
      </c>
    </row>
    <row r="886" spans="1:1" x14ac:dyDescent="0.35">
      <c r="A886" t="s">
        <v>806</v>
      </c>
    </row>
    <row r="887" spans="1:1" x14ac:dyDescent="0.35">
      <c r="A887" t="s">
        <v>639</v>
      </c>
    </row>
    <row r="888" spans="1:1" x14ac:dyDescent="0.35">
      <c r="A888" t="s">
        <v>640</v>
      </c>
    </row>
    <row r="889" spans="1:1" x14ac:dyDescent="0.35">
      <c r="A889" t="s">
        <v>508</v>
      </c>
    </row>
    <row r="890" spans="1:1" x14ac:dyDescent="0.35">
      <c r="A890" t="s">
        <v>499</v>
      </c>
    </row>
    <row r="891" spans="1:1" x14ac:dyDescent="0.35">
      <c r="A891" t="s">
        <v>575</v>
      </c>
    </row>
    <row r="892" spans="1:1" x14ac:dyDescent="0.35">
      <c r="A892" t="s">
        <v>576</v>
      </c>
    </row>
    <row r="893" spans="1:1" x14ac:dyDescent="0.35">
      <c r="A893" t="s">
        <v>573</v>
      </c>
    </row>
    <row r="894" spans="1:1" x14ac:dyDescent="0.35">
      <c r="A894" t="s">
        <v>807</v>
      </c>
    </row>
    <row r="895" spans="1:1" x14ac:dyDescent="0.35">
      <c r="A895" t="s">
        <v>639</v>
      </c>
    </row>
    <row r="896" spans="1:1" x14ac:dyDescent="0.35">
      <c r="A896" t="s">
        <v>640</v>
      </c>
    </row>
    <row r="897" spans="1:1" x14ac:dyDescent="0.35">
      <c r="A897" t="s">
        <v>508</v>
      </c>
    </row>
    <row r="898" spans="1:1" x14ac:dyDescent="0.35">
      <c r="A898" t="s">
        <v>499</v>
      </c>
    </row>
    <row r="899" spans="1:1" x14ac:dyDescent="0.35">
      <c r="A899" t="s">
        <v>575</v>
      </c>
    </row>
    <row r="900" spans="1:1" x14ac:dyDescent="0.35">
      <c r="A900" t="s">
        <v>577</v>
      </c>
    </row>
    <row r="901" spans="1:1" x14ac:dyDescent="0.35">
      <c r="A901" t="s">
        <v>569</v>
      </c>
    </row>
    <row r="902" spans="1:1" x14ac:dyDescent="0.35">
      <c r="A902" t="s">
        <v>805</v>
      </c>
    </row>
    <row r="903" spans="1:1" x14ac:dyDescent="0.35">
      <c r="A903" t="s">
        <v>639</v>
      </c>
    </row>
    <row r="904" spans="1:1" x14ac:dyDescent="0.35">
      <c r="A904" t="s">
        <v>640</v>
      </c>
    </row>
    <row r="905" spans="1:1" x14ac:dyDescent="0.35">
      <c r="A905" t="s">
        <v>508</v>
      </c>
    </row>
    <row r="906" spans="1:1" x14ac:dyDescent="0.35">
      <c r="A906" t="s">
        <v>499</v>
      </c>
    </row>
    <row r="907" spans="1:1" x14ac:dyDescent="0.35">
      <c r="A907" t="s">
        <v>575</v>
      </c>
    </row>
    <row r="908" spans="1:1" x14ac:dyDescent="0.35">
      <c r="A908" t="s">
        <v>577</v>
      </c>
    </row>
    <row r="909" spans="1:1" x14ac:dyDescent="0.35">
      <c r="A909" t="s">
        <v>572</v>
      </c>
    </row>
    <row r="910" spans="1:1" x14ac:dyDescent="0.35">
      <c r="A910" t="s">
        <v>806</v>
      </c>
    </row>
    <row r="911" spans="1:1" x14ac:dyDescent="0.35">
      <c r="A911" t="s">
        <v>639</v>
      </c>
    </row>
    <row r="912" spans="1:1" x14ac:dyDescent="0.35">
      <c r="A912" t="s">
        <v>640</v>
      </c>
    </row>
    <row r="913" spans="1:1" x14ac:dyDescent="0.35">
      <c r="A913" t="s">
        <v>508</v>
      </c>
    </row>
    <row r="914" spans="1:1" x14ac:dyDescent="0.35">
      <c r="A914" t="s">
        <v>499</v>
      </c>
    </row>
    <row r="915" spans="1:1" x14ac:dyDescent="0.35">
      <c r="A915" t="s">
        <v>575</v>
      </c>
    </row>
    <row r="916" spans="1:1" x14ac:dyDescent="0.35">
      <c r="A916" t="s">
        <v>577</v>
      </c>
    </row>
    <row r="917" spans="1:1" x14ac:dyDescent="0.35">
      <c r="A917" t="s">
        <v>573</v>
      </c>
    </row>
    <row r="918" spans="1:1" x14ac:dyDescent="0.35">
      <c r="A918" t="s">
        <v>807</v>
      </c>
    </row>
    <row r="919" spans="1:1" x14ac:dyDescent="0.35">
      <c r="A919" t="s">
        <v>639</v>
      </c>
    </row>
    <row r="920" spans="1:1" x14ac:dyDescent="0.35">
      <c r="A920" t="s">
        <v>640</v>
      </c>
    </row>
    <row r="921" spans="1:1" x14ac:dyDescent="0.35">
      <c r="A921" t="s">
        <v>508</v>
      </c>
    </row>
    <row r="922" spans="1:1" x14ac:dyDescent="0.35">
      <c r="A922" t="s">
        <v>499</v>
      </c>
    </row>
    <row r="923" spans="1:1" x14ac:dyDescent="0.35">
      <c r="A923" t="s">
        <v>575</v>
      </c>
    </row>
    <row r="924" spans="1:1" x14ac:dyDescent="0.35">
      <c r="A924" t="s">
        <v>578</v>
      </c>
    </row>
    <row r="925" spans="1:1" x14ac:dyDescent="0.35">
      <c r="A925" t="s">
        <v>569</v>
      </c>
    </row>
    <row r="926" spans="1:1" x14ac:dyDescent="0.35">
      <c r="A926" t="s">
        <v>805</v>
      </c>
    </row>
    <row r="927" spans="1:1" x14ac:dyDescent="0.35">
      <c r="A927" t="s">
        <v>639</v>
      </c>
    </row>
    <row r="928" spans="1:1" x14ac:dyDescent="0.35">
      <c r="A928" t="s">
        <v>640</v>
      </c>
    </row>
    <row r="929" spans="1:1" x14ac:dyDescent="0.35">
      <c r="A929" t="s">
        <v>508</v>
      </c>
    </row>
    <row r="930" spans="1:1" x14ac:dyDescent="0.35">
      <c r="A930" t="s">
        <v>499</v>
      </c>
    </row>
    <row r="931" spans="1:1" x14ac:dyDescent="0.35">
      <c r="A931" t="s">
        <v>575</v>
      </c>
    </row>
    <row r="932" spans="1:1" x14ac:dyDescent="0.35">
      <c r="A932" t="s">
        <v>578</v>
      </c>
    </row>
    <row r="933" spans="1:1" x14ac:dyDescent="0.35">
      <c r="A933" t="s">
        <v>572</v>
      </c>
    </row>
    <row r="934" spans="1:1" x14ac:dyDescent="0.35">
      <c r="A934" t="s">
        <v>806</v>
      </c>
    </row>
    <row r="935" spans="1:1" x14ac:dyDescent="0.35">
      <c r="A935" t="s">
        <v>639</v>
      </c>
    </row>
    <row r="936" spans="1:1" x14ac:dyDescent="0.35">
      <c r="A936" t="s">
        <v>640</v>
      </c>
    </row>
    <row r="937" spans="1:1" x14ac:dyDescent="0.35">
      <c r="A937" t="s">
        <v>508</v>
      </c>
    </row>
    <row r="938" spans="1:1" x14ac:dyDescent="0.35">
      <c r="A938" t="s">
        <v>499</v>
      </c>
    </row>
    <row r="939" spans="1:1" x14ac:dyDescent="0.35">
      <c r="A939" t="s">
        <v>575</v>
      </c>
    </row>
    <row r="940" spans="1:1" x14ac:dyDescent="0.35">
      <c r="A940" t="s">
        <v>578</v>
      </c>
    </row>
    <row r="941" spans="1:1" x14ac:dyDescent="0.35">
      <c r="A941" t="s">
        <v>573</v>
      </c>
    </row>
    <row r="942" spans="1:1" x14ac:dyDescent="0.35">
      <c r="A942" t="s">
        <v>807</v>
      </c>
    </row>
    <row r="943" spans="1:1" x14ac:dyDescent="0.35">
      <c r="A943" t="s">
        <v>639</v>
      </c>
    </row>
    <row r="944" spans="1:1" x14ac:dyDescent="0.35">
      <c r="A944" t="s">
        <v>640</v>
      </c>
    </row>
    <row r="945" spans="1:1" x14ac:dyDescent="0.35">
      <c r="A945" t="s">
        <v>564</v>
      </c>
    </row>
    <row r="946" spans="1:1" x14ac:dyDescent="0.35">
      <c r="A946" t="s">
        <v>579</v>
      </c>
    </row>
    <row r="947" spans="1:1" x14ac:dyDescent="0.35">
      <c r="A947" t="s">
        <v>580</v>
      </c>
    </row>
    <row r="948" spans="1:1" x14ac:dyDescent="0.35">
      <c r="A948" t="s">
        <v>496</v>
      </c>
    </row>
    <row r="949" spans="1:1" x14ac:dyDescent="0.35">
      <c r="A949" t="s">
        <v>808</v>
      </c>
    </row>
    <row r="950" spans="1:1" x14ac:dyDescent="0.35">
      <c r="A950" t="s">
        <v>809</v>
      </c>
    </row>
    <row r="951" spans="1:1" x14ac:dyDescent="0.35">
      <c r="A951" t="s">
        <v>498</v>
      </c>
    </row>
    <row r="952" spans="1:1" x14ac:dyDescent="0.35">
      <c r="A952" t="s">
        <v>499</v>
      </c>
    </row>
    <row r="953" spans="1:1" x14ac:dyDescent="0.35">
      <c r="A953" t="s">
        <v>500</v>
      </c>
    </row>
    <row r="954" spans="1:1" x14ac:dyDescent="0.35">
      <c r="A954" t="s">
        <v>810</v>
      </c>
    </row>
    <row r="955" spans="1:1" x14ac:dyDescent="0.35">
      <c r="A955" t="s">
        <v>811</v>
      </c>
    </row>
    <row r="956" spans="1:1" x14ac:dyDescent="0.35">
      <c r="A956" t="s">
        <v>812</v>
      </c>
    </row>
    <row r="957" spans="1:1" x14ac:dyDescent="0.35">
      <c r="A957" t="s">
        <v>813</v>
      </c>
    </row>
    <row r="958" spans="1:1" x14ac:dyDescent="0.35">
      <c r="A958" t="s">
        <v>793</v>
      </c>
    </row>
    <row r="959" spans="1:1" x14ac:dyDescent="0.35">
      <c r="A959" t="s">
        <v>814</v>
      </c>
    </row>
    <row r="960" spans="1:1" x14ac:dyDescent="0.35">
      <c r="A960" t="s">
        <v>815</v>
      </c>
    </row>
    <row r="961" spans="1:1" x14ac:dyDescent="0.35">
      <c r="A961" t="s">
        <v>508</v>
      </c>
    </row>
    <row r="962" spans="1:1" x14ac:dyDescent="0.35">
      <c r="A962" t="s">
        <v>499</v>
      </c>
    </row>
    <row r="963" spans="1:1" x14ac:dyDescent="0.35">
      <c r="A963" t="s">
        <v>509</v>
      </c>
    </row>
    <row r="964" spans="1:1" x14ac:dyDescent="0.35">
      <c r="A964" t="s">
        <v>542</v>
      </c>
    </row>
    <row r="965" spans="1:1" x14ac:dyDescent="0.35">
      <c r="A965" t="s">
        <v>583</v>
      </c>
    </row>
    <row r="966" spans="1:1" x14ac:dyDescent="0.35">
      <c r="A966" t="s">
        <v>816</v>
      </c>
    </row>
    <row r="967" spans="1:1" x14ac:dyDescent="0.35">
      <c r="A967" t="s">
        <v>817</v>
      </c>
    </row>
    <row r="968" spans="1:1" x14ac:dyDescent="0.35">
      <c r="A968" t="s">
        <v>818</v>
      </c>
    </row>
    <row r="969" spans="1:1" x14ac:dyDescent="0.35">
      <c r="A969" t="s">
        <v>819</v>
      </c>
    </row>
    <row r="970" spans="1:1" x14ac:dyDescent="0.35">
      <c r="A970" t="s">
        <v>820</v>
      </c>
    </row>
    <row r="971" spans="1:1" x14ac:dyDescent="0.35">
      <c r="A971" t="s">
        <v>508</v>
      </c>
    </row>
    <row r="972" spans="1:1" x14ac:dyDescent="0.35">
      <c r="A972" t="s">
        <v>499</v>
      </c>
    </row>
    <row r="973" spans="1:1" x14ac:dyDescent="0.35">
      <c r="A973" t="s">
        <v>517</v>
      </c>
    </row>
    <row r="974" spans="1:1" x14ac:dyDescent="0.35">
      <c r="A974" t="s">
        <v>821</v>
      </c>
    </row>
    <row r="975" spans="1:1" x14ac:dyDescent="0.35">
      <c r="A975" t="s">
        <v>667</v>
      </c>
    </row>
    <row r="976" spans="1:1" x14ac:dyDescent="0.35">
      <c r="A976" t="s">
        <v>822</v>
      </c>
    </row>
    <row r="977" spans="1:1" x14ac:dyDescent="0.35">
      <c r="A977" t="s">
        <v>823</v>
      </c>
    </row>
    <row r="978" spans="1:1" x14ac:dyDescent="0.35">
      <c r="A978" t="s">
        <v>824</v>
      </c>
    </row>
    <row r="979" spans="1:1" x14ac:dyDescent="0.35">
      <c r="A979" t="s">
        <v>825</v>
      </c>
    </row>
    <row r="980" spans="1:1" x14ac:dyDescent="0.35">
      <c r="A980" t="s">
        <v>826</v>
      </c>
    </row>
    <row r="981" spans="1:1" x14ac:dyDescent="0.35">
      <c r="A981" t="s">
        <v>508</v>
      </c>
    </row>
    <row r="982" spans="1:1" x14ac:dyDescent="0.35">
      <c r="A982" t="s">
        <v>499</v>
      </c>
    </row>
    <row r="983" spans="1:1" x14ac:dyDescent="0.35">
      <c r="A983" t="s">
        <v>525</v>
      </c>
    </row>
    <row r="984" spans="1:1" x14ac:dyDescent="0.35">
      <c r="A984" t="s">
        <v>821</v>
      </c>
    </row>
    <row r="985" spans="1:1" x14ac:dyDescent="0.35">
      <c r="A985" t="s">
        <v>827</v>
      </c>
    </row>
    <row r="986" spans="1:1" x14ac:dyDescent="0.35">
      <c r="A986" t="s">
        <v>828</v>
      </c>
    </row>
    <row r="987" spans="1:1" x14ac:dyDescent="0.35">
      <c r="A987" t="s">
        <v>829</v>
      </c>
    </row>
    <row r="988" spans="1:1" x14ac:dyDescent="0.35">
      <c r="A988" t="s">
        <v>830</v>
      </c>
    </row>
    <row r="989" spans="1:1" x14ac:dyDescent="0.35">
      <c r="A989" t="s">
        <v>665</v>
      </c>
    </row>
    <row r="990" spans="1:1" x14ac:dyDescent="0.35">
      <c r="A990" t="s">
        <v>740</v>
      </c>
    </row>
    <row r="991" spans="1:1" x14ac:dyDescent="0.35">
      <c r="A991" t="s">
        <v>508</v>
      </c>
    </row>
    <row r="992" spans="1:1" x14ac:dyDescent="0.35">
      <c r="A992" t="s">
        <v>499</v>
      </c>
    </row>
    <row r="993" spans="1:1" x14ac:dyDescent="0.35">
      <c r="A993" t="s">
        <v>533</v>
      </c>
    </row>
    <row r="994" spans="1:1" x14ac:dyDescent="0.35">
      <c r="A994" t="s">
        <v>810</v>
      </c>
    </row>
    <row r="995" spans="1:1" x14ac:dyDescent="0.35">
      <c r="A995" t="s">
        <v>831</v>
      </c>
    </row>
    <row r="996" spans="1:1" x14ac:dyDescent="0.35">
      <c r="A996" t="s">
        <v>832</v>
      </c>
    </row>
    <row r="997" spans="1:1" x14ac:dyDescent="0.35">
      <c r="A997" t="s">
        <v>833</v>
      </c>
    </row>
    <row r="998" spans="1:1" x14ac:dyDescent="0.35">
      <c r="A998" t="s">
        <v>834</v>
      </c>
    </row>
    <row r="999" spans="1:1" x14ac:dyDescent="0.35">
      <c r="A999" t="s">
        <v>835</v>
      </c>
    </row>
    <row r="1000" spans="1:1" x14ac:dyDescent="0.35">
      <c r="A1000" t="s">
        <v>836</v>
      </c>
    </row>
    <row r="1001" spans="1:1" x14ac:dyDescent="0.35">
      <c r="A1001" t="s">
        <v>508</v>
      </c>
    </row>
    <row r="1002" spans="1:1" x14ac:dyDescent="0.35">
      <c r="A1002" t="s">
        <v>499</v>
      </c>
    </row>
    <row r="1003" spans="1:1" x14ac:dyDescent="0.35">
      <c r="A1003" t="s">
        <v>541</v>
      </c>
    </row>
    <row r="1004" spans="1:1" x14ac:dyDescent="0.35">
      <c r="A1004" t="s">
        <v>779</v>
      </c>
    </row>
    <row r="1005" spans="1:1" x14ac:dyDescent="0.35">
      <c r="A1005" t="s">
        <v>683</v>
      </c>
    </row>
    <row r="1006" spans="1:1" x14ac:dyDescent="0.35">
      <c r="A1006" t="s">
        <v>837</v>
      </c>
    </row>
    <row r="1007" spans="1:1" x14ac:dyDescent="0.35">
      <c r="A1007" t="s">
        <v>838</v>
      </c>
    </row>
    <row r="1008" spans="1:1" x14ac:dyDescent="0.35">
      <c r="A1008" t="s">
        <v>834</v>
      </c>
    </row>
    <row r="1009" spans="1:1" x14ac:dyDescent="0.35">
      <c r="A1009" t="s">
        <v>622</v>
      </c>
    </row>
    <row r="1010" spans="1:1" x14ac:dyDescent="0.35">
      <c r="A1010" t="s">
        <v>599</v>
      </c>
    </row>
    <row r="1011" spans="1:1" x14ac:dyDescent="0.35">
      <c r="A1011" t="s">
        <v>508</v>
      </c>
    </row>
    <row r="1012" spans="1:1" x14ac:dyDescent="0.35">
      <c r="A1012" t="s">
        <v>499</v>
      </c>
    </row>
    <row r="1013" spans="1:1" x14ac:dyDescent="0.35">
      <c r="A1013" t="s">
        <v>549</v>
      </c>
    </row>
    <row r="1014" spans="1:1" x14ac:dyDescent="0.35">
      <c r="A1014" t="s">
        <v>682</v>
      </c>
    </row>
    <row r="1015" spans="1:1" x14ac:dyDescent="0.35">
      <c r="A1015" t="s">
        <v>625</v>
      </c>
    </row>
    <row r="1016" spans="1:1" x14ac:dyDescent="0.35">
      <c r="A1016" t="s">
        <v>839</v>
      </c>
    </row>
    <row r="1017" spans="1:1" x14ac:dyDescent="0.35">
      <c r="A1017" t="s">
        <v>840</v>
      </c>
    </row>
    <row r="1018" spans="1:1" x14ac:dyDescent="0.35">
      <c r="A1018" t="s">
        <v>841</v>
      </c>
    </row>
    <row r="1019" spans="1:1" x14ac:dyDescent="0.35">
      <c r="A1019" t="s">
        <v>842</v>
      </c>
    </row>
    <row r="1020" spans="1:1" x14ac:dyDescent="0.35">
      <c r="A1020" t="s">
        <v>843</v>
      </c>
    </row>
    <row r="1021" spans="1:1" x14ac:dyDescent="0.35">
      <c r="A1021" t="s">
        <v>508</v>
      </c>
    </row>
    <row r="1022" spans="1:1" x14ac:dyDescent="0.35">
      <c r="A1022" t="s">
        <v>499</v>
      </c>
    </row>
    <row r="1023" spans="1:1" x14ac:dyDescent="0.35">
      <c r="A1023" t="s">
        <v>556</v>
      </c>
    </row>
    <row r="1024" spans="1:1" x14ac:dyDescent="0.35">
      <c r="A1024" t="s">
        <v>617</v>
      </c>
    </row>
    <row r="1025" spans="1:1" x14ac:dyDescent="0.35">
      <c r="A1025" t="s">
        <v>844</v>
      </c>
    </row>
    <row r="1026" spans="1:1" x14ac:dyDescent="0.35">
      <c r="A1026" t="s">
        <v>845</v>
      </c>
    </row>
    <row r="1027" spans="1:1" x14ac:dyDescent="0.35">
      <c r="A1027" t="s">
        <v>846</v>
      </c>
    </row>
    <row r="1028" spans="1:1" x14ac:dyDescent="0.35">
      <c r="A1028" t="s">
        <v>847</v>
      </c>
    </row>
    <row r="1029" spans="1:1" x14ac:dyDescent="0.35">
      <c r="A1029" t="s">
        <v>848</v>
      </c>
    </row>
    <row r="1030" spans="1:1" x14ac:dyDescent="0.35">
      <c r="A1030" t="s">
        <v>849</v>
      </c>
    </row>
    <row r="1031" spans="1:1" x14ac:dyDescent="0.35">
      <c r="A1031" t="s">
        <v>564</v>
      </c>
    </row>
    <row r="1032" spans="1:1" x14ac:dyDescent="0.35">
      <c r="A1032" t="s">
        <v>565</v>
      </c>
    </row>
    <row r="1033" spans="1:1" x14ac:dyDescent="0.35">
      <c r="A1033" t="s">
        <v>566</v>
      </c>
    </row>
    <row r="1034" spans="1:1" x14ac:dyDescent="0.35">
      <c r="A1034" t="s">
        <v>499</v>
      </c>
    </row>
    <row r="1035" spans="1:1" x14ac:dyDescent="0.35">
      <c r="A1035" t="s">
        <v>567</v>
      </c>
    </row>
    <row r="1036" spans="1:1" x14ac:dyDescent="0.35">
      <c r="A1036" t="s">
        <v>568</v>
      </c>
    </row>
    <row r="1037" spans="1:1" x14ac:dyDescent="0.35">
      <c r="A1037" t="s">
        <v>569</v>
      </c>
    </row>
    <row r="1038" spans="1:1" x14ac:dyDescent="0.35">
      <c r="A1038" t="s">
        <v>850</v>
      </c>
    </row>
    <row r="1039" spans="1:1" x14ac:dyDescent="0.35">
      <c r="A1039" t="s">
        <v>851</v>
      </c>
    </row>
    <row r="1040" spans="1:1" x14ac:dyDescent="0.35">
      <c r="A1040" t="s">
        <v>801</v>
      </c>
    </row>
    <row r="1041" spans="1:1" x14ac:dyDescent="0.35">
      <c r="A1041" t="s">
        <v>508</v>
      </c>
    </row>
    <row r="1042" spans="1:1" x14ac:dyDescent="0.35">
      <c r="A1042" t="s">
        <v>499</v>
      </c>
    </row>
    <row r="1043" spans="1:1" x14ac:dyDescent="0.35">
      <c r="A1043" t="s">
        <v>567</v>
      </c>
    </row>
    <row r="1044" spans="1:1" x14ac:dyDescent="0.35">
      <c r="A1044" t="s">
        <v>568</v>
      </c>
    </row>
    <row r="1045" spans="1:1" x14ac:dyDescent="0.35">
      <c r="A1045" t="s">
        <v>572</v>
      </c>
    </row>
    <row r="1046" spans="1:1" x14ac:dyDescent="0.35">
      <c r="A1046" t="s">
        <v>852</v>
      </c>
    </row>
    <row r="1047" spans="1:1" x14ac:dyDescent="0.35">
      <c r="A1047" t="s">
        <v>639</v>
      </c>
    </row>
    <row r="1048" spans="1:1" x14ac:dyDescent="0.35">
      <c r="A1048" t="s">
        <v>640</v>
      </c>
    </row>
    <row r="1049" spans="1:1" x14ac:dyDescent="0.35">
      <c r="A1049" t="s">
        <v>508</v>
      </c>
    </row>
    <row r="1050" spans="1:1" x14ac:dyDescent="0.35">
      <c r="A1050" t="s">
        <v>499</v>
      </c>
    </row>
    <row r="1051" spans="1:1" x14ac:dyDescent="0.35">
      <c r="A1051" t="s">
        <v>567</v>
      </c>
    </row>
    <row r="1052" spans="1:1" x14ac:dyDescent="0.35">
      <c r="A1052" t="s">
        <v>568</v>
      </c>
    </row>
    <row r="1053" spans="1:1" x14ac:dyDescent="0.35">
      <c r="A1053" t="s">
        <v>573</v>
      </c>
    </row>
    <row r="1054" spans="1:1" x14ac:dyDescent="0.35">
      <c r="A1054" t="s">
        <v>853</v>
      </c>
    </row>
    <row r="1055" spans="1:1" x14ac:dyDescent="0.35">
      <c r="A1055" t="s">
        <v>854</v>
      </c>
    </row>
    <row r="1056" spans="1:1" x14ac:dyDescent="0.35">
      <c r="A1056" t="s">
        <v>642</v>
      </c>
    </row>
    <row r="1057" spans="1:1" x14ac:dyDescent="0.35">
      <c r="A1057" t="s">
        <v>564</v>
      </c>
    </row>
    <row r="1058" spans="1:1" x14ac:dyDescent="0.35">
      <c r="A1058" t="s">
        <v>565</v>
      </c>
    </row>
    <row r="1059" spans="1:1" x14ac:dyDescent="0.35">
      <c r="A1059" t="s">
        <v>574</v>
      </c>
    </row>
    <row r="1060" spans="1:1" x14ac:dyDescent="0.35">
      <c r="A1060" t="s">
        <v>499</v>
      </c>
    </row>
    <row r="1061" spans="1:1" x14ac:dyDescent="0.35">
      <c r="A1061" t="s">
        <v>575</v>
      </c>
    </row>
    <row r="1062" spans="1:1" x14ac:dyDescent="0.35">
      <c r="A1062" t="s">
        <v>576</v>
      </c>
    </row>
    <row r="1063" spans="1:1" x14ac:dyDescent="0.35">
      <c r="A1063" t="s">
        <v>569</v>
      </c>
    </row>
    <row r="1064" spans="1:1" x14ac:dyDescent="0.35">
      <c r="A1064" t="s">
        <v>855</v>
      </c>
    </row>
    <row r="1065" spans="1:1" x14ac:dyDescent="0.35">
      <c r="A1065" t="s">
        <v>856</v>
      </c>
    </row>
    <row r="1066" spans="1:1" x14ac:dyDescent="0.35">
      <c r="A1066" t="s">
        <v>857</v>
      </c>
    </row>
    <row r="1067" spans="1:1" x14ac:dyDescent="0.35">
      <c r="A1067" t="s">
        <v>508</v>
      </c>
    </row>
    <row r="1068" spans="1:1" x14ac:dyDescent="0.35">
      <c r="A1068" t="s">
        <v>499</v>
      </c>
    </row>
    <row r="1069" spans="1:1" x14ac:dyDescent="0.35">
      <c r="A1069" t="s">
        <v>575</v>
      </c>
    </row>
    <row r="1070" spans="1:1" x14ac:dyDescent="0.35">
      <c r="A1070" t="s">
        <v>576</v>
      </c>
    </row>
    <row r="1071" spans="1:1" x14ac:dyDescent="0.35">
      <c r="A1071" t="s">
        <v>572</v>
      </c>
    </row>
    <row r="1072" spans="1:1" x14ac:dyDescent="0.35">
      <c r="A1072" t="s">
        <v>858</v>
      </c>
    </row>
    <row r="1073" spans="1:1" x14ac:dyDescent="0.35">
      <c r="A1073" t="s">
        <v>639</v>
      </c>
    </row>
    <row r="1074" spans="1:1" x14ac:dyDescent="0.35">
      <c r="A1074" t="s">
        <v>640</v>
      </c>
    </row>
    <row r="1075" spans="1:1" x14ac:dyDescent="0.35">
      <c r="A1075" t="s">
        <v>508</v>
      </c>
    </row>
    <row r="1076" spans="1:1" x14ac:dyDescent="0.35">
      <c r="A1076" t="s">
        <v>499</v>
      </c>
    </row>
    <row r="1077" spans="1:1" x14ac:dyDescent="0.35">
      <c r="A1077" t="s">
        <v>575</v>
      </c>
    </row>
    <row r="1078" spans="1:1" x14ac:dyDescent="0.35">
      <c r="A1078" t="s">
        <v>576</v>
      </c>
    </row>
    <row r="1079" spans="1:1" x14ac:dyDescent="0.35">
      <c r="A1079" t="s">
        <v>573</v>
      </c>
    </row>
    <row r="1080" spans="1:1" x14ac:dyDescent="0.35">
      <c r="A1080" t="s">
        <v>859</v>
      </c>
    </row>
    <row r="1081" spans="1:1" x14ac:dyDescent="0.35">
      <c r="A1081" t="s">
        <v>639</v>
      </c>
    </row>
    <row r="1082" spans="1:1" x14ac:dyDescent="0.35">
      <c r="A1082" t="s">
        <v>640</v>
      </c>
    </row>
    <row r="1083" spans="1:1" x14ac:dyDescent="0.35">
      <c r="A1083" t="s">
        <v>508</v>
      </c>
    </row>
    <row r="1084" spans="1:1" x14ac:dyDescent="0.35">
      <c r="A1084" t="s">
        <v>499</v>
      </c>
    </row>
    <row r="1085" spans="1:1" x14ac:dyDescent="0.35">
      <c r="A1085" t="s">
        <v>575</v>
      </c>
    </row>
    <row r="1086" spans="1:1" x14ac:dyDescent="0.35">
      <c r="A1086" t="s">
        <v>577</v>
      </c>
    </row>
    <row r="1087" spans="1:1" x14ac:dyDescent="0.35">
      <c r="A1087" t="s">
        <v>569</v>
      </c>
    </row>
    <row r="1088" spans="1:1" x14ac:dyDescent="0.35">
      <c r="A1088" t="s">
        <v>855</v>
      </c>
    </row>
    <row r="1089" spans="1:1" x14ac:dyDescent="0.35">
      <c r="A1089" t="s">
        <v>639</v>
      </c>
    </row>
    <row r="1090" spans="1:1" x14ac:dyDescent="0.35">
      <c r="A1090" t="s">
        <v>640</v>
      </c>
    </row>
    <row r="1091" spans="1:1" x14ac:dyDescent="0.35">
      <c r="A1091" t="s">
        <v>508</v>
      </c>
    </row>
    <row r="1092" spans="1:1" x14ac:dyDescent="0.35">
      <c r="A1092" t="s">
        <v>499</v>
      </c>
    </row>
    <row r="1093" spans="1:1" x14ac:dyDescent="0.35">
      <c r="A1093" t="s">
        <v>575</v>
      </c>
    </row>
    <row r="1094" spans="1:1" x14ac:dyDescent="0.35">
      <c r="A1094" t="s">
        <v>577</v>
      </c>
    </row>
    <row r="1095" spans="1:1" x14ac:dyDescent="0.35">
      <c r="A1095" t="s">
        <v>572</v>
      </c>
    </row>
    <row r="1096" spans="1:1" x14ac:dyDescent="0.35">
      <c r="A1096" t="s">
        <v>858</v>
      </c>
    </row>
    <row r="1097" spans="1:1" x14ac:dyDescent="0.35">
      <c r="A1097" t="s">
        <v>860</v>
      </c>
    </row>
    <row r="1098" spans="1:1" x14ac:dyDescent="0.35">
      <c r="A1098" t="s">
        <v>861</v>
      </c>
    </row>
    <row r="1099" spans="1:1" x14ac:dyDescent="0.35">
      <c r="A1099" t="s">
        <v>508</v>
      </c>
    </row>
    <row r="1100" spans="1:1" x14ac:dyDescent="0.35">
      <c r="A1100" t="s">
        <v>499</v>
      </c>
    </row>
    <row r="1101" spans="1:1" x14ac:dyDescent="0.35">
      <c r="A1101" t="s">
        <v>575</v>
      </c>
    </row>
    <row r="1102" spans="1:1" x14ac:dyDescent="0.35">
      <c r="A1102" t="s">
        <v>577</v>
      </c>
    </row>
    <row r="1103" spans="1:1" x14ac:dyDescent="0.35">
      <c r="A1103" t="s">
        <v>573</v>
      </c>
    </row>
    <row r="1104" spans="1:1" x14ac:dyDescent="0.35">
      <c r="A1104" t="s">
        <v>859</v>
      </c>
    </row>
    <row r="1105" spans="1:1" x14ac:dyDescent="0.35">
      <c r="A1105" t="s">
        <v>639</v>
      </c>
    </row>
    <row r="1106" spans="1:1" x14ac:dyDescent="0.35">
      <c r="A1106" t="s">
        <v>640</v>
      </c>
    </row>
    <row r="1107" spans="1:1" x14ac:dyDescent="0.35">
      <c r="A1107" t="s">
        <v>508</v>
      </c>
    </row>
    <row r="1108" spans="1:1" x14ac:dyDescent="0.35">
      <c r="A1108" t="s">
        <v>499</v>
      </c>
    </row>
    <row r="1109" spans="1:1" x14ac:dyDescent="0.35">
      <c r="A1109" t="s">
        <v>575</v>
      </c>
    </row>
    <row r="1110" spans="1:1" x14ac:dyDescent="0.35">
      <c r="A1110" t="s">
        <v>578</v>
      </c>
    </row>
    <row r="1111" spans="1:1" x14ac:dyDescent="0.35">
      <c r="A1111" t="s">
        <v>569</v>
      </c>
    </row>
    <row r="1112" spans="1:1" x14ac:dyDescent="0.35">
      <c r="A1112" t="s">
        <v>855</v>
      </c>
    </row>
    <row r="1113" spans="1:1" x14ac:dyDescent="0.35">
      <c r="A1113" t="s">
        <v>862</v>
      </c>
    </row>
    <row r="1114" spans="1:1" x14ac:dyDescent="0.35">
      <c r="A1114" t="s">
        <v>863</v>
      </c>
    </row>
    <row r="1115" spans="1:1" x14ac:dyDescent="0.35">
      <c r="A1115" t="s">
        <v>508</v>
      </c>
    </row>
    <row r="1116" spans="1:1" x14ac:dyDescent="0.35">
      <c r="A1116" t="s">
        <v>499</v>
      </c>
    </row>
    <row r="1117" spans="1:1" x14ac:dyDescent="0.35">
      <c r="A1117" t="s">
        <v>575</v>
      </c>
    </row>
    <row r="1118" spans="1:1" x14ac:dyDescent="0.35">
      <c r="A1118" t="s">
        <v>578</v>
      </c>
    </row>
    <row r="1119" spans="1:1" x14ac:dyDescent="0.35">
      <c r="A1119" t="s">
        <v>572</v>
      </c>
    </row>
    <row r="1120" spans="1:1" x14ac:dyDescent="0.35">
      <c r="A1120" t="s">
        <v>858</v>
      </c>
    </row>
    <row r="1121" spans="1:1" x14ac:dyDescent="0.35">
      <c r="A1121" t="s">
        <v>639</v>
      </c>
    </row>
    <row r="1122" spans="1:1" x14ac:dyDescent="0.35">
      <c r="A1122" t="s">
        <v>640</v>
      </c>
    </row>
    <row r="1123" spans="1:1" x14ac:dyDescent="0.35">
      <c r="A1123" t="s">
        <v>508</v>
      </c>
    </row>
    <row r="1124" spans="1:1" x14ac:dyDescent="0.35">
      <c r="A1124" t="s">
        <v>499</v>
      </c>
    </row>
    <row r="1125" spans="1:1" x14ac:dyDescent="0.35">
      <c r="A1125" t="s">
        <v>575</v>
      </c>
    </row>
    <row r="1126" spans="1:1" x14ac:dyDescent="0.35">
      <c r="A1126" t="s">
        <v>578</v>
      </c>
    </row>
    <row r="1127" spans="1:1" x14ac:dyDescent="0.35">
      <c r="A1127" t="s">
        <v>573</v>
      </c>
    </row>
    <row r="1128" spans="1:1" x14ac:dyDescent="0.35">
      <c r="A1128" t="s">
        <v>859</v>
      </c>
    </row>
    <row r="1129" spans="1:1" x14ac:dyDescent="0.35">
      <c r="A1129" t="s">
        <v>639</v>
      </c>
    </row>
    <row r="1130" spans="1:1" x14ac:dyDescent="0.35">
      <c r="A1130" t="s">
        <v>640</v>
      </c>
    </row>
    <row r="1131" spans="1:1" x14ac:dyDescent="0.35">
      <c r="A1131" t="s">
        <v>564</v>
      </c>
    </row>
    <row r="1132" spans="1:1" x14ac:dyDescent="0.35">
      <c r="A1132" t="s">
        <v>579</v>
      </c>
    </row>
    <row r="1133" spans="1:1" x14ac:dyDescent="0.35">
      <c r="A1133" t="s">
        <v>580</v>
      </c>
    </row>
    <row r="1134" spans="1:1" x14ac:dyDescent="0.35">
      <c r="A1134" t="s">
        <v>496</v>
      </c>
    </row>
    <row r="1135" spans="1:1" x14ac:dyDescent="0.35">
      <c r="A1135" t="s">
        <v>864</v>
      </c>
    </row>
    <row r="1136" spans="1:1" x14ac:dyDescent="0.35">
      <c r="A1136" t="s">
        <v>865</v>
      </c>
    </row>
    <row r="1137" spans="1:1" x14ac:dyDescent="0.35">
      <c r="A1137" t="s">
        <v>498</v>
      </c>
    </row>
    <row r="1138" spans="1:1" x14ac:dyDescent="0.35">
      <c r="A1138" t="s">
        <v>499</v>
      </c>
    </row>
    <row r="1139" spans="1:1" x14ac:dyDescent="0.35">
      <c r="A1139" t="s">
        <v>500</v>
      </c>
    </row>
    <row r="1140" spans="1:1" x14ac:dyDescent="0.35">
      <c r="A1140" t="s">
        <v>821</v>
      </c>
    </row>
    <row r="1141" spans="1:1" x14ac:dyDescent="0.35">
      <c r="A1141" t="s">
        <v>866</v>
      </c>
    </row>
    <row r="1142" spans="1:1" x14ac:dyDescent="0.35">
      <c r="A1142" t="s">
        <v>867</v>
      </c>
    </row>
    <row r="1143" spans="1:1" x14ac:dyDescent="0.35">
      <c r="A1143" t="s">
        <v>868</v>
      </c>
    </row>
    <row r="1144" spans="1:1" x14ac:dyDescent="0.35">
      <c r="A1144" t="s">
        <v>869</v>
      </c>
    </row>
    <row r="1145" spans="1:1" x14ac:dyDescent="0.35">
      <c r="A1145" t="s">
        <v>870</v>
      </c>
    </row>
    <row r="1146" spans="1:1" x14ac:dyDescent="0.35">
      <c r="A1146" t="s">
        <v>871</v>
      </c>
    </row>
    <row r="1147" spans="1:1" x14ac:dyDescent="0.35">
      <c r="A1147" t="s">
        <v>508</v>
      </c>
    </row>
    <row r="1148" spans="1:1" x14ac:dyDescent="0.35">
      <c r="A1148" t="s">
        <v>499</v>
      </c>
    </row>
    <row r="1149" spans="1:1" x14ac:dyDescent="0.35">
      <c r="A1149" t="s">
        <v>509</v>
      </c>
    </row>
    <row r="1150" spans="1:1" x14ac:dyDescent="0.35">
      <c r="A1150" t="s">
        <v>821</v>
      </c>
    </row>
    <row r="1151" spans="1:1" x14ac:dyDescent="0.35">
      <c r="A1151" t="s">
        <v>618</v>
      </c>
    </row>
    <row r="1152" spans="1:1" x14ac:dyDescent="0.35">
      <c r="A1152" t="s">
        <v>872</v>
      </c>
    </row>
    <row r="1153" spans="1:1" x14ac:dyDescent="0.35">
      <c r="A1153" t="s">
        <v>873</v>
      </c>
    </row>
    <row r="1154" spans="1:1" x14ac:dyDescent="0.35">
      <c r="A1154" t="s">
        <v>869</v>
      </c>
    </row>
    <row r="1155" spans="1:1" x14ac:dyDescent="0.35">
      <c r="A1155" t="s">
        <v>773</v>
      </c>
    </row>
    <row r="1156" spans="1:1" x14ac:dyDescent="0.35">
      <c r="A1156" t="s">
        <v>874</v>
      </c>
    </row>
    <row r="1157" spans="1:1" x14ac:dyDescent="0.35">
      <c r="A1157" t="s">
        <v>508</v>
      </c>
    </row>
    <row r="1158" spans="1:1" x14ac:dyDescent="0.35">
      <c r="A1158" t="s">
        <v>499</v>
      </c>
    </row>
    <row r="1159" spans="1:1" x14ac:dyDescent="0.35">
      <c r="A1159" t="s">
        <v>517</v>
      </c>
    </row>
    <row r="1160" spans="1:1" x14ac:dyDescent="0.35">
      <c r="A1160" t="s">
        <v>617</v>
      </c>
    </row>
    <row r="1161" spans="1:1" x14ac:dyDescent="0.35">
      <c r="A1161" t="s">
        <v>831</v>
      </c>
    </row>
    <row r="1162" spans="1:1" x14ac:dyDescent="0.35">
      <c r="A1162" t="s">
        <v>875</v>
      </c>
    </row>
    <row r="1163" spans="1:1" x14ac:dyDescent="0.35">
      <c r="A1163" t="s">
        <v>876</v>
      </c>
    </row>
    <row r="1164" spans="1:1" x14ac:dyDescent="0.35">
      <c r="A1164" t="s">
        <v>877</v>
      </c>
    </row>
    <row r="1165" spans="1:1" x14ac:dyDescent="0.35">
      <c r="A1165" t="s">
        <v>835</v>
      </c>
    </row>
    <row r="1166" spans="1:1" x14ac:dyDescent="0.35">
      <c r="A1166" t="s">
        <v>878</v>
      </c>
    </row>
    <row r="1167" spans="1:1" x14ac:dyDescent="0.35">
      <c r="A1167" t="s">
        <v>508</v>
      </c>
    </row>
    <row r="1168" spans="1:1" x14ac:dyDescent="0.35">
      <c r="A1168" t="s">
        <v>499</v>
      </c>
    </row>
    <row r="1169" spans="1:1" x14ac:dyDescent="0.35">
      <c r="A1169" t="s">
        <v>525</v>
      </c>
    </row>
    <row r="1170" spans="1:1" x14ac:dyDescent="0.35">
      <c r="A1170" t="s">
        <v>879</v>
      </c>
    </row>
    <row r="1171" spans="1:1" x14ac:dyDescent="0.35">
      <c r="A1171" t="s">
        <v>759</v>
      </c>
    </row>
    <row r="1172" spans="1:1" x14ac:dyDescent="0.35">
      <c r="A1172" t="s">
        <v>880</v>
      </c>
    </row>
    <row r="1173" spans="1:1" x14ac:dyDescent="0.35">
      <c r="A1173" t="s">
        <v>881</v>
      </c>
    </row>
    <row r="1174" spans="1:1" x14ac:dyDescent="0.35">
      <c r="A1174" t="s">
        <v>877</v>
      </c>
    </row>
    <row r="1175" spans="1:1" x14ac:dyDescent="0.35">
      <c r="A1175" t="s">
        <v>882</v>
      </c>
    </row>
    <row r="1176" spans="1:1" x14ac:dyDescent="0.35">
      <c r="A1176" t="s">
        <v>883</v>
      </c>
    </row>
    <row r="1177" spans="1:1" x14ac:dyDescent="0.35">
      <c r="A1177" t="s">
        <v>508</v>
      </c>
    </row>
    <row r="1178" spans="1:1" x14ac:dyDescent="0.35">
      <c r="A1178" t="s">
        <v>499</v>
      </c>
    </row>
    <row r="1179" spans="1:1" x14ac:dyDescent="0.35">
      <c r="A1179" t="s">
        <v>533</v>
      </c>
    </row>
    <row r="1180" spans="1:1" x14ac:dyDescent="0.35">
      <c r="A1180" t="s">
        <v>518</v>
      </c>
    </row>
    <row r="1181" spans="1:1" x14ac:dyDescent="0.35">
      <c r="A1181" t="s">
        <v>753</v>
      </c>
    </row>
    <row r="1182" spans="1:1" x14ac:dyDescent="0.35">
      <c r="A1182" t="s">
        <v>884</v>
      </c>
    </row>
    <row r="1183" spans="1:1" x14ac:dyDescent="0.35">
      <c r="A1183" t="s">
        <v>885</v>
      </c>
    </row>
    <row r="1184" spans="1:1" x14ac:dyDescent="0.35">
      <c r="A1184" t="s">
        <v>886</v>
      </c>
    </row>
    <row r="1185" spans="1:1" x14ac:dyDescent="0.35">
      <c r="A1185" t="s">
        <v>887</v>
      </c>
    </row>
    <row r="1186" spans="1:1" x14ac:dyDescent="0.35">
      <c r="A1186" t="s">
        <v>888</v>
      </c>
    </row>
    <row r="1187" spans="1:1" x14ac:dyDescent="0.35">
      <c r="A1187" t="s">
        <v>508</v>
      </c>
    </row>
    <row r="1188" spans="1:1" x14ac:dyDescent="0.35">
      <c r="A1188" t="s">
        <v>499</v>
      </c>
    </row>
    <row r="1189" spans="1:1" x14ac:dyDescent="0.35">
      <c r="A1189" t="s">
        <v>541</v>
      </c>
    </row>
    <row r="1190" spans="1:1" x14ac:dyDescent="0.35">
      <c r="A1190" t="s">
        <v>617</v>
      </c>
    </row>
    <row r="1191" spans="1:1" x14ac:dyDescent="0.35">
      <c r="A1191" t="s">
        <v>527</v>
      </c>
    </row>
    <row r="1192" spans="1:1" x14ac:dyDescent="0.35">
      <c r="A1192" t="s">
        <v>889</v>
      </c>
    </row>
    <row r="1193" spans="1:1" x14ac:dyDescent="0.35">
      <c r="A1193" t="s">
        <v>890</v>
      </c>
    </row>
    <row r="1194" spans="1:1" x14ac:dyDescent="0.35">
      <c r="A1194" t="s">
        <v>891</v>
      </c>
    </row>
    <row r="1195" spans="1:1" x14ac:dyDescent="0.35">
      <c r="A1195" t="s">
        <v>714</v>
      </c>
    </row>
    <row r="1196" spans="1:1" x14ac:dyDescent="0.35">
      <c r="A1196" t="s">
        <v>849</v>
      </c>
    </row>
    <row r="1197" spans="1:1" x14ac:dyDescent="0.35">
      <c r="A1197" t="s">
        <v>508</v>
      </c>
    </row>
    <row r="1198" spans="1:1" x14ac:dyDescent="0.35">
      <c r="A1198" t="s">
        <v>499</v>
      </c>
    </row>
    <row r="1199" spans="1:1" x14ac:dyDescent="0.35">
      <c r="A1199" t="s">
        <v>549</v>
      </c>
    </row>
    <row r="1200" spans="1:1" x14ac:dyDescent="0.35">
      <c r="A1200" t="s">
        <v>810</v>
      </c>
    </row>
    <row r="1201" spans="1:1" x14ac:dyDescent="0.35">
      <c r="A1201" t="s">
        <v>511</v>
      </c>
    </row>
    <row r="1202" spans="1:1" x14ac:dyDescent="0.35">
      <c r="A1202" t="s">
        <v>892</v>
      </c>
    </row>
    <row r="1203" spans="1:1" x14ac:dyDescent="0.35">
      <c r="A1203" t="s">
        <v>893</v>
      </c>
    </row>
    <row r="1204" spans="1:1" x14ac:dyDescent="0.35">
      <c r="A1204" t="s">
        <v>891</v>
      </c>
    </row>
    <row r="1205" spans="1:1" x14ac:dyDescent="0.35">
      <c r="A1205" t="s">
        <v>894</v>
      </c>
    </row>
    <row r="1206" spans="1:1" x14ac:dyDescent="0.35">
      <c r="A1206" t="s">
        <v>895</v>
      </c>
    </row>
    <row r="1207" spans="1:1" x14ac:dyDescent="0.35">
      <c r="A1207" t="s">
        <v>508</v>
      </c>
    </row>
    <row r="1208" spans="1:1" x14ac:dyDescent="0.35">
      <c r="A1208" t="s">
        <v>499</v>
      </c>
    </row>
    <row r="1209" spans="1:1" x14ac:dyDescent="0.35">
      <c r="A1209" t="s">
        <v>556</v>
      </c>
    </row>
    <row r="1210" spans="1:1" x14ac:dyDescent="0.35">
      <c r="A1210" t="s">
        <v>896</v>
      </c>
    </row>
    <row r="1211" spans="1:1" x14ac:dyDescent="0.35">
      <c r="A1211" t="s">
        <v>511</v>
      </c>
    </row>
    <row r="1212" spans="1:1" x14ac:dyDescent="0.35">
      <c r="A1212" t="s">
        <v>897</v>
      </c>
    </row>
    <row r="1213" spans="1:1" x14ac:dyDescent="0.35">
      <c r="A1213" t="s">
        <v>898</v>
      </c>
    </row>
    <row r="1214" spans="1:1" x14ac:dyDescent="0.35">
      <c r="A1214" t="s">
        <v>899</v>
      </c>
    </row>
    <row r="1215" spans="1:1" x14ac:dyDescent="0.35">
      <c r="A1215" t="s">
        <v>900</v>
      </c>
    </row>
    <row r="1216" spans="1:1" x14ac:dyDescent="0.35">
      <c r="A1216" t="s">
        <v>901</v>
      </c>
    </row>
    <row r="1217" spans="1:1" x14ac:dyDescent="0.35">
      <c r="A1217" t="s">
        <v>564</v>
      </c>
    </row>
    <row r="1218" spans="1:1" x14ac:dyDescent="0.35">
      <c r="A1218" t="s">
        <v>565</v>
      </c>
    </row>
    <row r="1219" spans="1:1" x14ac:dyDescent="0.35">
      <c r="A1219" t="s">
        <v>566</v>
      </c>
    </row>
    <row r="1220" spans="1:1" x14ac:dyDescent="0.35">
      <c r="A1220" t="s">
        <v>499</v>
      </c>
    </row>
    <row r="1221" spans="1:1" x14ac:dyDescent="0.35">
      <c r="A1221" t="s">
        <v>567</v>
      </c>
    </row>
    <row r="1222" spans="1:1" x14ac:dyDescent="0.35">
      <c r="A1222" t="s">
        <v>568</v>
      </c>
    </row>
    <row r="1223" spans="1:1" x14ac:dyDescent="0.35">
      <c r="A1223" t="s">
        <v>569</v>
      </c>
    </row>
    <row r="1224" spans="1:1" x14ac:dyDescent="0.35">
      <c r="A1224" t="s">
        <v>902</v>
      </c>
    </row>
    <row r="1225" spans="1:1" x14ac:dyDescent="0.35">
      <c r="A1225" t="s">
        <v>903</v>
      </c>
    </row>
    <row r="1226" spans="1:1" x14ac:dyDescent="0.35">
      <c r="A1226" t="s">
        <v>571</v>
      </c>
    </row>
    <row r="1227" spans="1:1" x14ac:dyDescent="0.35">
      <c r="A1227" t="s">
        <v>508</v>
      </c>
    </row>
    <row r="1228" spans="1:1" x14ac:dyDescent="0.35">
      <c r="A1228" t="s">
        <v>499</v>
      </c>
    </row>
    <row r="1229" spans="1:1" x14ac:dyDescent="0.35">
      <c r="A1229" t="s">
        <v>567</v>
      </c>
    </row>
    <row r="1230" spans="1:1" x14ac:dyDescent="0.35">
      <c r="A1230" t="s">
        <v>568</v>
      </c>
    </row>
    <row r="1231" spans="1:1" x14ac:dyDescent="0.35">
      <c r="A1231" t="s">
        <v>572</v>
      </c>
    </row>
    <row r="1232" spans="1:1" x14ac:dyDescent="0.35">
      <c r="A1232" t="s">
        <v>904</v>
      </c>
    </row>
    <row r="1233" spans="1:1" x14ac:dyDescent="0.35">
      <c r="A1233" t="s">
        <v>905</v>
      </c>
    </row>
    <row r="1234" spans="1:1" x14ac:dyDescent="0.35">
      <c r="A1234" t="s">
        <v>906</v>
      </c>
    </row>
    <row r="1235" spans="1:1" x14ac:dyDescent="0.35">
      <c r="A1235" t="s">
        <v>508</v>
      </c>
    </row>
    <row r="1236" spans="1:1" x14ac:dyDescent="0.35">
      <c r="A1236" t="s">
        <v>499</v>
      </c>
    </row>
    <row r="1237" spans="1:1" x14ac:dyDescent="0.35">
      <c r="A1237" t="s">
        <v>567</v>
      </c>
    </row>
    <row r="1238" spans="1:1" x14ac:dyDescent="0.35">
      <c r="A1238" t="s">
        <v>568</v>
      </c>
    </row>
    <row r="1239" spans="1:1" x14ac:dyDescent="0.35">
      <c r="A1239" t="s">
        <v>573</v>
      </c>
    </row>
    <row r="1240" spans="1:1" x14ac:dyDescent="0.35">
      <c r="A1240" t="s">
        <v>907</v>
      </c>
    </row>
    <row r="1241" spans="1:1" x14ac:dyDescent="0.35">
      <c r="A1241" t="s">
        <v>908</v>
      </c>
    </row>
    <row r="1242" spans="1:1" x14ac:dyDescent="0.35">
      <c r="A1242" t="s">
        <v>909</v>
      </c>
    </row>
    <row r="1243" spans="1:1" x14ac:dyDescent="0.35">
      <c r="A1243" t="s">
        <v>564</v>
      </c>
    </row>
    <row r="1244" spans="1:1" x14ac:dyDescent="0.35">
      <c r="A1244" t="s">
        <v>565</v>
      </c>
    </row>
    <row r="1245" spans="1:1" x14ac:dyDescent="0.35">
      <c r="A1245" t="s">
        <v>574</v>
      </c>
    </row>
    <row r="1246" spans="1:1" x14ac:dyDescent="0.35">
      <c r="A1246" t="s">
        <v>499</v>
      </c>
    </row>
    <row r="1247" spans="1:1" x14ac:dyDescent="0.35">
      <c r="A1247" t="s">
        <v>575</v>
      </c>
    </row>
    <row r="1248" spans="1:1" x14ac:dyDescent="0.35">
      <c r="A1248" t="s">
        <v>576</v>
      </c>
    </row>
    <row r="1249" spans="1:1" x14ac:dyDescent="0.35">
      <c r="A1249" t="s">
        <v>569</v>
      </c>
    </row>
    <row r="1250" spans="1:1" x14ac:dyDescent="0.35">
      <c r="A1250" t="s">
        <v>910</v>
      </c>
    </row>
    <row r="1251" spans="1:1" x14ac:dyDescent="0.35">
      <c r="A1251" t="s">
        <v>911</v>
      </c>
    </row>
    <row r="1252" spans="1:1" x14ac:dyDescent="0.35">
      <c r="A1252" t="s">
        <v>912</v>
      </c>
    </row>
    <row r="1253" spans="1:1" x14ac:dyDescent="0.35">
      <c r="A1253" t="s">
        <v>508</v>
      </c>
    </row>
    <row r="1254" spans="1:1" x14ac:dyDescent="0.35">
      <c r="A1254" t="s">
        <v>499</v>
      </c>
    </row>
    <row r="1255" spans="1:1" x14ac:dyDescent="0.35">
      <c r="A1255" t="s">
        <v>575</v>
      </c>
    </row>
    <row r="1256" spans="1:1" x14ac:dyDescent="0.35">
      <c r="A1256" t="s">
        <v>576</v>
      </c>
    </row>
    <row r="1257" spans="1:1" x14ac:dyDescent="0.35">
      <c r="A1257" t="s">
        <v>572</v>
      </c>
    </row>
    <row r="1258" spans="1:1" x14ac:dyDescent="0.35">
      <c r="A1258" t="s">
        <v>913</v>
      </c>
    </row>
    <row r="1259" spans="1:1" x14ac:dyDescent="0.35">
      <c r="A1259" t="s">
        <v>914</v>
      </c>
    </row>
    <row r="1260" spans="1:1" x14ac:dyDescent="0.35">
      <c r="A1260" t="s">
        <v>861</v>
      </c>
    </row>
    <row r="1261" spans="1:1" x14ac:dyDescent="0.35">
      <c r="A1261" t="s">
        <v>508</v>
      </c>
    </row>
    <row r="1262" spans="1:1" x14ac:dyDescent="0.35">
      <c r="A1262" t="s">
        <v>499</v>
      </c>
    </row>
    <row r="1263" spans="1:1" x14ac:dyDescent="0.35">
      <c r="A1263" t="s">
        <v>575</v>
      </c>
    </row>
    <row r="1264" spans="1:1" x14ac:dyDescent="0.35">
      <c r="A1264" t="s">
        <v>576</v>
      </c>
    </row>
    <row r="1265" spans="1:1" x14ac:dyDescent="0.35">
      <c r="A1265" t="s">
        <v>573</v>
      </c>
    </row>
    <row r="1266" spans="1:1" x14ac:dyDescent="0.35">
      <c r="A1266" t="s">
        <v>915</v>
      </c>
    </row>
    <row r="1267" spans="1:1" x14ac:dyDescent="0.35">
      <c r="A1267" t="s">
        <v>639</v>
      </c>
    </row>
    <row r="1268" spans="1:1" x14ac:dyDescent="0.35">
      <c r="A1268" t="s">
        <v>640</v>
      </c>
    </row>
    <row r="1269" spans="1:1" x14ac:dyDescent="0.35">
      <c r="A1269" t="s">
        <v>508</v>
      </c>
    </row>
    <row r="1270" spans="1:1" x14ac:dyDescent="0.35">
      <c r="A1270" t="s">
        <v>499</v>
      </c>
    </row>
    <row r="1271" spans="1:1" x14ac:dyDescent="0.35">
      <c r="A1271" t="s">
        <v>575</v>
      </c>
    </row>
    <row r="1272" spans="1:1" x14ac:dyDescent="0.35">
      <c r="A1272" t="s">
        <v>577</v>
      </c>
    </row>
    <row r="1273" spans="1:1" x14ac:dyDescent="0.35">
      <c r="A1273" t="s">
        <v>569</v>
      </c>
    </row>
    <row r="1274" spans="1:1" x14ac:dyDescent="0.35">
      <c r="A1274" t="s">
        <v>910</v>
      </c>
    </row>
    <row r="1275" spans="1:1" x14ac:dyDescent="0.35">
      <c r="A1275" t="s">
        <v>911</v>
      </c>
    </row>
    <row r="1276" spans="1:1" x14ac:dyDescent="0.35">
      <c r="A1276" t="s">
        <v>912</v>
      </c>
    </row>
    <row r="1277" spans="1:1" x14ac:dyDescent="0.35">
      <c r="A1277" t="s">
        <v>508</v>
      </c>
    </row>
    <row r="1278" spans="1:1" x14ac:dyDescent="0.35">
      <c r="A1278" t="s">
        <v>499</v>
      </c>
    </row>
    <row r="1279" spans="1:1" x14ac:dyDescent="0.35">
      <c r="A1279" t="s">
        <v>575</v>
      </c>
    </row>
    <row r="1280" spans="1:1" x14ac:dyDescent="0.35">
      <c r="A1280" t="s">
        <v>577</v>
      </c>
    </row>
    <row r="1281" spans="1:1" x14ac:dyDescent="0.35">
      <c r="A1281" t="s">
        <v>572</v>
      </c>
    </row>
    <row r="1282" spans="1:1" x14ac:dyDescent="0.35">
      <c r="A1282" t="s">
        <v>913</v>
      </c>
    </row>
    <row r="1283" spans="1:1" x14ac:dyDescent="0.35">
      <c r="A1283" t="s">
        <v>639</v>
      </c>
    </row>
    <row r="1284" spans="1:1" x14ac:dyDescent="0.35">
      <c r="A1284" t="s">
        <v>640</v>
      </c>
    </row>
    <row r="1285" spans="1:1" x14ac:dyDescent="0.35">
      <c r="A1285" t="s">
        <v>508</v>
      </c>
    </row>
    <row r="1286" spans="1:1" x14ac:dyDescent="0.35">
      <c r="A1286" t="s">
        <v>499</v>
      </c>
    </row>
    <row r="1287" spans="1:1" x14ac:dyDescent="0.35">
      <c r="A1287" t="s">
        <v>575</v>
      </c>
    </row>
    <row r="1288" spans="1:1" x14ac:dyDescent="0.35">
      <c r="A1288" t="s">
        <v>577</v>
      </c>
    </row>
    <row r="1289" spans="1:1" x14ac:dyDescent="0.35">
      <c r="A1289" t="s">
        <v>573</v>
      </c>
    </row>
    <row r="1290" spans="1:1" x14ac:dyDescent="0.35">
      <c r="A1290" t="s">
        <v>915</v>
      </c>
    </row>
    <row r="1291" spans="1:1" x14ac:dyDescent="0.35">
      <c r="A1291" t="s">
        <v>639</v>
      </c>
    </row>
    <row r="1292" spans="1:1" x14ac:dyDescent="0.35">
      <c r="A1292" t="s">
        <v>640</v>
      </c>
    </row>
    <row r="1293" spans="1:1" x14ac:dyDescent="0.35">
      <c r="A1293" t="s">
        <v>508</v>
      </c>
    </row>
    <row r="1294" spans="1:1" x14ac:dyDescent="0.35">
      <c r="A1294" t="s">
        <v>499</v>
      </c>
    </row>
    <row r="1295" spans="1:1" x14ac:dyDescent="0.35">
      <c r="A1295" t="s">
        <v>575</v>
      </c>
    </row>
    <row r="1296" spans="1:1" x14ac:dyDescent="0.35">
      <c r="A1296" t="s">
        <v>578</v>
      </c>
    </row>
    <row r="1297" spans="1:1" x14ac:dyDescent="0.35">
      <c r="A1297" t="s">
        <v>569</v>
      </c>
    </row>
    <row r="1298" spans="1:1" x14ac:dyDescent="0.35">
      <c r="A1298" t="s">
        <v>910</v>
      </c>
    </row>
    <row r="1299" spans="1:1" x14ac:dyDescent="0.35">
      <c r="A1299" t="s">
        <v>639</v>
      </c>
    </row>
    <row r="1300" spans="1:1" x14ac:dyDescent="0.35">
      <c r="A1300" t="s">
        <v>640</v>
      </c>
    </row>
    <row r="1301" spans="1:1" x14ac:dyDescent="0.35">
      <c r="A1301" t="s">
        <v>508</v>
      </c>
    </row>
    <row r="1302" spans="1:1" x14ac:dyDescent="0.35">
      <c r="A1302" t="s">
        <v>499</v>
      </c>
    </row>
    <row r="1303" spans="1:1" x14ac:dyDescent="0.35">
      <c r="A1303" t="s">
        <v>575</v>
      </c>
    </row>
    <row r="1304" spans="1:1" x14ac:dyDescent="0.35">
      <c r="A1304" t="s">
        <v>578</v>
      </c>
    </row>
    <row r="1305" spans="1:1" x14ac:dyDescent="0.35">
      <c r="A1305" t="s">
        <v>572</v>
      </c>
    </row>
    <row r="1306" spans="1:1" x14ac:dyDescent="0.35">
      <c r="A1306" t="s">
        <v>913</v>
      </c>
    </row>
    <row r="1307" spans="1:1" x14ac:dyDescent="0.35">
      <c r="A1307" t="s">
        <v>916</v>
      </c>
    </row>
    <row r="1308" spans="1:1" x14ac:dyDescent="0.35">
      <c r="A1308" t="s">
        <v>633</v>
      </c>
    </row>
    <row r="1309" spans="1:1" x14ac:dyDescent="0.35">
      <c r="A1309" t="s">
        <v>508</v>
      </c>
    </row>
    <row r="1310" spans="1:1" x14ac:dyDescent="0.35">
      <c r="A1310" t="s">
        <v>499</v>
      </c>
    </row>
    <row r="1311" spans="1:1" x14ac:dyDescent="0.35">
      <c r="A1311" t="s">
        <v>575</v>
      </c>
    </row>
    <row r="1312" spans="1:1" x14ac:dyDescent="0.35">
      <c r="A1312" t="s">
        <v>578</v>
      </c>
    </row>
    <row r="1313" spans="1:1" x14ac:dyDescent="0.35">
      <c r="A1313" t="s">
        <v>573</v>
      </c>
    </row>
    <row r="1314" spans="1:1" x14ac:dyDescent="0.35">
      <c r="A1314" t="s">
        <v>915</v>
      </c>
    </row>
    <row r="1315" spans="1:1" x14ac:dyDescent="0.35">
      <c r="A1315" t="s">
        <v>639</v>
      </c>
    </row>
    <row r="1316" spans="1:1" x14ac:dyDescent="0.35">
      <c r="A1316" t="s">
        <v>640</v>
      </c>
    </row>
    <row r="1317" spans="1:1" x14ac:dyDescent="0.35">
      <c r="A1317" t="s">
        <v>564</v>
      </c>
    </row>
    <row r="1318" spans="1:1" x14ac:dyDescent="0.35">
      <c r="A1318" t="s">
        <v>579</v>
      </c>
    </row>
    <row r="1319" spans="1:1" x14ac:dyDescent="0.35">
      <c r="A1319" t="s">
        <v>580</v>
      </c>
    </row>
    <row r="1320" spans="1:1" x14ac:dyDescent="0.35">
      <c r="A1320" t="s">
        <v>496</v>
      </c>
    </row>
    <row r="1321" spans="1:1" x14ac:dyDescent="0.35">
      <c r="A1321" t="s">
        <v>917</v>
      </c>
    </row>
    <row r="1322" spans="1:1" x14ac:dyDescent="0.35">
      <c r="A1322" t="s">
        <v>918</v>
      </c>
    </row>
    <row r="1323" spans="1:1" x14ac:dyDescent="0.35">
      <c r="A1323" t="s">
        <v>498</v>
      </c>
    </row>
    <row r="1324" spans="1:1" x14ac:dyDescent="0.35">
      <c r="A1324" t="s">
        <v>499</v>
      </c>
    </row>
    <row r="1325" spans="1:1" x14ac:dyDescent="0.35">
      <c r="A1325" t="s">
        <v>500</v>
      </c>
    </row>
    <row r="1326" spans="1:1" x14ac:dyDescent="0.35">
      <c r="A1326" t="s">
        <v>919</v>
      </c>
    </row>
    <row r="1327" spans="1:1" x14ac:dyDescent="0.35">
      <c r="A1327" t="s">
        <v>527</v>
      </c>
    </row>
    <row r="1328" spans="1:1" x14ac:dyDescent="0.35">
      <c r="A1328" t="s">
        <v>920</v>
      </c>
    </row>
    <row r="1329" spans="1:1" x14ac:dyDescent="0.35">
      <c r="A1329" t="s">
        <v>921</v>
      </c>
    </row>
    <row r="1330" spans="1:1" x14ac:dyDescent="0.35">
      <c r="A1330" t="s">
        <v>922</v>
      </c>
    </row>
    <row r="1331" spans="1:1" x14ac:dyDescent="0.35">
      <c r="A1331" t="s">
        <v>923</v>
      </c>
    </row>
    <row r="1332" spans="1:1" x14ac:dyDescent="0.35">
      <c r="A1332" t="s">
        <v>883</v>
      </c>
    </row>
    <row r="1333" spans="1:1" x14ac:dyDescent="0.35">
      <c r="A1333" t="s">
        <v>508</v>
      </c>
    </row>
    <row r="1334" spans="1:1" x14ac:dyDescent="0.35">
      <c r="A1334" t="s">
        <v>499</v>
      </c>
    </row>
    <row r="1335" spans="1:1" x14ac:dyDescent="0.35">
      <c r="A1335" t="s">
        <v>509</v>
      </c>
    </row>
    <row r="1336" spans="1:1" x14ac:dyDescent="0.35">
      <c r="A1336" t="s">
        <v>645</v>
      </c>
    </row>
    <row r="1337" spans="1:1" x14ac:dyDescent="0.35">
      <c r="A1337" t="s">
        <v>924</v>
      </c>
    </row>
    <row r="1338" spans="1:1" x14ac:dyDescent="0.35">
      <c r="A1338" t="s">
        <v>925</v>
      </c>
    </row>
    <row r="1339" spans="1:1" x14ac:dyDescent="0.35">
      <c r="A1339" t="s">
        <v>926</v>
      </c>
    </row>
    <row r="1340" spans="1:1" x14ac:dyDescent="0.35">
      <c r="A1340" t="s">
        <v>927</v>
      </c>
    </row>
    <row r="1341" spans="1:1" x14ac:dyDescent="0.35">
      <c r="A1341" t="s">
        <v>928</v>
      </c>
    </row>
    <row r="1342" spans="1:1" x14ac:dyDescent="0.35">
      <c r="A1342" t="s">
        <v>929</v>
      </c>
    </row>
    <row r="1343" spans="1:1" x14ac:dyDescent="0.35">
      <c r="A1343" t="s">
        <v>508</v>
      </c>
    </row>
    <row r="1344" spans="1:1" x14ac:dyDescent="0.35">
      <c r="A1344" t="s">
        <v>499</v>
      </c>
    </row>
    <row r="1345" spans="1:1" x14ac:dyDescent="0.35">
      <c r="A1345" t="s">
        <v>517</v>
      </c>
    </row>
    <row r="1346" spans="1:1" x14ac:dyDescent="0.35">
      <c r="A1346" t="s">
        <v>821</v>
      </c>
    </row>
    <row r="1347" spans="1:1" x14ac:dyDescent="0.35">
      <c r="A1347" t="s">
        <v>527</v>
      </c>
    </row>
    <row r="1348" spans="1:1" x14ac:dyDescent="0.35">
      <c r="A1348" t="s">
        <v>930</v>
      </c>
    </row>
    <row r="1349" spans="1:1" x14ac:dyDescent="0.35">
      <c r="A1349" t="s">
        <v>931</v>
      </c>
    </row>
    <row r="1350" spans="1:1" x14ac:dyDescent="0.35">
      <c r="A1350" t="s">
        <v>932</v>
      </c>
    </row>
    <row r="1351" spans="1:1" x14ac:dyDescent="0.35">
      <c r="A1351" t="s">
        <v>933</v>
      </c>
    </row>
    <row r="1352" spans="1:1" x14ac:dyDescent="0.35">
      <c r="A1352" t="s">
        <v>934</v>
      </c>
    </row>
    <row r="1353" spans="1:1" x14ac:dyDescent="0.35">
      <c r="A1353" t="s">
        <v>508</v>
      </c>
    </row>
    <row r="1354" spans="1:1" x14ac:dyDescent="0.35">
      <c r="A1354" t="s">
        <v>499</v>
      </c>
    </row>
    <row r="1355" spans="1:1" x14ac:dyDescent="0.35">
      <c r="A1355" t="s">
        <v>525</v>
      </c>
    </row>
    <row r="1356" spans="1:1" x14ac:dyDescent="0.35">
      <c r="A1356" t="s">
        <v>810</v>
      </c>
    </row>
    <row r="1357" spans="1:1" x14ac:dyDescent="0.35">
      <c r="A1357" t="s">
        <v>753</v>
      </c>
    </row>
    <row r="1358" spans="1:1" x14ac:dyDescent="0.35">
      <c r="A1358" t="s">
        <v>935</v>
      </c>
    </row>
    <row r="1359" spans="1:1" x14ac:dyDescent="0.35">
      <c r="A1359" t="s">
        <v>936</v>
      </c>
    </row>
    <row r="1360" spans="1:1" x14ac:dyDescent="0.35">
      <c r="A1360" t="s">
        <v>937</v>
      </c>
    </row>
    <row r="1361" spans="1:1" x14ac:dyDescent="0.35">
      <c r="A1361" t="s">
        <v>928</v>
      </c>
    </row>
    <row r="1362" spans="1:1" x14ac:dyDescent="0.35">
      <c r="A1362" t="s">
        <v>938</v>
      </c>
    </row>
    <row r="1363" spans="1:1" x14ac:dyDescent="0.35">
      <c r="A1363" t="s">
        <v>508</v>
      </c>
    </row>
    <row r="1364" spans="1:1" x14ac:dyDescent="0.35">
      <c r="A1364" t="s">
        <v>499</v>
      </c>
    </row>
    <row r="1365" spans="1:1" x14ac:dyDescent="0.35">
      <c r="A1365" t="s">
        <v>533</v>
      </c>
    </row>
    <row r="1366" spans="1:1" x14ac:dyDescent="0.35">
      <c r="A1366" t="s">
        <v>779</v>
      </c>
    </row>
    <row r="1367" spans="1:1" x14ac:dyDescent="0.35">
      <c r="A1367" t="s">
        <v>543</v>
      </c>
    </row>
    <row r="1368" spans="1:1" x14ac:dyDescent="0.35">
      <c r="A1368" t="s">
        <v>939</v>
      </c>
    </row>
    <row r="1369" spans="1:1" x14ac:dyDescent="0.35">
      <c r="A1369" t="s">
        <v>940</v>
      </c>
    </row>
    <row r="1370" spans="1:1" x14ac:dyDescent="0.35">
      <c r="A1370" t="s">
        <v>941</v>
      </c>
    </row>
    <row r="1371" spans="1:1" x14ac:dyDescent="0.35">
      <c r="A1371" t="s">
        <v>942</v>
      </c>
    </row>
    <row r="1372" spans="1:1" x14ac:dyDescent="0.35">
      <c r="A1372" t="s">
        <v>943</v>
      </c>
    </row>
    <row r="1373" spans="1:1" x14ac:dyDescent="0.35">
      <c r="A1373" t="s">
        <v>508</v>
      </c>
    </row>
    <row r="1374" spans="1:1" x14ac:dyDescent="0.35">
      <c r="A1374" t="s">
        <v>499</v>
      </c>
    </row>
    <row r="1375" spans="1:1" x14ac:dyDescent="0.35">
      <c r="A1375" t="s">
        <v>541</v>
      </c>
    </row>
    <row r="1376" spans="1:1" x14ac:dyDescent="0.35">
      <c r="A1376" t="s">
        <v>810</v>
      </c>
    </row>
    <row r="1377" spans="1:1" x14ac:dyDescent="0.35">
      <c r="A1377" t="s">
        <v>944</v>
      </c>
    </row>
    <row r="1378" spans="1:1" x14ac:dyDescent="0.35">
      <c r="A1378" t="s">
        <v>945</v>
      </c>
    </row>
    <row r="1379" spans="1:1" x14ac:dyDescent="0.35">
      <c r="A1379" t="s">
        <v>946</v>
      </c>
    </row>
    <row r="1380" spans="1:1" x14ac:dyDescent="0.35">
      <c r="A1380" t="s">
        <v>947</v>
      </c>
    </row>
    <row r="1381" spans="1:1" x14ac:dyDescent="0.35">
      <c r="A1381" t="s">
        <v>948</v>
      </c>
    </row>
    <row r="1382" spans="1:1" x14ac:dyDescent="0.35">
      <c r="A1382" t="s">
        <v>949</v>
      </c>
    </row>
    <row r="1383" spans="1:1" x14ac:dyDescent="0.35">
      <c r="A1383" t="s">
        <v>508</v>
      </c>
    </row>
    <row r="1384" spans="1:1" x14ac:dyDescent="0.35">
      <c r="A1384" t="s">
        <v>499</v>
      </c>
    </row>
    <row r="1385" spans="1:1" x14ac:dyDescent="0.35">
      <c r="A1385" t="s">
        <v>549</v>
      </c>
    </row>
    <row r="1386" spans="1:1" x14ac:dyDescent="0.35">
      <c r="A1386" t="s">
        <v>645</v>
      </c>
    </row>
    <row r="1387" spans="1:1" x14ac:dyDescent="0.35">
      <c r="A1387" t="s">
        <v>764</v>
      </c>
    </row>
    <row r="1388" spans="1:1" x14ac:dyDescent="0.35">
      <c r="A1388" t="s">
        <v>950</v>
      </c>
    </row>
    <row r="1389" spans="1:1" x14ac:dyDescent="0.35">
      <c r="A1389" t="s">
        <v>951</v>
      </c>
    </row>
    <row r="1390" spans="1:1" x14ac:dyDescent="0.35">
      <c r="A1390" t="s">
        <v>952</v>
      </c>
    </row>
    <row r="1391" spans="1:1" x14ac:dyDescent="0.35">
      <c r="A1391" t="s">
        <v>953</v>
      </c>
    </row>
    <row r="1392" spans="1:1" x14ac:dyDescent="0.35">
      <c r="A1392" t="s">
        <v>954</v>
      </c>
    </row>
    <row r="1393" spans="1:1" x14ac:dyDescent="0.35">
      <c r="A1393" t="s">
        <v>508</v>
      </c>
    </row>
    <row r="1394" spans="1:1" x14ac:dyDescent="0.35">
      <c r="A1394" t="s">
        <v>499</v>
      </c>
    </row>
    <row r="1395" spans="1:1" x14ac:dyDescent="0.35">
      <c r="A1395" t="s">
        <v>556</v>
      </c>
    </row>
    <row r="1396" spans="1:1" x14ac:dyDescent="0.35">
      <c r="A1396" t="s">
        <v>784</v>
      </c>
    </row>
    <row r="1397" spans="1:1" x14ac:dyDescent="0.35">
      <c r="A1397" t="s">
        <v>583</v>
      </c>
    </row>
    <row r="1398" spans="1:1" x14ac:dyDescent="0.35">
      <c r="A1398" t="s">
        <v>955</v>
      </c>
    </row>
    <row r="1399" spans="1:1" x14ac:dyDescent="0.35">
      <c r="A1399" t="s">
        <v>956</v>
      </c>
    </row>
    <row r="1400" spans="1:1" x14ac:dyDescent="0.35">
      <c r="A1400" t="s">
        <v>957</v>
      </c>
    </row>
    <row r="1401" spans="1:1" x14ac:dyDescent="0.35">
      <c r="A1401" t="s">
        <v>900</v>
      </c>
    </row>
    <row r="1402" spans="1:1" x14ac:dyDescent="0.35">
      <c r="A1402" t="s">
        <v>958</v>
      </c>
    </row>
    <row r="1403" spans="1:1" x14ac:dyDescent="0.35">
      <c r="A1403" t="s">
        <v>564</v>
      </c>
    </row>
    <row r="1404" spans="1:1" x14ac:dyDescent="0.35">
      <c r="A1404" t="s">
        <v>565</v>
      </c>
    </row>
    <row r="1405" spans="1:1" x14ac:dyDescent="0.35">
      <c r="A1405" t="s">
        <v>566</v>
      </c>
    </row>
    <row r="1406" spans="1:1" x14ac:dyDescent="0.35">
      <c r="A1406" t="s">
        <v>499</v>
      </c>
    </row>
    <row r="1407" spans="1:1" x14ac:dyDescent="0.35">
      <c r="A1407" t="s">
        <v>567</v>
      </c>
    </row>
    <row r="1408" spans="1:1" x14ac:dyDescent="0.35">
      <c r="A1408" t="s">
        <v>568</v>
      </c>
    </row>
    <row r="1409" spans="1:1" x14ac:dyDescent="0.35">
      <c r="A1409" t="s">
        <v>569</v>
      </c>
    </row>
    <row r="1410" spans="1:1" x14ac:dyDescent="0.35">
      <c r="A1410" t="s">
        <v>959</v>
      </c>
    </row>
    <row r="1411" spans="1:1" x14ac:dyDescent="0.35">
      <c r="A1411" t="s">
        <v>960</v>
      </c>
    </row>
    <row r="1412" spans="1:1" x14ac:dyDescent="0.35">
      <c r="A1412" t="s">
        <v>804</v>
      </c>
    </row>
    <row r="1413" spans="1:1" x14ac:dyDescent="0.35">
      <c r="A1413" t="s">
        <v>508</v>
      </c>
    </row>
    <row r="1414" spans="1:1" x14ac:dyDescent="0.35">
      <c r="A1414" t="s">
        <v>499</v>
      </c>
    </row>
    <row r="1415" spans="1:1" x14ac:dyDescent="0.35">
      <c r="A1415" t="s">
        <v>567</v>
      </c>
    </row>
    <row r="1416" spans="1:1" x14ac:dyDescent="0.35">
      <c r="A1416" t="s">
        <v>568</v>
      </c>
    </row>
    <row r="1417" spans="1:1" x14ac:dyDescent="0.35">
      <c r="A1417" t="s">
        <v>572</v>
      </c>
    </row>
    <row r="1418" spans="1:1" x14ac:dyDescent="0.35">
      <c r="A1418" t="s">
        <v>961</v>
      </c>
    </row>
    <row r="1419" spans="1:1" x14ac:dyDescent="0.35">
      <c r="A1419" t="s">
        <v>962</v>
      </c>
    </row>
    <row r="1420" spans="1:1" x14ac:dyDescent="0.35">
      <c r="A1420" t="s">
        <v>633</v>
      </c>
    </row>
    <row r="1421" spans="1:1" x14ac:dyDescent="0.35">
      <c r="A1421" t="s">
        <v>508</v>
      </c>
    </row>
    <row r="1422" spans="1:1" x14ac:dyDescent="0.35">
      <c r="A1422" t="s">
        <v>499</v>
      </c>
    </row>
    <row r="1423" spans="1:1" x14ac:dyDescent="0.35">
      <c r="A1423" t="s">
        <v>567</v>
      </c>
    </row>
    <row r="1424" spans="1:1" x14ac:dyDescent="0.35">
      <c r="A1424" t="s">
        <v>568</v>
      </c>
    </row>
    <row r="1425" spans="1:1" x14ac:dyDescent="0.35">
      <c r="A1425" t="s">
        <v>573</v>
      </c>
    </row>
    <row r="1426" spans="1:1" x14ac:dyDescent="0.35">
      <c r="A1426" t="s">
        <v>963</v>
      </c>
    </row>
    <row r="1427" spans="1:1" x14ac:dyDescent="0.35">
      <c r="A1427" t="s">
        <v>964</v>
      </c>
    </row>
    <row r="1428" spans="1:1" x14ac:dyDescent="0.35">
      <c r="A1428" t="s">
        <v>798</v>
      </c>
    </row>
    <row r="1429" spans="1:1" x14ac:dyDescent="0.35">
      <c r="A1429" t="s">
        <v>564</v>
      </c>
    </row>
    <row r="1430" spans="1:1" x14ac:dyDescent="0.35">
      <c r="A1430" t="s">
        <v>565</v>
      </c>
    </row>
    <row r="1431" spans="1:1" x14ac:dyDescent="0.35">
      <c r="A1431" t="s">
        <v>574</v>
      </c>
    </row>
    <row r="1432" spans="1:1" x14ac:dyDescent="0.35">
      <c r="A1432" t="s">
        <v>499</v>
      </c>
    </row>
    <row r="1433" spans="1:1" x14ac:dyDescent="0.35">
      <c r="A1433" t="s">
        <v>575</v>
      </c>
    </row>
    <row r="1434" spans="1:1" x14ac:dyDescent="0.35">
      <c r="A1434" t="s">
        <v>576</v>
      </c>
    </row>
    <row r="1435" spans="1:1" x14ac:dyDescent="0.35">
      <c r="A1435" t="s">
        <v>569</v>
      </c>
    </row>
    <row r="1436" spans="1:1" x14ac:dyDescent="0.35">
      <c r="A1436" t="s">
        <v>965</v>
      </c>
    </row>
    <row r="1437" spans="1:1" x14ac:dyDescent="0.35">
      <c r="A1437" t="s">
        <v>639</v>
      </c>
    </row>
    <row r="1438" spans="1:1" x14ac:dyDescent="0.35">
      <c r="A1438" t="s">
        <v>640</v>
      </c>
    </row>
    <row r="1439" spans="1:1" x14ac:dyDescent="0.35">
      <c r="A1439" t="s">
        <v>508</v>
      </c>
    </row>
    <row r="1440" spans="1:1" x14ac:dyDescent="0.35">
      <c r="A1440" t="s">
        <v>499</v>
      </c>
    </row>
    <row r="1441" spans="1:1" x14ac:dyDescent="0.35">
      <c r="A1441" t="s">
        <v>575</v>
      </c>
    </row>
    <row r="1442" spans="1:1" x14ac:dyDescent="0.35">
      <c r="A1442" t="s">
        <v>576</v>
      </c>
    </row>
    <row r="1443" spans="1:1" x14ac:dyDescent="0.35">
      <c r="A1443" t="s">
        <v>572</v>
      </c>
    </row>
    <row r="1444" spans="1:1" x14ac:dyDescent="0.35">
      <c r="A1444" t="s">
        <v>966</v>
      </c>
    </row>
    <row r="1445" spans="1:1" x14ac:dyDescent="0.35">
      <c r="A1445" t="s">
        <v>967</v>
      </c>
    </row>
    <row r="1446" spans="1:1" x14ac:dyDescent="0.35">
      <c r="A1446" t="s">
        <v>968</v>
      </c>
    </row>
    <row r="1447" spans="1:1" x14ac:dyDescent="0.35">
      <c r="A1447" t="s">
        <v>508</v>
      </c>
    </row>
    <row r="1448" spans="1:1" x14ac:dyDescent="0.35">
      <c r="A1448" t="s">
        <v>499</v>
      </c>
    </row>
    <row r="1449" spans="1:1" x14ac:dyDescent="0.35">
      <c r="A1449" t="s">
        <v>575</v>
      </c>
    </row>
    <row r="1450" spans="1:1" x14ac:dyDescent="0.35">
      <c r="A1450" t="s">
        <v>576</v>
      </c>
    </row>
    <row r="1451" spans="1:1" x14ac:dyDescent="0.35">
      <c r="A1451" t="s">
        <v>573</v>
      </c>
    </row>
    <row r="1452" spans="1:1" x14ac:dyDescent="0.35">
      <c r="A1452" t="s">
        <v>969</v>
      </c>
    </row>
    <row r="1453" spans="1:1" x14ac:dyDescent="0.35">
      <c r="A1453" t="s">
        <v>639</v>
      </c>
    </row>
    <row r="1454" spans="1:1" x14ac:dyDescent="0.35">
      <c r="A1454" t="s">
        <v>640</v>
      </c>
    </row>
    <row r="1455" spans="1:1" x14ac:dyDescent="0.35">
      <c r="A1455" t="s">
        <v>508</v>
      </c>
    </row>
    <row r="1456" spans="1:1" x14ac:dyDescent="0.35">
      <c r="A1456" t="s">
        <v>499</v>
      </c>
    </row>
    <row r="1457" spans="1:1" x14ac:dyDescent="0.35">
      <c r="A1457" t="s">
        <v>575</v>
      </c>
    </row>
    <row r="1458" spans="1:1" x14ac:dyDescent="0.35">
      <c r="A1458" t="s">
        <v>577</v>
      </c>
    </row>
    <row r="1459" spans="1:1" x14ac:dyDescent="0.35">
      <c r="A1459" t="s">
        <v>569</v>
      </c>
    </row>
    <row r="1460" spans="1:1" x14ac:dyDescent="0.35">
      <c r="A1460" t="s">
        <v>965</v>
      </c>
    </row>
    <row r="1461" spans="1:1" x14ac:dyDescent="0.35">
      <c r="A1461" t="s">
        <v>964</v>
      </c>
    </row>
    <row r="1462" spans="1:1" x14ac:dyDescent="0.35">
      <c r="A1462" t="s">
        <v>798</v>
      </c>
    </row>
    <row r="1463" spans="1:1" x14ac:dyDescent="0.35">
      <c r="A1463" t="s">
        <v>508</v>
      </c>
    </row>
    <row r="1464" spans="1:1" x14ac:dyDescent="0.35">
      <c r="A1464" t="s">
        <v>499</v>
      </c>
    </row>
    <row r="1465" spans="1:1" x14ac:dyDescent="0.35">
      <c r="A1465" t="s">
        <v>575</v>
      </c>
    </row>
    <row r="1466" spans="1:1" x14ac:dyDescent="0.35">
      <c r="A1466" t="s">
        <v>577</v>
      </c>
    </row>
    <row r="1467" spans="1:1" x14ac:dyDescent="0.35">
      <c r="A1467" t="s">
        <v>572</v>
      </c>
    </row>
    <row r="1468" spans="1:1" x14ac:dyDescent="0.35">
      <c r="A1468" t="s">
        <v>966</v>
      </c>
    </row>
    <row r="1469" spans="1:1" x14ac:dyDescent="0.35">
      <c r="A1469" t="s">
        <v>639</v>
      </c>
    </row>
    <row r="1470" spans="1:1" x14ac:dyDescent="0.35">
      <c r="A1470" t="s">
        <v>640</v>
      </c>
    </row>
    <row r="1471" spans="1:1" x14ac:dyDescent="0.35">
      <c r="A1471" t="s">
        <v>508</v>
      </c>
    </row>
    <row r="1472" spans="1:1" x14ac:dyDescent="0.35">
      <c r="A1472" t="s">
        <v>499</v>
      </c>
    </row>
    <row r="1473" spans="1:1" x14ac:dyDescent="0.35">
      <c r="A1473" t="s">
        <v>575</v>
      </c>
    </row>
    <row r="1474" spans="1:1" x14ac:dyDescent="0.35">
      <c r="A1474" t="s">
        <v>577</v>
      </c>
    </row>
    <row r="1475" spans="1:1" x14ac:dyDescent="0.35">
      <c r="A1475" t="s">
        <v>573</v>
      </c>
    </row>
    <row r="1476" spans="1:1" x14ac:dyDescent="0.35">
      <c r="A1476" t="s">
        <v>969</v>
      </c>
    </row>
    <row r="1477" spans="1:1" x14ac:dyDescent="0.35">
      <c r="A1477" t="s">
        <v>639</v>
      </c>
    </row>
    <row r="1478" spans="1:1" x14ac:dyDescent="0.35">
      <c r="A1478" t="s">
        <v>640</v>
      </c>
    </row>
    <row r="1479" spans="1:1" x14ac:dyDescent="0.35">
      <c r="A1479" t="s">
        <v>508</v>
      </c>
    </row>
    <row r="1480" spans="1:1" x14ac:dyDescent="0.35">
      <c r="A1480" t="s">
        <v>499</v>
      </c>
    </row>
    <row r="1481" spans="1:1" x14ac:dyDescent="0.35">
      <c r="A1481" t="s">
        <v>575</v>
      </c>
    </row>
    <row r="1482" spans="1:1" x14ac:dyDescent="0.35">
      <c r="A1482" t="s">
        <v>578</v>
      </c>
    </row>
    <row r="1483" spans="1:1" x14ac:dyDescent="0.35">
      <c r="A1483" t="s">
        <v>569</v>
      </c>
    </row>
    <row r="1484" spans="1:1" x14ac:dyDescent="0.35">
      <c r="A1484" t="s">
        <v>965</v>
      </c>
    </row>
    <row r="1485" spans="1:1" x14ac:dyDescent="0.35">
      <c r="A1485" t="s">
        <v>639</v>
      </c>
    </row>
    <row r="1486" spans="1:1" x14ac:dyDescent="0.35">
      <c r="A1486" t="s">
        <v>640</v>
      </c>
    </row>
    <row r="1487" spans="1:1" x14ac:dyDescent="0.35">
      <c r="A1487" t="s">
        <v>508</v>
      </c>
    </row>
    <row r="1488" spans="1:1" x14ac:dyDescent="0.35">
      <c r="A1488" t="s">
        <v>499</v>
      </c>
    </row>
    <row r="1489" spans="1:1" x14ac:dyDescent="0.35">
      <c r="A1489" t="s">
        <v>575</v>
      </c>
    </row>
    <row r="1490" spans="1:1" x14ac:dyDescent="0.35">
      <c r="A1490" t="s">
        <v>578</v>
      </c>
    </row>
    <row r="1491" spans="1:1" x14ac:dyDescent="0.35">
      <c r="A1491" t="s">
        <v>572</v>
      </c>
    </row>
    <row r="1492" spans="1:1" x14ac:dyDescent="0.35">
      <c r="A1492" t="s">
        <v>966</v>
      </c>
    </row>
    <row r="1493" spans="1:1" x14ac:dyDescent="0.35">
      <c r="A1493" t="s">
        <v>639</v>
      </c>
    </row>
    <row r="1494" spans="1:1" x14ac:dyDescent="0.35">
      <c r="A1494" t="s">
        <v>640</v>
      </c>
    </row>
    <row r="1495" spans="1:1" x14ac:dyDescent="0.35">
      <c r="A1495" t="s">
        <v>508</v>
      </c>
    </row>
    <row r="1496" spans="1:1" x14ac:dyDescent="0.35">
      <c r="A1496" t="s">
        <v>499</v>
      </c>
    </row>
    <row r="1497" spans="1:1" x14ac:dyDescent="0.35">
      <c r="A1497" t="s">
        <v>575</v>
      </c>
    </row>
    <row r="1498" spans="1:1" x14ac:dyDescent="0.35">
      <c r="A1498" t="s">
        <v>578</v>
      </c>
    </row>
    <row r="1499" spans="1:1" x14ac:dyDescent="0.35">
      <c r="A1499" t="s">
        <v>573</v>
      </c>
    </row>
    <row r="1500" spans="1:1" x14ac:dyDescent="0.35">
      <c r="A1500" t="s">
        <v>969</v>
      </c>
    </row>
    <row r="1501" spans="1:1" x14ac:dyDescent="0.35">
      <c r="A1501" t="s">
        <v>970</v>
      </c>
    </row>
    <row r="1502" spans="1:1" x14ac:dyDescent="0.35">
      <c r="A1502" t="s">
        <v>971</v>
      </c>
    </row>
    <row r="1503" spans="1:1" x14ac:dyDescent="0.35">
      <c r="A1503" t="s">
        <v>564</v>
      </c>
    </row>
    <row r="1504" spans="1:1" x14ac:dyDescent="0.35">
      <c r="A1504" t="s">
        <v>579</v>
      </c>
    </row>
    <row r="1505" spans="1:1" x14ac:dyDescent="0.35">
      <c r="A1505" t="s">
        <v>580</v>
      </c>
    </row>
    <row r="1506" spans="1:1" x14ac:dyDescent="0.35">
      <c r="A1506" t="s">
        <v>496</v>
      </c>
    </row>
    <row r="1507" spans="1:1" x14ac:dyDescent="0.35">
      <c r="A1507" t="s">
        <v>972</v>
      </c>
    </row>
    <row r="1508" spans="1:1" x14ac:dyDescent="0.35">
      <c r="A1508" t="s">
        <v>918</v>
      </c>
    </row>
    <row r="1509" spans="1:1" x14ac:dyDescent="0.35">
      <c r="A1509" t="s">
        <v>498</v>
      </c>
    </row>
    <row r="1510" spans="1:1" x14ac:dyDescent="0.35">
      <c r="A1510" t="s">
        <v>499</v>
      </c>
    </row>
    <row r="1511" spans="1:1" x14ac:dyDescent="0.35">
      <c r="A1511" t="s">
        <v>500</v>
      </c>
    </row>
    <row r="1512" spans="1:1" x14ac:dyDescent="0.35">
      <c r="A1512" t="s">
        <v>810</v>
      </c>
    </row>
    <row r="1513" spans="1:1" x14ac:dyDescent="0.35">
      <c r="A1513" t="s">
        <v>764</v>
      </c>
    </row>
    <row r="1514" spans="1:1" x14ac:dyDescent="0.35">
      <c r="A1514" t="s">
        <v>973</v>
      </c>
    </row>
    <row r="1515" spans="1:1" x14ac:dyDescent="0.35">
      <c r="A1515" t="s">
        <v>974</v>
      </c>
    </row>
    <row r="1516" spans="1:1" x14ac:dyDescent="0.35">
      <c r="A1516" t="s">
        <v>975</v>
      </c>
    </row>
    <row r="1517" spans="1:1" x14ac:dyDescent="0.35">
      <c r="A1517" t="s">
        <v>976</v>
      </c>
    </row>
    <row r="1518" spans="1:1" x14ac:dyDescent="0.35">
      <c r="A1518" t="s">
        <v>888</v>
      </c>
    </row>
    <row r="1519" spans="1:1" x14ac:dyDescent="0.35">
      <c r="A1519" t="s">
        <v>508</v>
      </c>
    </row>
    <row r="1520" spans="1:1" x14ac:dyDescent="0.35">
      <c r="A1520" t="s">
        <v>499</v>
      </c>
    </row>
    <row r="1521" spans="1:1" x14ac:dyDescent="0.35">
      <c r="A1521" t="s">
        <v>509</v>
      </c>
    </row>
    <row r="1522" spans="1:1" x14ac:dyDescent="0.35">
      <c r="A1522" t="s">
        <v>779</v>
      </c>
    </row>
    <row r="1523" spans="1:1" x14ac:dyDescent="0.35">
      <c r="A1523" t="s">
        <v>600</v>
      </c>
    </row>
    <row r="1524" spans="1:1" x14ac:dyDescent="0.35">
      <c r="A1524" t="s">
        <v>977</v>
      </c>
    </row>
    <row r="1525" spans="1:1" x14ac:dyDescent="0.35">
      <c r="A1525" t="s">
        <v>978</v>
      </c>
    </row>
    <row r="1526" spans="1:1" x14ac:dyDescent="0.35">
      <c r="A1526" t="s">
        <v>979</v>
      </c>
    </row>
    <row r="1527" spans="1:1" x14ac:dyDescent="0.35">
      <c r="A1527" t="s">
        <v>980</v>
      </c>
    </row>
    <row r="1528" spans="1:1" x14ac:dyDescent="0.35">
      <c r="A1528" t="s">
        <v>981</v>
      </c>
    </row>
    <row r="1529" spans="1:1" x14ac:dyDescent="0.35">
      <c r="A1529" t="s">
        <v>508</v>
      </c>
    </row>
    <row r="1530" spans="1:1" x14ac:dyDescent="0.35">
      <c r="A1530" t="s">
        <v>499</v>
      </c>
    </row>
    <row r="1531" spans="1:1" x14ac:dyDescent="0.35">
      <c r="A1531" t="s">
        <v>517</v>
      </c>
    </row>
    <row r="1532" spans="1:1" x14ac:dyDescent="0.35">
      <c r="A1532" t="s">
        <v>896</v>
      </c>
    </row>
    <row r="1533" spans="1:1" x14ac:dyDescent="0.35">
      <c r="A1533" t="s">
        <v>667</v>
      </c>
    </row>
    <row r="1534" spans="1:1" x14ac:dyDescent="0.35">
      <c r="A1534" t="s">
        <v>982</v>
      </c>
    </row>
    <row r="1535" spans="1:1" x14ac:dyDescent="0.35">
      <c r="A1535" t="s">
        <v>983</v>
      </c>
    </row>
    <row r="1536" spans="1:1" x14ac:dyDescent="0.35">
      <c r="A1536" t="s">
        <v>984</v>
      </c>
    </row>
    <row r="1537" spans="1:1" x14ac:dyDescent="0.35">
      <c r="A1537" t="s">
        <v>985</v>
      </c>
    </row>
    <row r="1538" spans="1:1" x14ac:dyDescent="0.35">
      <c r="A1538" t="s">
        <v>986</v>
      </c>
    </row>
    <row r="1539" spans="1:1" x14ac:dyDescent="0.35">
      <c r="A1539" t="s">
        <v>508</v>
      </c>
    </row>
    <row r="1540" spans="1:1" x14ac:dyDescent="0.35">
      <c r="A1540" t="s">
        <v>499</v>
      </c>
    </row>
    <row r="1541" spans="1:1" x14ac:dyDescent="0.35">
      <c r="A1541" t="s">
        <v>525</v>
      </c>
    </row>
    <row r="1542" spans="1:1" x14ac:dyDescent="0.35">
      <c r="A1542" t="s">
        <v>879</v>
      </c>
    </row>
    <row r="1543" spans="1:1" x14ac:dyDescent="0.35">
      <c r="A1543" t="s">
        <v>987</v>
      </c>
    </row>
    <row r="1544" spans="1:1" x14ac:dyDescent="0.35">
      <c r="A1544" t="s">
        <v>988</v>
      </c>
    </row>
    <row r="1545" spans="1:1" x14ac:dyDescent="0.35">
      <c r="A1545" t="s">
        <v>989</v>
      </c>
    </row>
    <row r="1546" spans="1:1" x14ac:dyDescent="0.35">
      <c r="A1546" t="s">
        <v>990</v>
      </c>
    </row>
    <row r="1547" spans="1:1" x14ac:dyDescent="0.35">
      <c r="A1547" t="s">
        <v>991</v>
      </c>
    </row>
    <row r="1548" spans="1:1" x14ac:dyDescent="0.35">
      <c r="A1548" t="s">
        <v>734</v>
      </c>
    </row>
    <row r="1549" spans="1:1" x14ac:dyDescent="0.35">
      <c r="A1549" t="s">
        <v>508</v>
      </c>
    </row>
    <row r="1550" spans="1:1" x14ac:dyDescent="0.35">
      <c r="A1550" t="s">
        <v>499</v>
      </c>
    </row>
    <row r="1551" spans="1:1" x14ac:dyDescent="0.35">
      <c r="A1551" t="s">
        <v>533</v>
      </c>
    </row>
    <row r="1552" spans="1:1" x14ac:dyDescent="0.35">
      <c r="A1552" t="s">
        <v>682</v>
      </c>
    </row>
    <row r="1553" spans="1:1" x14ac:dyDescent="0.35">
      <c r="A1553" t="s">
        <v>511</v>
      </c>
    </row>
    <row r="1554" spans="1:1" x14ac:dyDescent="0.35">
      <c r="A1554" t="s">
        <v>992</v>
      </c>
    </row>
    <row r="1555" spans="1:1" x14ac:dyDescent="0.35">
      <c r="A1555" t="s">
        <v>993</v>
      </c>
    </row>
    <row r="1556" spans="1:1" x14ac:dyDescent="0.35">
      <c r="A1556" t="s">
        <v>994</v>
      </c>
    </row>
    <row r="1557" spans="1:1" x14ac:dyDescent="0.35">
      <c r="A1557" t="s">
        <v>995</v>
      </c>
    </row>
    <row r="1558" spans="1:1" x14ac:dyDescent="0.35">
      <c r="A1558" t="s">
        <v>996</v>
      </c>
    </row>
    <row r="1559" spans="1:1" x14ac:dyDescent="0.35">
      <c r="A1559" t="s">
        <v>508</v>
      </c>
    </row>
    <row r="1560" spans="1:1" x14ac:dyDescent="0.35">
      <c r="A1560" t="s">
        <v>499</v>
      </c>
    </row>
    <row r="1561" spans="1:1" x14ac:dyDescent="0.35">
      <c r="A1561" t="s">
        <v>541</v>
      </c>
    </row>
    <row r="1562" spans="1:1" x14ac:dyDescent="0.35">
      <c r="A1562" t="s">
        <v>645</v>
      </c>
    </row>
    <row r="1563" spans="1:1" x14ac:dyDescent="0.35">
      <c r="A1563" t="s">
        <v>753</v>
      </c>
    </row>
    <row r="1564" spans="1:1" x14ac:dyDescent="0.35">
      <c r="A1564" t="s">
        <v>997</v>
      </c>
    </row>
    <row r="1565" spans="1:1" x14ac:dyDescent="0.35">
      <c r="A1565" t="s">
        <v>998</v>
      </c>
    </row>
    <row r="1566" spans="1:1" x14ac:dyDescent="0.35">
      <c r="A1566" t="s">
        <v>994</v>
      </c>
    </row>
    <row r="1567" spans="1:1" x14ac:dyDescent="0.35">
      <c r="A1567" t="s">
        <v>999</v>
      </c>
    </row>
    <row r="1568" spans="1:1" x14ac:dyDescent="0.35">
      <c r="A1568" t="s">
        <v>1000</v>
      </c>
    </row>
    <row r="1569" spans="1:1" x14ac:dyDescent="0.35">
      <c r="A1569" t="s">
        <v>508</v>
      </c>
    </row>
    <row r="1570" spans="1:1" x14ac:dyDescent="0.35">
      <c r="A1570" t="s">
        <v>499</v>
      </c>
    </row>
    <row r="1571" spans="1:1" x14ac:dyDescent="0.35">
      <c r="A1571" t="s">
        <v>549</v>
      </c>
    </row>
    <row r="1572" spans="1:1" x14ac:dyDescent="0.35">
      <c r="A1572" t="s">
        <v>645</v>
      </c>
    </row>
    <row r="1573" spans="1:1" x14ac:dyDescent="0.35">
      <c r="A1573" t="s">
        <v>831</v>
      </c>
    </row>
    <row r="1574" spans="1:1" x14ac:dyDescent="0.35">
      <c r="A1574" t="s">
        <v>1001</v>
      </c>
    </row>
    <row r="1575" spans="1:1" x14ac:dyDescent="0.35">
      <c r="A1575" t="s">
        <v>1002</v>
      </c>
    </row>
    <row r="1576" spans="1:1" x14ac:dyDescent="0.35">
      <c r="A1576" t="s">
        <v>1003</v>
      </c>
    </row>
    <row r="1577" spans="1:1" x14ac:dyDescent="0.35">
      <c r="A1577" t="s">
        <v>1004</v>
      </c>
    </row>
    <row r="1578" spans="1:1" x14ac:dyDescent="0.35">
      <c r="A1578" t="s">
        <v>795</v>
      </c>
    </row>
    <row r="1579" spans="1:1" x14ac:dyDescent="0.35">
      <c r="A1579" t="s">
        <v>508</v>
      </c>
    </row>
    <row r="1580" spans="1:1" x14ac:dyDescent="0.35">
      <c r="A1580" t="s">
        <v>499</v>
      </c>
    </row>
    <row r="1581" spans="1:1" x14ac:dyDescent="0.35">
      <c r="A1581" t="s">
        <v>556</v>
      </c>
    </row>
    <row r="1582" spans="1:1" x14ac:dyDescent="0.35">
      <c r="A1582" t="s">
        <v>784</v>
      </c>
    </row>
    <row r="1583" spans="1:1" x14ac:dyDescent="0.35">
      <c r="A1583" t="s">
        <v>683</v>
      </c>
    </row>
    <row r="1584" spans="1:1" x14ac:dyDescent="0.35">
      <c r="A1584" t="s">
        <v>1005</v>
      </c>
    </row>
    <row r="1585" spans="1:1" x14ac:dyDescent="0.35">
      <c r="A1585" t="s">
        <v>1006</v>
      </c>
    </row>
    <row r="1586" spans="1:1" x14ac:dyDescent="0.35">
      <c r="A1586" t="s">
        <v>1007</v>
      </c>
    </row>
    <row r="1587" spans="1:1" x14ac:dyDescent="0.35">
      <c r="A1587" t="s">
        <v>1008</v>
      </c>
    </row>
    <row r="1588" spans="1:1" x14ac:dyDescent="0.35">
      <c r="A1588" t="s">
        <v>1009</v>
      </c>
    </row>
    <row r="1589" spans="1:1" x14ac:dyDescent="0.35">
      <c r="A1589" t="s">
        <v>564</v>
      </c>
    </row>
    <row r="1590" spans="1:1" x14ac:dyDescent="0.35">
      <c r="A1590" t="s">
        <v>565</v>
      </c>
    </row>
    <row r="1591" spans="1:1" x14ac:dyDescent="0.35">
      <c r="A1591" t="s">
        <v>566</v>
      </c>
    </row>
    <row r="1592" spans="1:1" x14ac:dyDescent="0.35">
      <c r="A1592" t="s">
        <v>499</v>
      </c>
    </row>
    <row r="1593" spans="1:1" x14ac:dyDescent="0.35">
      <c r="A1593" t="s">
        <v>567</v>
      </c>
    </row>
    <row r="1594" spans="1:1" x14ac:dyDescent="0.35">
      <c r="A1594" t="s">
        <v>568</v>
      </c>
    </row>
    <row r="1595" spans="1:1" x14ac:dyDescent="0.35">
      <c r="A1595" t="s">
        <v>569</v>
      </c>
    </row>
    <row r="1596" spans="1:1" x14ac:dyDescent="0.35">
      <c r="A1596" t="s">
        <v>959</v>
      </c>
    </row>
    <row r="1597" spans="1:1" x14ac:dyDescent="0.35">
      <c r="A1597" t="s">
        <v>1010</v>
      </c>
    </row>
    <row r="1598" spans="1:1" x14ac:dyDescent="0.35">
      <c r="A1598" t="s">
        <v>801</v>
      </c>
    </row>
    <row r="1599" spans="1:1" x14ac:dyDescent="0.35">
      <c r="A1599" t="s">
        <v>508</v>
      </c>
    </row>
    <row r="1600" spans="1:1" x14ac:dyDescent="0.35">
      <c r="A1600" t="s">
        <v>499</v>
      </c>
    </row>
    <row r="1601" spans="1:1" x14ac:dyDescent="0.35">
      <c r="A1601" t="s">
        <v>567</v>
      </c>
    </row>
    <row r="1602" spans="1:1" x14ac:dyDescent="0.35">
      <c r="A1602" t="s">
        <v>568</v>
      </c>
    </row>
    <row r="1603" spans="1:1" x14ac:dyDescent="0.35">
      <c r="A1603" t="s">
        <v>572</v>
      </c>
    </row>
    <row r="1604" spans="1:1" x14ac:dyDescent="0.35">
      <c r="A1604" t="s">
        <v>961</v>
      </c>
    </row>
    <row r="1605" spans="1:1" x14ac:dyDescent="0.35">
      <c r="A1605" t="s">
        <v>1011</v>
      </c>
    </row>
    <row r="1606" spans="1:1" x14ac:dyDescent="0.35">
      <c r="A1606" t="s">
        <v>861</v>
      </c>
    </row>
    <row r="1607" spans="1:1" x14ac:dyDescent="0.35">
      <c r="A1607" t="s">
        <v>508</v>
      </c>
    </row>
    <row r="1608" spans="1:1" x14ac:dyDescent="0.35">
      <c r="A1608" t="s">
        <v>499</v>
      </c>
    </row>
    <row r="1609" spans="1:1" x14ac:dyDescent="0.35">
      <c r="A1609" t="s">
        <v>567</v>
      </c>
    </row>
    <row r="1610" spans="1:1" x14ac:dyDescent="0.35">
      <c r="A1610" t="s">
        <v>568</v>
      </c>
    </row>
    <row r="1611" spans="1:1" x14ac:dyDescent="0.35">
      <c r="A1611" t="s">
        <v>573</v>
      </c>
    </row>
    <row r="1612" spans="1:1" x14ac:dyDescent="0.35">
      <c r="A1612" t="s">
        <v>963</v>
      </c>
    </row>
    <row r="1613" spans="1:1" x14ac:dyDescent="0.35">
      <c r="A1613" t="s">
        <v>1012</v>
      </c>
    </row>
    <row r="1614" spans="1:1" x14ac:dyDescent="0.35">
      <c r="A1614" t="s">
        <v>747</v>
      </c>
    </row>
    <row r="1615" spans="1:1" x14ac:dyDescent="0.35">
      <c r="A1615" t="s">
        <v>564</v>
      </c>
    </row>
    <row r="1616" spans="1:1" x14ac:dyDescent="0.35">
      <c r="A1616" t="s">
        <v>565</v>
      </c>
    </row>
    <row r="1617" spans="1:1" x14ac:dyDescent="0.35">
      <c r="A1617" t="s">
        <v>574</v>
      </c>
    </row>
    <row r="1618" spans="1:1" x14ac:dyDescent="0.35">
      <c r="A1618" t="s">
        <v>499</v>
      </c>
    </row>
    <row r="1619" spans="1:1" x14ac:dyDescent="0.35">
      <c r="A1619" t="s">
        <v>575</v>
      </c>
    </row>
    <row r="1620" spans="1:1" x14ac:dyDescent="0.35">
      <c r="A1620" t="s">
        <v>576</v>
      </c>
    </row>
    <row r="1621" spans="1:1" x14ac:dyDescent="0.35">
      <c r="A1621" t="s">
        <v>569</v>
      </c>
    </row>
    <row r="1622" spans="1:1" x14ac:dyDescent="0.35">
      <c r="A1622" t="s">
        <v>965</v>
      </c>
    </row>
    <row r="1623" spans="1:1" x14ac:dyDescent="0.35">
      <c r="A1623" t="s">
        <v>1013</v>
      </c>
    </row>
    <row r="1624" spans="1:1" x14ac:dyDescent="0.35">
      <c r="A1624" t="s">
        <v>637</v>
      </c>
    </row>
    <row r="1625" spans="1:1" x14ac:dyDescent="0.35">
      <c r="A1625" t="s">
        <v>508</v>
      </c>
    </row>
    <row r="1626" spans="1:1" x14ac:dyDescent="0.35">
      <c r="A1626" t="s">
        <v>499</v>
      </c>
    </row>
    <row r="1627" spans="1:1" x14ac:dyDescent="0.35">
      <c r="A1627" t="s">
        <v>575</v>
      </c>
    </row>
    <row r="1628" spans="1:1" x14ac:dyDescent="0.35">
      <c r="A1628" t="s">
        <v>576</v>
      </c>
    </row>
    <row r="1629" spans="1:1" x14ac:dyDescent="0.35">
      <c r="A1629" t="s">
        <v>572</v>
      </c>
    </row>
    <row r="1630" spans="1:1" x14ac:dyDescent="0.35">
      <c r="A1630" t="s">
        <v>966</v>
      </c>
    </row>
    <row r="1631" spans="1:1" x14ac:dyDescent="0.35">
      <c r="A1631" t="s">
        <v>639</v>
      </c>
    </row>
    <row r="1632" spans="1:1" x14ac:dyDescent="0.35">
      <c r="A1632" t="s">
        <v>640</v>
      </c>
    </row>
    <row r="1633" spans="1:1" x14ac:dyDescent="0.35">
      <c r="A1633" t="s">
        <v>508</v>
      </c>
    </row>
    <row r="1634" spans="1:1" x14ac:dyDescent="0.35">
      <c r="A1634" t="s">
        <v>499</v>
      </c>
    </row>
    <row r="1635" spans="1:1" x14ac:dyDescent="0.35">
      <c r="A1635" t="s">
        <v>575</v>
      </c>
    </row>
    <row r="1636" spans="1:1" x14ac:dyDescent="0.35">
      <c r="A1636" t="s">
        <v>576</v>
      </c>
    </row>
    <row r="1637" spans="1:1" x14ac:dyDescent="0.35">
      <c r="A1637" t="s">
        <v>573</v>
      </c>
    </row>
    <row r="1638" spans="1:1" x14ac:dyDescent="0.35">
      <c r="A1638" t="s">
        <v>969</v>
      </c>
    </row>
    <row r="1639" spans="1:1" x14ac:dyDescent="0.35">
      <c r="A1639" t="s">
        <v>639</v>
      </c>
    </row>
    <row r="1640" spans="1:1" x14ac:dyDescent="0.35">
      <c r="A1640" t="s">
        <v>640</v>
      </c>
    </row>
    <row r="1641" spans="1:1" x14ac:dyDescent="0.35">
      <c r="A1641" t="s">
        <v>508</v>
      </c>
    </row>
    <row r="1642" spans="1:1" x14ac:dyDescent="0.35">
      <c r="A1642" t="s">
        <v>499</v>
      </c>
    </row>
    <row r="1643" spans="1:1" x14ac:dyDescent="0.35">
      <c r="A1643" t="s">
        <v>575</v>
      </c>
    </row>
    <row r="1644" spans="1:1" x14ac:dyDescent="0.35">
      <c r="A1644" t="s">
        <v>577</v>
      </c>
    </row>
    <row r="1645" spans="1:1" x14ac:dyDescent="0.35">
      <c r="A1645" t="s">
        <v>569</v>
      </c>
    </row>
    <row r="1646" spans="1:1" x14ac:dyDescent="0.35">
      <c r="A1646" t="s">
        <v>965</v>
      </c>
    </row>
    <row r="1647" spans="1:1" x14ac:dyDescent="0.35">
      <c r="A1647" t="s">
        <v>1014</v>
      </c>
    </row>
    <row r="1648" spans="1:1" x14ac:dyDescent="0.35">
      <c r="A1648" t="s">
        <v>804</v>
      </c>
    </row>
    <row r="1649" spans="1:1" x14ac:dyDescent="0.35">
      <c r="A1649" t="s">
        <v>508</v>
      </c>
    </row>
    <row r="1650" spans="1:1" x14ac:dyDescent="0.35">
      <c r="A1650" t="s">
        <v>499</v>
      </c>
    </row>
    <row r="1651" spans="1:1" x14ac:dyDescent="0.35">
      <c r="A1651" t="s">
        <v>575</v>
      </c>
    </row>
    <row r="1652" spans="1:1" x14ac:dyDescent="0.35">
      <c r="A1652" t="s">
        <v>577</v>
      </c>
    </row>
    <row r="1653" spans="1:1" x14ac:dyDescent="0.35">
      <c r="A1653" t="s">
        <v>572</v>
      </c>
    </row>
    <row r="1654" spans="1:1" x14ac:dyDescent="0.35">
      <c r="A1654" t="s">
        <v>966</v>
      </c>
    </row>
    <row r="1655" spans="1:1" x14ac:dyDescent="0.35">
      <c r="A1655" t="s">
        <v>1015</v>
      </c>
    </row>
    <row r="1656" spans="1:1" x14ac:dyDescent="0.35">
      <c r="A1656" t="s">
        <v>1016</v>
      </c>
    </row>
    <row r="1657" spans="1:1" x14ac:dyDescent="0.35">
      <c r="A1657" t="s">
        <v>508</v>
      </c>
    </row>
    <row r="1658" spans="1:1" x14ac:dyDescent="0.35">
      <c r="A1658" t="s">
        <v>499</v>
      </c>
    </row>
    <row r="1659" spans="1:1" x14ac:dyDescent="0.35">
      <c r="A1659" t="s">
        <v>575</v>
      </c>
    </row>
    <row r="1660" spans="1:1" x14ac:dyDescent="0.35">
      <c r="A1660" t="s">
        <v>577</v>
      </c>
    </row>
    <row r="1661" spans="1:1" x14ac:dyDescent="0.35">
      <c r="A1661" t="s">
        <v>573</v>
      </c>
    </row>
    <row r="1662" spans="1:1" x14ac:dyDescent="0.35">
      <c r="A1662" t="s">
        <v>969</v>
      </c>
    </row>
    <row r="1663" spans="1:1" x14ac:dyDescent="0.35">
      <c r="A1663" t="s">
        <v>639</v>
      </c>
    </row>
    <row r="1664" spans="1:1" x14ac:dyDescent="0.35">
      <c r="A1664" t="s">
        <v>640</v>
      </c>
    </row>
    <row r="1665" spans="1:1" x14ac:dyDescent="0.35">
      <c r="A1665" t="s">
        <v>508</v>
      </c>
    </row>
    <row r="1666" spans="1:1" x14ac:dyDescent="0.35">
      <c r="A1666" t="s">
        <v>499</v>
      </c>
    </row>
    <row r="1667" spans="1:1" x14ac:dyDescent="0.35">
      <c r="A1667" t="s">
        <v>575</v>
      </c>
    </row>
    <row r="1668" spans="1:1" x14ac:dyDescent="0.35">
      <c r="A1668" t="s">
        <v>578</v>
      </c>
    </row>
    <row r="1669" spans="1:1" x14ac:dyDescent="0.35">
      <c r="A1669" t="s">
        <v>569</v>
      </c>
    </row>
    <row r="1670" spans="1:1" x14ac:dyDescent="0.35">
      <c r="A1670" t="s">
        <v>965</v>
      </c>
    </row>
    <row r="1671" spans="1:1" x14ac:dyDescent="0.35">
      <c r="A1671" t="s">
        <v>1015</v>
      </c>
    </row>
    <row r="1672" spans="1:1" x14ac:dyDescent="0.35">
      <c r="A1672" t="s">
        <v>1016</v>
      </c>
    </row>
    <row r="1673" spans="1:1" x14ac:dyDescent="0.35">
      <c r="A1673" t="s">
        <v>508</v>
      </c>
    </row>
    <row r="1674" spans="1:1" x14ac:dyDescent="0.35">
      <c r="A1674" t="s">
        <v>499</v>
      </c>
    </row>
    <row r="1675" spans="1:1" x14ac:dyDescent="0.35">
      <c r="A1675" t="s">
        <v>575</v>
      </c>
    </row>
    <row r="1676" spans="1:1" x14ac:dyDescent="0.35">
      <c r="A1676" t="s">
        <v>578</v>
      </c>
    </row>
    <row r="1677" spans="1:1" x14ac:dyDescent="0.35">
      <c r="A1677" t="s">
        <v>572</v>
      </c>
    </row>
    <row r="1678" spans="1:1" x14ac:dyDescent="0.35">
      <c r="A1678" t="s">
        <v>966</v>
      </c>
    </row>
    <row r="1679" spans="1:1" x14ac:dyDescent="0.35">
      <c r="A1679" t="s">
        <v>639</v>
      </c>
    </row>
    <row r="1680" spans="1:1" x14ac:dyDescent="0.35">
      <c r="A1680" t="s">
        <v>640</v>
      </c>
    </row>
    <row r="1681" spans="1:1" x14ac:dyDescent="0.35">
      <c r="A1681" t="s">
        <v>508</v>
      </c>
    </row>
    <row r="1682" spans="1:1" x14ac:dyDescent="0.35">
      <c r="A1682" t="s">
        <v>499</v>
      </c>
    </row>
    <row r="1683" spans="1:1" x14ac:dyDescent="0.35">
      <c r="A1683" t="s">
        <v>575</v>
      </c>
    </row>
    <row r="1684" spans="1:1" x14ac:dyDescent="0.35">
      <c r="A1684" t="s">
        <v>578</v>
      </c>
    </row>
    <row r="1685" spans="1:1" x14ac:dyDescent="0.35">
      <c r="A1685" t="s">
        <v>573</v>
      </c>
    </row>
    <row r="1686" spans="1:1" x14ac:dyDescent="0.35">
      <c r="A1686" t="s">
        <v>969</v>
      </c>
    </row>
    <row r="1687" spans="1:1" x14ac:dyDescent="0.35">
      <c r="A1687" t="s">
        <v>1017</v>
      </c>
    </row>
    <row r="1688" spans="1:1" x14ac:dyDescent="0.35">
      <c r="A1688" t="s">
        <v>571</v>
      </c>
    </row>
    <row r="1689" spans="1:1" x14ac:dyDescent="0.35">
      <c r="A1689" t="s">
        <v>564</v>
      </c>
    </row>
    <row r="1690" spans="1:1" x14ac:dyDescent="0.35">
      <c r="A1690" t="s">
        <v>579</v>
      </c>
    </row>
    <row r="1691" spans="1:1" x14ac:dyDescent="0.35">
      <c r="A1691" t="s">
        <v>580</v>
      </c>
    </row>
    <row r="1692" spans="1:1" x14ac:dyDescent="0.35">
      <c r="A1692" t="s">
        <v>496</v>
      </c>
    </row>
    <row r="1693" spans="1:1" x14ac:dyDescent="0.35">
      <c r="A1693" t="s">
        <v>1018</v>
      </c>
    </row>
    <row r="1694" spans="1:1" x14ac:dyDescent="0.35">
      <c r="A1694" t="s">
        <v>1019</v>
      </c>
    </row>
    <row r="1695" spans="1:1" x14ac:dyDescent="0.35">
      <c r="A1695" t="s">
        <v>498</v>
      </c>
    </row>
    <row r="1696" spans="1:1" x14ac:dyDescent="0.35">
      <c r="A1696" t="s">
        <v>499</v>
      </c>
    </row>
    <row r="1697" spans="1:1" x14ac:dyDescent="0.35">
      <c r="A1697" t="s">
        <v>500</v>
      </c>
    </row>
    <row r="1698" spans="1:1" x14ac:dyDescent="0.35">
      <c r="A1698" t="s">
        <v>682</v>
      </c>
    </row>
    <row r="1699" spans="1:1" x14ac:dyDescent="0.35">
      <c r="A1699" t="s">
        <v>667</v>
      </c>
    </row>
    <row r="1700" spans="1:1" x14ac:dyDescent="0.35">
      <c r="A1700" t="s">
        <v>1020</v>
      </c>
    </row>
    <row r="1701" spans="1:1" x14ac:dyDescent="0.35">
      <c r="A1701" t="s">
        <v>1021</v>
      </c>
    </row>
    <row r="1702" spans="1:1" x14ac:dyDescent="0.35">
      <c r="A1702" t="s">
        <v>1022</v>
      </c>
    </row>
    <row r="1703" spans="1:1" x14ac:dyDescent="0.35">
      <c r="A1703" t="s">
        <v>1023</v>
      </c>
    </row>
    <row r="1704" spans="1:1" x14ac:dyDescent="0.35">
      <c r="A1704" t="s">
        <v>996</v>
      </c>
    </row>
    <row r="1705" spans="1:1" x14ac:dyDescent="0.35">
      <c r="A1705" t="s">
        <v>508</v>
      </c>
    </row>
    <row r="1706" spans="1:1" x14ac:dyDescent="0.35">
      <c r="A1706" t="s">
        <v>499</v>
      </c>
    </row>
    <row r="1707" spans="1:1" x14ac:dyDescent="0.35">
      <c r="A1707" t="s">
        <v>509</v>
      </c>
    </row>
    <row r="1708" spans="1:1" x14ac:dyDescent="0.35">
      <c r="A1708" t="s">
        <v>896</v>
      </c>
    </row>
    <row r="1709" spans="1:1" x14ac:dyDescent="0.35">
      <c r="A1709" t="s">
        <v>831</v>
      </c>
    </row>
    <row r="1710" spans="1:1" x14ac:dyDescent="0.35">
      <c r="A1710" t="s">
        <v>1024</v>
      </c>
    </row>
    <row r="1711" spans="1:1" x14ac:dyDescent="0.35">
      <c r="A1711" t="s">
        <v>1025</v>
      </c>
    </row>
    <row r="1712" spans="1:1" x14ac:dyDescent="0.35">
      <c r="A1712" t="s">
        <v>1026</v>
      </c>
    </row>
    <row r="1713" spans="1:1" x14ac:dyDescent="0.35">
      <c r="A1713" t="s">
        <v>1027</v>
      </c>
    </row>
    <row r="1714" spans="1:1" x14ac:dyDescent="0.35">
      <c r="A1714" t="s">
        <v>1028</v>
      </c>
    </row>
    <row r="1715" spans="1:1" x14ac:dyDescent="0.35">
      <c r="A1715" t="s">
        <v>508</v>
      </c>
    </row>
    <row r="1716" spans="1:1" x14ac:dyDescent="0.35">
      <c r="A1716" t="s">
        <v>499</v>
      </c>
    </row>
    <row r="1717" spans="1:1" x14ac:dyDescent="0.35">
      <c r="A1717" t="s">
        <v>517</v>
      </c>
    </row>
    <row r="1718" spans="1:1" x14ac:dyDescent="0.35">
      <c r="A1718" t="s">
        <v>810</v>
      </c>
    </row>
    <row r="1719" spans="1:1" x14ac:dyDescent="0.35">
      <c r="A1719" t="s">
        <v>618</v>
      </c>
    </row>
    <row r="1720" spans="1:1" x14ac:dyDescent="0.35">
      <c r="A1720" t="s">
        <v>1029</v>
      </c>
    </row>
    <row r="1721" spans="1:1" x14ac:dyDescent="0.35">
      <c r="A1721" t="s">
        <v>1030</v>
      </c>
    </row>
    <row r="1722" spans="1:1" x14ac:dyDescent="0.35">
      <c r="A1722" t="s">
        <v>1031</v>
      </c>
    </row>
    <row r="1723" spans="1:1" x14ac:dyDescent="0.35">
      <c r="A1723" t="s">
        <v>948</v>
      </c>
    </row>
    <row r="1724" spans="1:1" x14ac:dyDescent="0.35">
      <c r="A1724" t="s">
        <v>1032</v>
      </c>
    </row>
    <row r="1725" spans="1:1" x14ac:dyDescent="0.35">
      <c r="A1725" t="s">
        <v>508</v>
      </c>
    </row>
    <row r="1726" spans="1:1" x14ac:dyDescent="0.35">
      <c r="A1726" t="s">
        <v>499</v>
      </c>
    </row>
    <row r="1727" spans="1:1" x14ac:dyDescent="0.35">
      <c r="A1727" t="s">
        <v>525</v>
      </c>
    </row>
    <row r="1728" spans="1:1" x14ac:dyDescent="0.35">
      <c r="A1728" t="s">
        <v>896</v>
      </c>
    </row>
    <row r="1729" spans="1:1" x14ac:dyDescent="0.35">
      <c r="A1729" t="s">
        <v>527</v>
      </c>
    </row>
    <row r="1730" spans="1:1" x14ac:dyDescent="0.35">
      <c r="A1730" t="s">
        <v>1033</v>
      </c>
    </row>
    <row r="1731" spans="1:1" x14ac:dyDescent="0.35">
      <c r="A1731" t="s">
        <v>1034</v>
      </c>
    </row>
    <row r="1732" spans="1:1" x14ac:dyDescent="0.35">
      <c r="A1732" t="s">
        <v>1035</v>
      </c>
    </row>
    <row r="1733" spans="1:1" x14ac:dyDescent="0.35">
      <c r="A1733" t="s">
        <v>1036</v>
      </c>
    </row>
    <row r="1734" spans="1:1" x14ac:dyDescent="0.35">
      <c r="A1734" t="s">
        <v>958</v>
      </c>
    </row>
    <row r="1735" spans="1:1" x14ac:dyDescent="0.35">
      <c r="A1735" t="s">
        <v>508</v>
      </c>
    </row>
    <row r="1736" spans="1:1" x14ac:dyDescent="0.35">
      <c r="A1736" t="s">
        <v>499</v>
      </c>
    </row>
    <row r="1737" spans="1:1" x14ac:dyDescent="0.35">
      <c r="A1737" t="s">
        <v>533</v>
      </c>
    </row>
    <row r="1738" spans="1:1" x14ac:dyDescent="0.35">
      <c r="A1738" t="s">
        <v>810</v>
      </c>
    </row>
    <row r="1739" spans="1:1" x14ac:dyDescent="0.35">
      <c r="A1739" t="s">
        <v>511</v>
      </c>
    </row>
    <row r="1740" spans="1:1" x14ac:dyDescent="0.35">
      <c r="A1740" t="s">
        <v>1037</v>
      </c>
    </row>
    <row r="1741" spans="1:1" x14ac:dyDescent="0.35">
      <c r="A1741" t="s">
        <v>1038</v>
      </c>
    </row>
    <row r="1742" spans="1:1" x14ac:dyDescent="0.35">
      <c r="A1742" t="s">
        <v>1039</v>
      </c>
    </row>
    <row r="1743" spans="1:1" x14ac:dyDescent="0.35">
      <c r="A1743" t="s">
        <v>1040</v>
      </c>
    </row>
    <row r="1744" spans="1:1" x14ac:dyDescent="0.35">
      <c r="A1744" t="s">
        <v>1041</v>
      </c>
    </row>
    <row r="1745" spans="1:1" x14ac:dyDescent="0.35">
      <c r="A1745" t="s">
        <v>508</v>
      </c>
    </row>
    <row r="1746" spans="1:1" x14ac:dyDescent="0.35">
      <c r="A1746" t="s">
        <v>499</v>
      </c>
    </row>
    <row r="1747" spans="1:1" x14ac:dyDescent="0.35">
      <c r="A1747" t="s">
        <v>541</v>
      </c>
    </row>
    <row r="1748" spans="1:1" x14ac:dyDescent="0.35">
      <c r="A1748" t="s">
        <v>896</v>
      </c>
    </row>
    <row r="1749" spans="1:1" x14ac:dyDescent="0.35">
      <c r="A1749" t="s">
        <v>735</v>
      </c>
    </row>
    <row r="1750" spans="1:1" x14ac:dyDescent="0.35">
      <c r="A1750" t="s">
        <v>1042</v>
      </c>
    </row>
    <row r="1751" spans="1:1" x14ac:dyDescent="0.35">
      <c r="A1751" t="s">
        <v>1043</v>
      </c>
    </row>
    <row r="1752" spans="1:1" x14ac:dyDescent="0.35">
      <c r="A1752" t="s">
        <v>1044</v>
      </c>
    </row>
    <row r="1753" spans="1:1" x14ac:dyDescent="0.35">
      <c r="A1753" t="s">
        <v>1045</v>
      </c>
    </row>
    <row r="1754" spans="1:1" x14ac:dyDescent="0.35">
      <c r="A1754" t="s">
        <v>1046</v>
      </c>
    </row>
    <row r="1755" spans="1:1" x14ac:dyDescent="0.35">
      <c r="A1755" t="s">
        <v>508</v>
      </c>
    </row>
    <row r="1756" spans="1:1" x14ac:dyDescent="0.35">
      <c r="A1756" t="s">
        <v>499</v>
      </c>
    </row>
    <row r="1757" spans="1:1" x14ac:dyDescent="0.35">
      <c r="A1757" t="s">
        <v>549</v>
      </c>
    </row>
    <row r="1758" spans="1:1" x14ac:dyDescent="0.35">
      <c r="A1758" t="s">
        <v>682</v>
      </c>
    </row>
    <row r="1759" spans="1:1" x14ac:dyDescent="0.35">
      <c r="A1759" t="s">
        <v>1047</v>
      </c>
    </row>
    <row r="1760" spans="1:1" x14ac:dyDescent="0.35">
      <c r="A1760" t="s">
        <v>1048</v>
      </c>
    </row>
    <row r="1761" spans="1:1" x14ac:dyDescent="0.35">
      <c r="A1761" t="s">
        <v>1049</v>
      </c>
    </row>
    <row r="1762" spans="1:1" x14ac:dyDescent="0.35">
      <c r="A1762" t="s">
        <v>1050</v>
      </c>
    </row>
    <row r="1763" spans="1:1" x14ac:dyDescent="0.35">
      <c r="A1763" t="s">
        <v>1051</v>
      </c>
    </row>
    <row r="1764" spans="1:1" x14ac:dyDescent="0.35">
      <c r="A1764" t="s">
        <v>934</v>
      </c>
    </row>
    <row r="1765" spans="1:1" x14ac:dyDescent="0.35">
      <c r="A1765" t="s">
        <v>508</v>
      </c>
    </row>
    <row r="1766" spans="1:1" x14ac:dyDescent="0.35">
      <c r="A1766" t="s">
        <v>499</v>
      </c>
    </row>
    <row r="1767" spans="1:1" x14ac:dyDescent="0.35">
      <c r="A1767" t="s">
        <v>556</v>
      </c>
    </row>
    <row r="1768" spans="1:1" x14ac:dyDescent="0.35">
      <c r="A1768" t="s">
        <v>645</v>
      </c>
    </row>
    <row r="1769" spans="1:1" x14ac:dyDescent="0.35">
      <c r="A1769" t="s">
        <v>759</v>
      </c>
    </row>
    <row r="1770" spans="1:1" x14ac:dyDescent="0.35">
      <c r="A1770" t="s">
        <v>1052</v>
      </c>
    </row>
    <row r="1771" spans="1:1" x14ac:dyDescent="0.35">
      <c r="A1771" t="s">
        <v>1053</v>
      </c>
    </row>
    <row r="1772" spans="1:1" x14ac:dyDescent="0.35">
      <c r="A1772" t="s">
        <v>1054</v>
      </c>
    </row>
    <row r="1773" spans="1:1" x14ac:dyDescent="0.35">
      <c r="A1773" t="s">
        <v>1055</v>
      </c>
    </row>
    <row r="1774" spans="1:1" x14ac:dyDescent="0.35">
      <c r="A1774" t="s">
        <v>1056</v>
      </c>
    </row>
    <row r="1775" spans="1:1" x14ac:dyDescent="0.35">
      <c r="A1775" t="s">
        <v>564</v>
      </c>
    </row>
    <row r="1776" spans="1:1" x14ac:dyDescent="0.35">
      <c r="A1776" t="s">
        <v>565</v>
      </c>
    </row>
    <row r="1777" spans="1:1" x14ac:dyDescent="0.35">
      <c r="A1777" t="s">
        <v>566</v>
      </c>
    </row>
    <row r="1778" spans="1:1" x14ac:dyDescent="0.35">
      <c r="A1778" t="s">
        <v>499</v>
      </c>
    </row>
    <row r="1779" spans="1:1" x14ac:dyDescent="0.35">
      <c r="A1779" t="s">
        <v>567</v>
      </c>
    </row>
    <row r="1780" spans="1:1" x14ac:dyDescent="0.35">
      <c r="A1780" t="s">
        <v>568</v>
      </c>
    </row>
    <row r="1781" spans="1:1" x14ac:dyDescent="0.35">
      <c r="A1781" t="s">
        <v>569</v>
      </c>
    </row>
    <row r="1782" spans="1:1" x14ac:dyDescent="0.35">
      <c r="A1782" t="s">
        <v>1057</v>
      </c>
    </row>
    <row r="1783" spans="1:1" x14ac:dyDescent="0.35">
      <c r="A1783" t="s">
        <v>1058</v>
      </c>
    </row>
    <row r="1784" spans="1:1" x14ac:dyDescent="0.35">
      <c r="A1784" t="s">
        <v>633</v>
      </c>
    </row>
    <row r="1785" spans="1:1" x14ac:dyDescent="0.35">
      <c r="A1785" t="s">
        <v>508</v>
      </c>
    </row>
    <row r="1786" spans="1:1" x14ac:dyDescent="0.35">
      <c r="A1786" t="s">
        <v>499</v>
      </c>
    </row>
    <row r="1787" spans="1:1" x14ac:dyDescent="0.35">
      <c r="A1787" t="s">
        <v>567</v>
      </c>
    </row>
    <row r="1788" spans="1:1" x14ac:dyDescent="0.35">
      <c r="A1788" t="s">
        <v>568</v>
      </c>
    </row>
    <row r="1789" spans="1:1" x14ac:dyDescent="0.35">
      <c r="A1789" t="s">
        <v>572</v>
      </c>
    </row>
    <row r="1790" spans="1:1" x14ac:dyDescent="0.35">
      <c r="A1790" t="s">
        <v>1059</v>
      </c>
    </row>
    <row r="1791" spans="1:1" x14ac:dyDescent="0.35">
      <c r="A1791" t="s">
        <v>1060</v>
      </c>
    </row>
    <row r="1792" spans="1:1" x14ac:dyDescent="0.35">
      <c r="A1792" t="s">
        <v>912</v>
      </c>
    </row>
    <row r="1793" spans="1:1" x14ac:dyDescent="0.35">
      <c r="A1793" t="s">
        <v>508</v>
      </c>
    </row>
    <row r="1794" spans="1:1" x14ac:dyDescent="0.35">
      <c r="A1794" t="s">
        <v>499</v>
      </c>
    </row>
    <row r="1795" spans="1:1" x14ac:dyDescent="0.35">
      <c r="A1795" t="s">
        <v>567</v>
      </c>
    </row>
    <row r="1796" spans="1:1" x14ac:dyDescent="0.35">
      <c r="A1796" t="s">
        <v>568</v>
      </c>
    </row>
    <row r="1797" spans="1:1" x14ac:dyDescent="0.35">
      <c r="A1797" t="s">
        <v>573</v>
      </c>
    </row>
    <row r="1798" spans="1:1" x14ac:dyDescent="0.35">
      <c r="A1798" t="s">
        <v>1061</v>
      </c>
    </row>
    <row r="1799" spans="1:1" x14ac:dyDescent="0.35">
      <c r="A1799" t="s">
        <v>1062</v>
      </c>
    </row>
    <row r="1800" spans="1:1" x14ac:dyDescent="0.35">
      <c r="A1800" t="s">
        <v>861</v>
      </c>
    </row>
    <row r="1801" spans="1:1" x14ac:dyDescent="0.35">
      <c r="A1801" t="s">
        <v>564</v>
      </c>
    </row>
    <row r="1802" spans="1:1" x14ac:dyDescent="0.35">
      <c r="A1802" t="s">
        <v>565</v>
      </c>
    </row>
    <row r="1803" spans="1:1" x14ac:dyDescent="0.35">
      <c r="A1803" t="s">
        <v>574</v>
      </c>
    </row>
    <row r="1804" spans="1:1" x14ac:dyDescent="0.35">
      <c r="A1804" t="s">
        <v>499</v>
      </c>
    </row>
    <row r="1805" spans="1:1" x14ac:dyDescent="0.35">
      <c r="A1805" t="s">
        <v>575</v>
      </c>
    </row>
    <row r="1806" spans="1:1" x14ac:dyDescent="0.35">
      <c r="A1806" t="s">
        <v>576</v>
      </c>
    </row>
    <row r="1807" spans="1:1" x14ac:dyDescent="0.35">
      <c r="A1807" t="s">
        <v>569</v>
      </c>
    </row>
    <row r="1808" spans="1:1" x14ac:dyDescent="0.35">
      <c r="A1808" t="s">
        <v>1063</v>
      </c>
    </row>
    <row r="1809" spans="1:1" x14ac:dyDescent="0.35">
      <c r="A1809" t="s">
        <v>1062</v>
      </c>
    </row>
    <row r="1810" spans="1:1" x14ac:dyDescent="0.35">
      <c r="A1810" t="s">
        <v>861</v>
      </c>
    </row>
    <row r="1811" spans="1:1" x14ac:dyDescent="0.35">
      <c r="A1811" t="s">
        <v>508</v>
      </c>
    </row>
    <row r="1812" spans="1:1" x14ac:dyDescent="0.35">
      <c r="A1812" t="s">
        <v>499</v>
      </c>
    </row>
    <row r="1813" spans="1:1" x14ac:dyDescent="0.35">
      <c r="A1813" t="s">
        <v>575</v>
      </c>
    </row>
    <row r="1814" spans="1:1" x14ac:dyDescent="0.35">
      <c r="A1814" t="s">
        <v>576</v>
      </c>
    </row>
    <row r="1815" spans="1:1" x14ac:dyDescent="0.35">
      <c r="A1815" t="s">
        <v>572</v>
      </c>
    </row>
    <row r="1816" spans="1:1" x14ac:dyDescent="0.35">
      <c r="A1816" t="s">
        <v>1064</v>
      </c>
    </row>
    <row r="1817" spans="1:1" x14ac:dyDescent="0.35">
      <c r="A1817" t="s">
        <v>639</v>
      </c>
    </row>
    <row r="1818" spans="1:1" x14ac:dyDescent="0.35">
      <c r="A1818" t="s">
        <v>640</v>
      </c>
    </row>
    <row r="1819" spans="1:1" x14ac:dyDescent="0.35">
      <c r="A1819" t="s">
        <v>508</v>
      </c>
    </row>
    <row r="1820" spans="1:1" x14ac:dyDescent="0.35">
      <c r="A1820" t="s">
        <v>499</v>
      </c>
    </row>
    <row r="1821" spans="1:1" x14ac:dyDescent="0.35">
      <c r="A1821" t="s">
        <v>575</v>
      </c>
    </row>
    <row r="1822" spans="1:1" x14ac:dyDescent="0.35">
      <c r="A1822" t="s">
        <v>576</v>
      </c>
    </row>
    <row r="1823" spans="1:1" x14ac:dyDescent="0.35">
      <c r="A1823" t="s">
        <v>573</v>
      </c>
    </row>
    <row r="1824" spans="1:1" x14ac:dyDescent="0.35">
      <c r="A1824" t="s">
        <v>1065</v>
      </c>
    </row>
    <row r="1825" spans="1:1" x14ac:dyDescent="0.35">
      <c r="A1825" t="s">
        <v>639</v>
      </c>
    </row>
    <row r="1826" spans="1:1" x14ac:dyDescent="0.35">
      <c r="A1826" t="s">
        <v>640</v>
      </c>
    </row>
    <row r="1827" spans="1:1" x14ac:dyDescent="0.35">
      <c r="A1827" t="s">
        <v>508</v>
      </c>
    </row>
    <row r="1828" spans="1:1" x14ac:dyDescent="0.35">
      <c r="A1828" t="s">
        <v>499</v>
      </c>
    </row>
    <row r="1829" spans="1:1" x14ac:dyDescent="0.35">
      <c r="A1829" t="s">
        <v>575</v>
      </c>
    </row>
    <row r="1830" spans="1:1" x14ac:dyDescent="0.35">
      <c r="A1830" t="s">
        <v>577</v>
      </c>
    </row>
    <row r="1831" spans="1:1" x14ac:dyDescent="0.35">
      <c r="A1831" t="s">
        <v>569</v>
      </c>
    </row>
    <row r="1832" spans="1:1" x14ac:dyDescent="0.35">
      <c r="A1832" t="s">
        <v>1063</v>
      </c>
    </row>
    <row r="1833" spans="1:1" x14ac:dyDescent="0.35">
      <c r="A1833" t="s">
        <v>639</v>
      </c>
    </row>
    <row r="1834" spans="1:1" x14ac:dyDescent="0.35">
      <c r="A1834" t="s">
        <v>640</v>
      </c>
    </row>
    <row r="1835" spans="1:1" x14ac:dyDescent="0.35">
      <c r="A1835" t="s">
        <v>508</v>
      </c>
    </row>
    <row r="1836" spans="1:1" x14ac:dyDescent="0.35">
      <c r="A1836" t="s">
        <v>499</v>
      </c>
    </row>
    <row r="1837" spans="1:1" x14ac:dyDescent="0.35">
      <c r="A1837" t="s">
        <v>575</v>
      </c>
    </row>
    <row r="1838" spans="1:1" x14ac:dyDescent="0.35">
      <c r="A1838" t="s">
        <v>577</v>
      </c>
    </row>
    <row r="1839" spans="1:1" x14ac:dyDescent="0.35">
      <c r="A1839" t="s">
        <v>572</v>
      </c>
    </row>
    <row r="1840" spans="1:1" x14ac:dyDescent="0.35">
      <c r="A1840" t="s">
        <v>1064</v>
      </c>
    </row>
    <row r="1841" spans="1:1" x14ac:dyDescent="0.35">
      <c r="A1841" t="s">
        <v>1066</v>
      </c>
    </row>
    <row r="1842" spans="1:1" x14ac:dyDescent="0.35">
      <c r="A1842" t="s">
        <v>571</v>
      </c>
    </row>
    <row r="1843" spans="1:1" x14ac:dyDescent="0.35">
      <c r="A1843" t="s">
        <v>508</v>
      </c>
    </row>
    <row r="1844" spans="1:1" x14ac:dyDescent="0.35">
      <c r="A1844" t="s">
        <v>499</v>
      </c>
    </row>
    <row r="1845" spans="1:1" x14ac:dyDescent="0.35">
      <c r="A1845" t="s">
        <v>575</v>
      </c>
    </row>
    <row r="1846" spans="1:1" x14ac:dyDescent="0.35">
      <c r="A1846" t="s">
        <v>577</v>
      </c>
    </row>
    <row r="1847" spans="1:1" x14ac:dyDescent="0.35">
      <c r="A1847" t="s">
        <v>573</v>
      </c>
    </row>
    <row r="1848" spans="1:1" x14ac:dyDescent="0.35">
      <c r="A1848" t="s">
        <v>1065</v>
      </c>
    </row>
    <row r="1849" spans="1:1" x14ac:dyDescent="0.35">
      <c r="A1849" t="s">
        <v>639</v>
      </c>
    </row>
    <row r="1850" spans="1:1" x14ac:dyDescent="0.35">
      <c r="A1850" t="s">
        <v>640</v>
      </c>
    </row>
    <row r="1851" spans="1:1" x14ac:dyDescent="0.35">
      <c r="A1851" t="s">
        <v>508</v>
      </c>
    </row>
    <row r="1852" spans="1:1" x14ac:dyDescent="0.35">
      <c r="A1852" t="s">
        <v>499</v>
      </c>
    </row>
    <row r="1853" spans="1:1" x14ac:dyDescent="0.35">
      <c r="A1853" t="s">
        <v>575</v>
      </c>
    </row>
    <row r="1854" spans="1:1" x14ac:dyDescent="0.35">
      <c r="A1854" t="s">
        <v>578</v>
      </c>
    </row>
    <row r="1855" spans="1:1" x14ac:dyDescent="0.35">
      <c r="A1855" t="s">
        <v>569</v>
      </c>
    </row>
    <row r="1856" spans="1:1" x14ac:dyDescent="0.35">
      <c r="A1856" t="s">
        <v>1063</v>
      </c>
    </row>
    <row r="1857" spans="1:1" x14ac:dyDescent="0.35">
      <c r="A1857" t="s">
        <v>639</v>
      </c>
    </row>
    <row r="1858" spans="1:1" x14ac:dyDescent="0.35">
      <c r="A1858" t="s">
        <v>640</v>
      </c>
    </row>
    <row r="1859" spans="1:1" x14ac:dyDescent="0.35">
      <c r="A1859" t="s">
        <v>508</v>
      </c>
    </row>
    <row r="1860" spans="1:1" x14ac:dyDescent="0.35">
      <c r="A1860" t="s">
        <v>499</v>
      </c>
    </row>
    <row r="1861" spans="1:1" x14ac:dyDescent="0.35">
      <c r="A1861" t="s">
        <v>575</v>
      </c>
    </row>
    <row r="1862" spans="1:1" x14ac:dyDescent="0.35">
      <c r="A1862" t="s">
        <v>578</v>
      </c>
    </row>
    <row r="1863" spans="1:1" x14ac:dyDescent="0.35">
      <c r="A1863" t="s">
        <v>572</v>
      </c>
    </row>
    <row r="1864" spans="1:1" x14ac:dyDescent="0.35">
      <c r="A1864" t="s">
        <v>1064</v>
      </c>
    </row>
    <row r="1865" spans="1:1" x14ac:dyDescent="0.35">
      <c r="A1865" t="s">
        <v>639</v>
      </c>
    </row>
    <row r="1866" spans="1:1" x14ac:dyDescent="0.35">
      <c r="A1866" t="s">
        <v>640</v>
      </c>
    </row>
    <row r="1867" spans="1:1" x14ac:dyDescent="0.35">
      <c r="A1867" t="s">
        <v>508</v>
      </c>
    </row>
    <row r="1868" spans="1:1" x14ac:dyDescent="0.35">
      <c r="A1868" t="s">
        <v>499</v>
      </c>
    </row>
    <row r="1869" spans="1:1" x14ac:dyDescent="0.35">
      <c r="A1869" t="s">
        <v>575</v>
      </c>
    </row>
    <row r="1870" spans="1:1" x14ac:dyDescent="0.35">
      <c r="A1870" t="s">
        <v>578</v>
      </c>
    </row>
    <row r="1871" spans="1:1" x14ac:dyDescent="0.35">
      <c r="A1871" t="s">
        <v>573</v>
      </c>
    </row>
    <row r="1872" spans="1:1" x14ac:dyDescent="0.35">
      <c r="A1872" t="s">
        <v>1065</v>
      </c>
    </row>
    <row r="1873" spans="1:1" x14ac:dyDescent="0.35">
      <c r="A1873" t="s">
        <v>1067</v>
      </c>
    </row>
    <row r="1874" spans="1:1" x14ac:dyDescent="0.35">
      <c r="A1874" t="s">
        <v>909</v>
      </c>
    </row>
    <row r="1875" spans="1:1" x14ac:dyDescent="0.35">
      <c r="A1875" t="s">
        <v>564</v>
      </c>
    </row>
    <row r="1876" spans="1:1" x14ac:dyDescent="0.35">
      <c r="A1876" t="s">
        <v>579</v>
      </c>
    </row>
    <row r="1877" spans="1:1" x14ac:dyDescent="0.35">
      <c r="A1877" t="s">
        <v>1068</v>
      </c>
    </row>
    <row r="1878" spans="1:1" x14ac:dyDescent="0.35">
      <c r="A1878" t="s">
        <v>1069</v>
      </c>
    </row>
    <row r="1879" spans="1:1" x14ac:dyDescent="0.35">
      <c r="A1879" t="s">
        <v>1070</v>
      </c>
    </row>
    <row r="1880" spans="1:1" x14ac:dyDescent="0.35">
      <c r="A1880" t="s">
        <v>1071</v>
      </c>
    </row>
    <row r="1881" spans="1:1" x14ac:dyDescent="0.35">
      <c r="A1881" t="s">
        <v>1102</v>
      </c>
    </row>
    <row r="1882" spans="1:1" x14ac:dyDescent="0.35">
      <c r="A1882" t="s">
        <v>491</v>
      </c>
    </row>
    <row r="1883" spans="1:1" x14ac:dyDescent="0.35">
      <c r="A1883" t="s">
        <v>1072</v>
      </c>
    </row>
    <row r="1884" spans="1:1" x14ac:dyDescent="0.35">
      <c r="A1884" t="s">
        <v>488</v>
      </c>
    </row>
    <row r="1885" spans="1:1" x14ac:dyDescent="0.35">
      <c r="A1885" t="s">
        <v>489</v>
      </c>
    </row>
    <row r="1886" spans="1:1" x14ac:dyDescent="0.35">
      <c r="A1886" t="s">
        <v>1098</v>
      </c>
    </row>
    <row r="1887" spans="1:1" x14ac:dyDescent="0.35">
      <c r="A1887" t="s">
        <v>1099</v>
      </c>
    </row>
    <row r="1888" spans="1:1" x14ac:dyDescent="0.35">
      <c r="A1888" t="s">
        <v>1073</v>
      </c>
    </row>
    <row r="1889" spans="1:1" x14ac:dyDescent="0.35">
      <c r="A1889" t="s">
        <v>1074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XAIQ2LVTGYHPF4RZYFAZYZUC6XVGGWCM:ms-officescript%3A%2F%2Fonedrive_business_sharinglink%2Fu!aHR0cHM6Ly9hbWRjbG91ZC1teS5zaGFyZXBvaW50LmNvbS86dTovZy9wZXJzb25hbC9hdGlvbmxvY19hbWRfY29tL0lRQ3pOZzd5OGpuQlFaeG1ndlhxWTFoTUFXeF9sbV85dkZ4NVhOU01yQjI4Nkpj"/>
  <scriptId xmlns="" id="ms-officescript%3A%2F%2Fonedrive_business_itemlink%2F01XAIQ2LS4XV7GCKX4PRAKQ7OAQYB25QUO:ms-officescript%3A%2F%2Fonedrive_business_sharinglink%2Fu!aHR0cHM6Ly9hbWRjbG91ZC1teS5zaGFyZXBvaW50LmNvbS86dTovZy9wZXJzb25hbC9hdGlvbmxvY19hbWRfY29tL0lRQmN2WDVoS3Z4OFFLaDl3SVlEcnNLT0FValdPNncwbFpVa083VlVFU19oQ0Zr"/>
  <scriptId xmlns="" id="ms-officescript%3A%2F%2Fonedrive_business_itemlink%2F01XAIQ2LXUEBP3DDM6ENAKLX7EIBGR7N6B:ms-officescript%3A%2F%2Fonedrive_business_sharinglink%2Fu!aHR0cHM6Ly9hbWRjbG91ZC1teS5zaGFyZXBvaW50LmNvbS86dTovZy9wZXJzb25hbC9hdGlvbmxvY19hbWRfY29tL0lRRDBJRi14alo0alFLWGY1RUJOSDdmQkFYaEh0TmpVQ1FhSWk1RnJyc0NQZ0Nr"/>
  <scriptId xmlns="" id="ms-officescript%3A%2F%2Fonedrive_business_itemlink%2F01XAIQ2LRS3GGRHSFSDBAIGHSSBEFGPZ3C:ms-officescript%3A%2F%2Fonedrive_business_sharinglink%2Fu!aHR0cHM6Ly9hbWRjbG91ZC1teS5zaGFyZXBvaW50LmNvbS86dTovZy9wZXJzb25hbC9hdGlvbmxvY19hbWRfY29tL0lRQXkyWTBUeUxJWVFJTWVVZ2tLWi1kaUFRS0VoWmJiNktIM3JoejJwYmJzRk9j"/>
  <scriptId xmlns="" id="ms-officescript%3A%2F%2Fonedrive_business_itemlink%2F01XAIQ2LQOWMST2BB3MRFYHOTBTSOQ2A6Q:ms-officescript%3A%2F%2Fonedrive_business_sharinglink%2Fu!aHR0cHM6Ly9hbWRjbG91ZC1teS5zaGFyZXBvaW50LmNvbS86dTovZy9wZXJzb25hbC9hdGlvbmxvY19hbWRfY29tL0lRQU9zeVU5QkR0a1M0TzZZWnlkRFFQUUFadVlRRl9jMzhrbmRqSTF4N3I1ZjNz"/>
</scriptId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8D61BCB4975649B338518BA7431B10" ma:contentTypeVersion="13" ma:contentTypeDescription="Create a new document." ma:contentTypeScope="" ma:versionID="ffd038a119e434df715e9be1e614cedc">
  <xsd:schema xmlns:xsd="http://www.w3.org/2001/XMLSchema" xmlns:xs="http://www.w3.org/2001/XMLSchema" xmlns:p="http://schemas.microsoft.com/office/2006/metadata/properties" xmlns:ns3="9fbce81a-7559-4abd-a436-3e322618268a" xmlns:ns4="665841f1-93c0-41bc-b74c-fc5e3dd05d97" targetNamespace="http://schemas.microsoft.com/office/2006/metadata/properties" ma:root="true" ma:fieldsID="bccbd30dedcb5e50f33d137f83a24e2c" ns3:_="" ns4:_="">
    <xsd:import namespace="9fbce81a-7559-4abd-a436-3e322618268a"/>
    <xsd:import namespace="665841f1-93c0-41bc-b74c-fc5e3dd05d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ce81a-7559-4abd-a436-3e3226182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841f1-93c0-41bc-b74c-fc5e3dd05d9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288BD81E-7716-4EF7-8E66-17E4CD0BCF19}">
  <ds:schemaRefs>
    <ds:schemaRef ds:uri="http://schemas.microsoft.com/office/extensibility/maker/v1.0"/>
    <ds:schemaRef ds:uri=""/>
  </ds:schemaRefs>
</ds:datastoreItem>
</file>

<file path=customXml/itemProps2.xml><?xml version="1.0" encoding="utf-8"?>
<ds:datastoreItem xmlns:ds="http://schemas.openxmlformats.org/officeDocument/2006/customXml" ds:itemID="{4D6107DE-B9BF-4B23-93AF-09A8083440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bce81a-7559-4abd-a436-3e322618268a"/>
    <ds:schemaRef ds:uri="665841f1-93c0-41bc-b74c-fc5e3dd05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D71193-CE9C-4A6A-BEB6-FED97466B8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B7BADFDB-9B2A-4166-9A51-9B717FB0B49F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2D0D7FD0-71DB-4A93-AADF-249C8355E21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342314e-0df4-4b58-84bf-38bed6170a0f}" enabled="1" method="Standar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Calcutta</vt:lpstr>
      <vt:lpstr>Team Sheet</vt:lpstr>
      <vt:lpstr>Master Player List</vt:lpstr>
      <vt:lpstr>Payout Calc</vt:lpstr>
      <vt:lpstr>Quota Calc v1</vt:lpstr>
      <vt:lpstr>Formatting</vt:lpstr>
      <vt:lpstr>Sheet1</vt:lpstr>
      <vt:lpstr>JS_Output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Ned Armstrong</dc:creator>
  <cp:keywords/>
  <dc:description/>
  <cp:lastModifiedBy>Alexander Tionloc</cp:lastModifiedBy>
  <cp:revision/>
  <dcterms:created xsi:type="dcterms:W3CDTF">2021-06-30T12:07:05Z</dcterms:created>
  <dcterms:modified xsi:type="dcterms:W3CDTF">2026-08-05T22:41:00Z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0x010100B18D61BCB4975649B338518BA7431B10</vt:lpwstr>
  </property>
  <property fmtid="{D5CDD505-2E9C-101B-9397-08002B2CF9AE}" pid="3" name="MSIP_Label_4342314e-0df4-4b58-84bf-38bed6170a0f_Enabled">
    <vt:lpwstr>true</vt:lpwstr>
  </property>
  <property fmtid="{D5CDD505-2E9C-101B-9397-08002B2CF9AE}" pid="4" name="MSIP_Label_4342314e-0df4-4b58-84bf-38bed6170a0f_SetDate">
    <vt:lpwstr>2023-03-11T16:25:13Z</vt:lpwstr>
  </property>
  <property fmtid="{D5CDD505-2E9C-101B-9397-08002B2CF9AE}" pid="5" name="MSIP_Label_4342314e-0df4-4b58-84bf-38bed6170a0f_Method">
    <vt:lpwstr>Standard</vt:lpwstr>
  </property>
  <property fmtid="{D5CDD505-2E9C-101B-9397-08002B2CF9AE}" pid="6" name="MSIP_Label_4342314e-0df4-4b58-84bf-38bed6170a0f_Name">
    <vt:lpwstr>General</vt:lpwstr>
  </property>
  <property fmtid="{D5CDD505-2E9C-101B-9397-08002B2CF9AE}" pid="7" name="MSIP_Label_4342314e-0df4-4b58-84bf-38bed6170a0f_SiteId">
    <vt:lpwstr>3dd8961f-e488-4e60-8e11-a82d994e183d</vt:lpwstr>
  </property>
  <property fmtid="{D5CDD505-2E9C-101B-9397-08002B2CF9AE}" pid="8" name="MSIP_Label_4342314e-0df4-4b58-84bf-38bed6170a0f_ActionId">
    <vt:lpwstr>fc63b92a-4686-4e99-9f7e-7e46b85609a1</vt:lpwstr>
  </property>
  <property fmtid="{D5CDD505-2E9C-101B-9397-08002B2CF9AE}" pid="9" name="MSIP_Label_4342314e-0df4-4b58-84bf-38bed6170a0f_ContentBits">
    <vt:lpwstr>1</vt:lpwstr>
  </property>
</Properties>
</file>